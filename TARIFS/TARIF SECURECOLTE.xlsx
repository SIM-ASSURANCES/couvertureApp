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370\Desktop\SIM ASSURANCES\"/>
    </mc:Choice>
  </mc:AlternateContent>
  <xr:revisionPtr revIDLastSave="0" documentId="13_ncr:1_{4393BCF1-1698-4C89-A8B1-C27DB1FB629F}" xr6:coauthVersionLast="47" xr6:coauthVersionMax="47" xr10:uidLastSave="{00000000-0000-0000-0000-000000000000}"/>
  <bookViews>
    <workbookView xWindow="-108" yWindow="-108" windowWidth="23256" windowHeight="12456" firstSheet="1" activeTab="2" xr2:uid="{00000000-000D-0000-FFFF-FFFF00000000}"/>
  </bookViews>
  <sheets>
    <sheet name="Infos" sheetId="15" r:id="rId1"/>
    <sheet name="Produit" sheetId="5" r:id="rId2"/>
    <sheet name="Tarification" sheetId="21" r:id="rId3"/>
    <sheet name="Commissions" sheetId="23" r:id="rId4"/>
    <sheet name="(1) CIMA H" sheetId="29" r:id="rId5"/>
    <sheet name="(2) ARV Model" sheetId="26" r:id="rId6"/>
    <sheet name="(3) Demographie &amp; Departements" sheetId="30" r:id="rId7"/>
  </sheets>
  <externalReferences>
    <externalReference r:id="rId8"/>
    <externalReference r:id="rId9"/>
    <externalReference r:id="rId10"/>
    <externalReference r:id="rId11"/>
  </externalReferences>
  <definedNames>
    <definedName name="_AtRisk_SimSetting_AutomaticallyGenerateReports" hidden="1">FALSE</definedName>
    <definedName name="_AtRisk_SimSetting_AutomaticResultsDisplayMode" hidden="1">2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MacroRecalculationBehavior" hidden="1">0</definedName>
    <definedName name="_AtRisk_SimSetting_RandomNumberGenerator" hidden="1">0</definedName>
    <definedName name="_AtRisk_SimSetting_ReportsList" hidden="1">0</definedName>
    <definedName name="_AtRisk_SimSetting_ShowSimulationProgressWindow" hidden="1">TRUE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ActiveSimulationNumber" hidden="1">1</definedName>
    <definedName name="_AtRisk_SimSetting_StdRecalcBehavior" hidden="1">1</definedName>
    <definedName name="_AtRisk_SimSetting_StdRecalcWithoutRiskStatic" hidden="1">0</definedName>
    <definedName name="_AtRisk_SimSetting_StdRecalcWithoutRiskStaticPercentile" hidden="1">0.5</definedName>
    <definedName name="_xlnm._FilterDatabase" localSheetId="5" hidden="1">'(2) ARV Model'!$N$292:$AJ$569</definedName>
    <definedName name="AMB" localSheetId="4">#REF!</definedName>
    <definedName name="AMB">#REF!</definedName>
    <definedName name="clear" localSheetId="4">#REF!</definedName>
    <definedName name="clear">#REF!</definedName>
    <definedName name="CoEq">[1]Control_Panel!$E$12</definedName>
    <definedName name="cost" localSheetId="4">#REF!</definedName>
    <definedName name="cost">#REF!</definedName>
    <definedName name="costlist">[2]Data!$I$2:$I$5</definedName>
    <definedName name="count" localSheetId="4">#REF!</definedName>
    <definedName name="count">#REF!</definedName>
    <definedName name="countlist">[2]Data!$H$2:$H$6</definedName>
    <definedName name="coverage" localSheetId="4">#REF!</definedName>
    <definedName name="coverage">#REF!</definedName>
    <definedName name="coveragelist">[2]Data!$AE$2:$AE$7</definedName>
    <definedName name="Date">[1]Control_Panel!$E$11</definedName>
    <definedName name="i">#REF!</definedName>
    <definedName name="impact" localSheetId="4">#REF!</definedName>
    <definedName name="impact">#REF!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CAPEX_BR" hidden="1">"c111"</definedName>
    <definedName name="IQ_CHANGE_AP_BR" hidden="1">"c135"</definedName>
    <definedName name="IQ_CHANGE_AR_BR" hidden="1">"c142"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ONV_RATE" hidden="1">"c2192"</definedName>
    <definedName name="IQ_CQ" hidden="1">5000</definedName>
    <definedName name="IQ_CURRENCY_GAIN_BR" hidden="1">"c236"</definedName>
    <definedName name="IQ_CURRENT_PORT_DEBT_BR" hidden="1">"c1567"</definedName>
    <definedName name="IQ_CY" hidden="1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EBT_BR" hidden="1">"c378"</definedName>
    <definedName name="IQ_EBT_EXCL_BR" hidden="1">"c381"</definedName>
    <definedName name="IQ_EXTRA_ACC_ITEMS_BR" hidden="1">"c412"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VEST_LOANS_CF_BR" hidden="1">"c630"</definedName>
    <definedName name="IQ_INVEST_SECURITY_CF_BR" hidden="1">"c639"</definedName>
    <definedName name="IQ_LATESTK" hidden="1">1000</definedName>
    <definedName name="IQ_LATESTQ" hidden="1">500</definedName>
    <definedName name="IQ_LEGAL_SETTLE_BR" hidden="1">"c649"</definedName>
    <definedName name="IQ_LOANS_CF_BR" hidden="1">"c661"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 hidden="1">2000</definedName>
    <definedName name="IQ_MERGER_BR" hidden="1">"c715"</definedName>
    <definedName name="IQ_MERGER_RESTRUCTURE_BR" hidden="1">"c721"</definedName>
    <definedName name="IQ_MINORITY_INTEREST_BR" hidden="1">"c729"</definedName>
    <definedName name="IQ_NET_DEBT_ISSUED_BR" hidden="1">"c753"</definedName>
    <definedName name="IQ_NET_INT_INC_BR" hidden="1">"c765"</definedName>
    <definedName name="IQ_NTM" hidden="1">6000</definedName>
    <definedName name="IQ_OG_TOTAL_OIL_PRODUCTON" hidden="1">"c2059"</definedName>
    <definedName name="IQ_OPER_INC_BR" hidden="1">"c850"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REF_ISSUED_BR" hidden="1">"c1047"</definedName>
    <definedName name="IQ_PREF_OTHER_BR" hidden="1">"c1055"</definedName>
    <definedName name="IQ_PREF_REP_BR" hidden="1">"c1062"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REV_BR" hidden="1">"c1303"</definedName>
    <definedName name="IQ_TREASURY_OTHER_EQUITY_BR" hidden="1">"c1314"</definedName>
    <definedName name="IQ_UNEARN_REV_CURRENT_BR" hidden="1">"c1324"</definedName>
    <definedName name="IQ_YTD" hidden="1">3000</definedName>
    <definedName name="Loss" localSheetId="4">#REF!</definedName>
    <definedName name="Loss">#REF!</definedName>
    <definedName name="Ltg">[1]Control_Panel!$E$16</definedName>
    <definedName name="P_base">[1]Control_Panel!$F$20</definedName>
    <definedName name="P_down">[1]Control_Panel!$F$22</definedName>
    <definedName name="P_up">[1]Control_Panel!$F$21</definedName>
    <definedName name="Peril" localSheetId="4">#REF!</definedName>
    <definedName name="Peril">#REF!</definedName>
    <definedName name="Project_name">[1]Control_Panel!$E$10</definedName>
    <definedName name="RANGE">'[3]First Loss Scale'!$C$5:$AG$5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0</definedName>
    <definedName name="RiskFixedSeed" hidden="1">1</definedName>
    <definedName name="RiskHasSettings" hidden="1">6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2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cenario">[1]Control_Panel!$E$19</definedName>
    <definedName name="TargetSolvency">[1]Control_Panel!$E$13</definedName>
    <definedName name="Tax">[1]Control_Panel!$E$15</definedName>
    <definedName name="Territory" localSheetId="4">#REF!</definedName>
    <definedName name="Territory">#REF!</definedName>
    <definedName name="test" localSheetId="4">#REF!</definedName>
    <definedName name="test">#REF!</definedName>
    <definedName name="v">#REF!</definedName>
    <definedName name="VPs">'[4]Vulnerability Profiling'!$DE$3:$DN$10</definedName>
    <definedName name="Yield">[1]Control_Panel!$E$14</definedName>
    <definedName name="_xlnm.Print_Area" localSheetId="3">Commissions!$A$1:$I$19</definedName>
    <definedName name="_xlnm.Print_Area" localSheetId="0">Infos!$A$1:$J$13</definedName>
    <definedName name="_xlnm.Print_Area" localSheetId="1">Produit!$A$1:$E$21</definedName>
    <definedName name="_xlnm.Print_Area" localSheetId="2">Tarification!$A$1:$F$34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9" i="21" l="1"/>
  <c r="D4" i="30"/>
  <c r="F8" i="23" l="1"/>
  <c r="G8" i="23" l="1"/>
  <c r="H8" i="23" s="1"/>
  <c r="D8" i="23"/>
  <c r="V293" i="26" l="1"/>
  <c r="AN293" i="26"/>
  <c r="D8" i="21"/>
  <c r="AK294" i="26"/>
  <c r="AL294" i="26"/>
  <c r="AM294" i="26"/>
  <c r="AN294" i="26"/>
  <c r="AK295" i="26"/>
  <c r="AL295" i="26"/>
  <c r="AM295" i="26"/>
  <c r="AN295" i="26"/>
  <c r="AK296" i="26"/>
  <c r="AL296" i="26"/>
  <c r="AM296" i="26"/>
  <c r="AN296" i="26"/>
  <c r="AK297" i="26"/>
  <c r="AL297" i="26"/>
  <c r="AM297" i="26"/>
  <c r="AN297" i="26"/>
  <c r="AK298" i="26"/>
  <c r="AL298" i="26"/>
  <c r="AM298" i="26"/>
  <c r="AN298" i="26"/>
  <c r="AK299" i="26"/>
  <c r="AL299" i="26"/>
  <c r="AM299" i="26"/>
  <c r="AN299" i="26"/>
  <c r="AK300" i="26"/>
  <c r="AL300" i="26"/>
  <c r="AM300" i="26"/>
  <c r="AN300" i="26"/>
  <c r="AK301" i="26"/>
  <c r="AL301" i="26"/>
  <c r="AM301" i="26"/>
  <c r="AN301" i="26"/>
  <c r="AK302" i="26"/>
  <c r="AL302" i="26"/>
  <c r="AM302" i="26"/>
  <c r="AN302" i="26"/>
  <c r="AK303" i="26"/>
  <c r="AL303" i="26"/>
  <c r="AM303" i="26"/>
  <c r="AN303" i="26"/>
  <c r="AK304" i="26"/>
  <c r="AL304" i="26"/>
  <c r="AM304" i="26"/>
  <c r="AN304" i="26"/>
  <c r="AK305" i="26"/>
  <c r="AL305" i="26"/>
  <c r="AM305" i="26"/>
  <c r="AN305" i="26"/>
  <c r="AK306" i="26"/>
  <c r="AL306" i="26"/>
  <c r="AM306" i="26"/>
  <c r="AN306" i="26"/>
  <c r="AK307" i="26"/>
  <c r="AL307" i="26"/>
  <c r="AM307" i="26"/>
  <c r="AN307" i="26"/>
  <c r="AK308" i="26"/>
  <c r="AL308" i="26"/>
  <c r="AM308" i="26"/>
  <c r="AN308" i="26"/>
  <c r="AK309" i="26"/>
  <c r="AL309" i="26"/>
  <c r="AM309" i="26"/>
  <c r="AN309" i="26"/>
  <c r="AK310" i="26"/>
  <c r="AL310" i="26"/>
  <c r="AM310" i="26"/>
  <c r="AN310" i="26"/>
  <c r="AK311" i="26"/>
  <c r="AL311" i="26"/>
  <c r="AM311" i="26"/>
  <c r="AN311" i="26"/>
  <c r="AK312" i="26"/>
  <c r="AL312" i="26"/>
  <c r="AM312" i="26"/>
  <c r="AN312" i="26"/>
  <c r="AK313" i="26"/>
  <c r="AL313" i="26"/>
  <c r="AM313" i="26"/>
  <c r="AN313" i="26"/>
  <c r="AK314" i="26"/>
  <c r="AL314" i="26"/>
  <c r="AM314" i="26"/>
  <c r="AN314" i="26"/>
  <c r="AK315" i="26"/>
  <c r="AL315" i="26"/>
  <c r="AM315" i="26"/>
  <c r="AN315" i="26"/>
  <c r="AK316" i="26"/>
  <c r="AL316" i="26"/>
  <c r="AM316" i="26"/>
  <c r="AN316" i="26"/>
  <c r="AK317" i="26"/>
  <c r="AL317" i="26"/>
  <c r="AM317" i="26"/>
  <c r="AN317" i="26"/>
  <c r="AK318" i="26"/>
  <c r="AL318" i="26"/>
  <c r="AM318" i="26"/>
  <c r="AN318" i="26"/>
  <c r="AK319" i="26"/>
  <c r="AL319" i="26"/>
  <c r="AM319" i="26"/>
  <c r="AN319" i="26"/>
  <c r="AK320" i="26"/>
  <c r="AL320" i="26"/>
  <c r="AM320" i="26"/>
  <c r="AN320" i="26"/>
  <c r="AK321" i="26"/>
  <c r="AL321" i="26"/>
  <c r="AM321" i="26"/>
  <c r="AN321" i="26"/>
  <c r="AK322" i="26"/>
  <c r="AL322" i="26"/>
  <c r="AM322" i="26"/>
  <c r="AN322" i="26"/>
  <c r="AK323" i="26"/>
  <c r="AL323" i="26"/>
  <c r="AM323" i="26"/>
  <c r="AN323" i="26"/>
  <c r="AK324" i="26"/>
  <c r="AL324" i="26"/>
  <c r="AM324" i="26"/>
  <c r="AN324" i="26"/>
  <c r="AK325" i="26"/>
  <c r="AL325" i="26"/>
  <c r="AM325" i="26"/>
  <c r="AN325" i="26"/>
  <c r="AK326" i="26"/>
  <c r="AL326" i="26"/>
  <c r="AM326" i="26"/>
  <c r="AN326" i="26"/>
  <c r="AK327" i="26"/>
  <c r="AL327" i="26"/>
  <c r="AM327" i="26"/>
  <c r="AN327" i="26"/>
  <c r="AK328" i="26"/>
  <c r="AL328" i="26"/>
  <c r="AM328" i="26"/>
  <c r="AN328" i="26"/>
  <c r="AK329" i="26"/>
  <c r="AL329" i="26"/>
  <c r="AM329" i="26"/>
  <c r="AN329" i="26"/>
  <c r="AK330" i="26"/>
  <c r="AL330" i="26"/>
  <c r="AM330" i="26"/>
  <c r="AN330" i="26"/>
  <c r="AK331" i="26"/>
  <c r="AL331" i="26"/>
  <c r="AM331" i="26"/>
  <c r="AN331" i="26"/>
  <c r="AK332" i="26"/>
  <c r="AL332" i="26"/>
  <c r="AM332" i="26"/>
  <c r="AN332" i="26"/>
  <c r="AK333" i="26"/>
  <c r="AL333" i="26"/>
  <c r="AM333" i="26"/>
  <c r="AN333" i="26"/>
  <c r="AK334" i="26"/>
  <c r="AL334" i="26"/>
  <c r="AM334" i="26"/>
  <c r="AN334" i="26"/>
  <c r="AK335" i="26"/>
  <c r="AL335" i="26"/>
  <c r="AM335" i="26"/>
  <c r="AN335" i="26"/>
  <c r="AK336" i="26"/>
  <c r="AL336" i="26"/>
  <c r="AM336" i="26"/>
  <c r="AN336" i="26"/>
  <c r="AK337" i="26"/>
  <c r="AL337" i="26"/>
  <c r="AM337" i="26"/>
  <c r="AN337" i="26"/>
  <c r="AK338" i="26"/>
  <c r="AL338" i="26"/>
  <c r="AM338" i="26"/>
  <c r="AN338" i="26"/>
  <c r="AK339" i="26"/>
  <c r="AL339" i="26"/>
  <c r="AM339" i="26"/>
  <c r="AN339" i="26"/>
  <c r="AK340" i="26"/>
  <c r="AL340" i="26"/>
  <c r="AM340" i="26"/>
  <c r="AN340" i="26"/>
  <c r="AK341" i="26"/>
  <c r="AL341" i="26"/>
  <c r="AM341" i="26"/>
  <c r="AN341" i="26"/>
  <c r="AK342" i="26"/>
  <c r="AL342" i="26"/>
  <c r="AM342" i="26"/>
  <c r="AN342" i="26"/>
  <c r="AK343" i="26"/>
  <c r="AL343" i="26"/>
  <c r="AM343" i="26"/>
  <c r="AN343" i="26"/>
  <c r="AK344" i="26"/>
  <c r="AL344" i="26"/>
  <c r="AM344" i="26"/>
  <c r="AN344" i="26"/>
  <c r="AK345" i="26"/>
  <c r="AL345" i="26"/>
  <c r="AM345" i="26"/>
  <c r="AN345" i="26"/>
  <c r="AK346" i="26"/>
  <c r="AL346" i="26"/>
  <c r="AM346" i="26"/>
  <c r="AN346" i="26"/>
  <c r="AK347" i="26"/>
  <c r="AL347" i="26"/>
  <c r="AM347" i="26"/>
  <c r="AN347" i="26"/>
  <c r="AK348" i="26"/>
  <c r="AL348" i="26"/>
  <c r="AM348" i="26"/>
  <c r="AN348" i="26"/>
  <c r="AK349" i="26"/>
  <c r="AL349" i="26"/>
  <c r="AM349" i="26"/>
  <c r="AN349" i="26"/>
  <c r="AK350" i="26"/>
  <c r="AL350" i="26"/>
  <c r="AM350" i="26"/>
  <c r="AN350" i="26"/>
  <c r="AK351" i="26"/>
  <c r="AL351" i="26"/>
  <c r="AM351" i="26"/>
  <c r="AN351" i="26"/>
  <c r="AK352" i="26"/>
  <c r="AL352" i="26"/>
  <c r="AM352" i="26"/>
  <c r="AN352" i="26"/>
  <c r="AK353" i="26"/>
  <c r="AL353" i="26"/>
  <c r="AM353" i="26"/>
  <c r="AN353" i="26"/>
  <c r="AK354" i="26"/>
  <c r="AL354" i="26"/>
  <c r="AM354" i="26"/>
  <c r="AN354" i="26"/>
  <c r="AK355" i="26"/>
  <c r="AL355" i="26"/>
  <c r="AM355" i="26"/>
  <c r="AN355" i="26"/>
  <c r="AK356" i="26"/>
  <c r="AL356" i="26"/>
  <c r="AM356" i="26"/>
  <c r="AN356" i="26"/>
  <c r="AK357" i="26"/>
  <c r="AL357" i="26"/>
  <c r="AM357" i="26"/>
  <c r="AN357" i="26"/>
  <c r="AK358" i="26"/>
  <c r="AL358" i="26"/>
  <c r="AM358" i="26"/>
  <c r="AN358" i="26"/>
  <c r="AK359" i="26"/>
  <c r="AL359" i="26"/>
  <c r="AM359" i="26"/>
  <c r="AN359" i="26"/>
  <c r="AK360" i="26"/>
  <c r="AL360" i="26"/>
  <c r="AM360" i="26"/>
  <c r="AN360" i="26"/>
  <c r="AK361" i="26"/>
  <c r="AL361" i="26"/>
  <c r="AM361" i="26"/>
  <c r="AN361" i="26"/>
  <c r="AK362" i="26"/>
  <c r="AL362" i="26"/>
  <c r="AM362" i="26"/>
  <c r="AN362" i="26"/>
  <c r="AK363" i="26"/>
  <c r="AL363" i="26"/>
  <c r="AM363" i="26"/>
  <c r="AN363" i="26"/>
  <c r="AK364" i="26"/>
  <c r="AL364" i="26"/>
  <c r="AM364" i="26"/>
  <c r="AN364" i="26"/>
  <c r="AK365" i="26"/>
  <c r="AL365" i="26"/>
  <c r="AM365" i="26"/>
  <c r="AN365" i="26"/>
  <c r="AK366" i="26"/>
  <c r="AL366" i="26"/>
  <c r="AM366" i="26"/>
  <c r="AN366" i="26"/>
  <c r="AK367" i="26"/>
  <c r="AL367" i="26"/>
  <c r="AM367" i="26"/>
  <c r="AN367" i="26"/>
  <c r="AK368" i="26"/>
  <c r="AL368" i="26"/>
  <c r="AM368" i="26"/>
  <c r="AN368" i="26"/>
  <c r="AK369" i="26"/>
  <c r="AL369" i="26"/>
  <c r="AM369" i="26"/>
  <c r="AN369" i="26"/>
  <c r="AK370" i="26"/>
  <c r="AL370" i="26"/>
  <c r="AM370" i="26"/>
  <c r="AN370" i="26"/>
  <c r="AK371" i="26"/>
  <c r="AL371" i="26"/>
  <c r="AM371" i="26"/>
  <c r="AN371" i="26"/>
  <c r="AK372" i="26"/>
  <c r="AL372" i="26"/>
  <c r="AM372" i="26"/>
  <c r="AN372" i="26"/>
  <c r="AK373" i="26"/>
  <c r="AL373" i="26"/>
  <c r="AM373" i="26"/>
  <c r="AN373" i="26"/>
  <c r="AK374" i="26"/>
  <c r="AL374" i="26"/>
  <c r="AM374" i="26"/>
  <c r="AN374" i="26"/>
  <c r="AK375" i="26"/>
  <c r="AL375" i="26"/>
  <c r="AM375" i="26"/>
  <c r="AN375" i="26"/>
  <c r="AK376" i="26"/>
  <c r="AL376" i="26"/>
  <c r="AM376" i="26"/>
  <c r="AN376" i="26"/>
  <c r="AK377" i="26"/>
  <c r="AL377" i="26"/>
  <c r="AM377" i="26"/>
  <c r="AN377" i="26"/>
  <c r="AK378" i="26"/>
  <c r="AL378" i="26"/>
  <c r="AM378" i="26"/>
  <c r="AN378" i="26"/>
  <c r="AK379" i="26"/>
  <c r="AL379" i="26"/>
  <c r="AM379" i="26"/>
  <c r="AN379" i="26"/>
  <c r="AK380" i="26"/>
  <c r="AL380" i="26"/>
  <c r="AM380" i="26"/>
  <c r="AN380" i="26"/>
  <c r="AK381" i="26"/>
  <c r="AL381" i="26"/>
  <c r="AM381" i="26"/>
  <c r="AN381" i="26"/>
  <c r="AK382" i="26"/>
  <c r="AL382" i="26"/>
  <c r="AM382" i="26"/>
  <c r="AN382" i="26"/>
  <c r="AK383" i="26"/>
  <c r="AL383" i="26"/>
  <c r="AM383" i="26"/>
  <c r="AN383" i="26"/>
  <c r="AK384" i="26"/>
  <c r="AL384" i="26"/>
  <c r="AM384" i="26"/>
  <c r="AN384" i="26"/>
  <c r="AK385" i="26"/>
  <c r="AL385" i="26"/>
  <c r="AM385" i="26"/>
  <c r="AN385" i="26"/>
  <c r="AK386" i="26"/>
  <c r="AL386" i="26"/>
  <c r="AM386" i="26"/>
  <c r="AN386" i="26"/>
  <c r="AK387" i="26"/>
  <c r="AL387" i="26"/>
  <c r="AM387" i="26"/>
  <c r="AN387" i="26"/>
  <c r="AK388" i="26"/>
  <c r="AL388" i="26"/>
  <c r="AM388" i="26"/>
  <c r="AN388" i="26"/>
  <c r="AK389" i="26"/>
  <c r="AL389" i="26"/>
  <c r="AM389" i="26"/>
  <c r="AN389" i="26"/>
  <c r="AK390" i="26"/>
  <c r="AL390" i="26"/>
  <c r="AM390" i="26"/>
  <c r="AN390" i="26"/>
  <c r="AK391" i="26"/>
  <c r="AL391" i="26"/>
  <c r="AM391" i="26"/>
  <c r="AN391" i="26"/>
  <c r="AK392" i="26"/>
  <c r="AL392" i="26"/>
  <c r="AM392" i="26"/>
  <c r="AN392" i="26"/>
  <c r="AK393" i="26"/>
  <c r="AL393" i="26"/>
  <c r="AM393" i="26"/>
  <c r="AN393" i="26"/>
  <c r="AK394" i="26"/>
  <c r="AL394" i="26"/>
  <c r="AM394" i="26"/>
  <c r="AN394" i="26"/>
  <c r="AK395" i="26"/>
  <c r="AL395" i="26"/>
  <c r="AM395" i="26"/>
  <c r="AN395" i="26"/>
  <c r="AK396" i="26"/>
  <c r="AL396" i="26"/>
  <c r="AM396" i="26"/>
  <c r="AN396" i="26"/>
  <c r="AK397" i="26"/>
  <c r="AL397" i="26"/>
  <c r="AM397" i="26"/>
  <c r="AN397" i="26"/>
  <c r="AK398" i="26"/>
  <c r="AL398" i="26"/>
  <c r="AM398" i="26"/>
  <c r="AN398" i="26"/>
  <c r="AK399" i="26"/>
  <c r="AL399" i="26"/>
  <c r="AM399" i="26"/>
  <c r="AN399" i="26"/>
  <c r="AK400" i="26"/>
  <c r="AL400" i="26"/>
  <c r="AM400" i="26"/>
  <c r="AN400" i="26"/>
  <c r="AK401" i="26"/>
  <c r="AL401" i="26"/>
  <c r="AM401" i="26"/>
  <c r="AN401" i="26"/>
  <c r="AK402" i="26"/>
  <c r="AL402" i="26"/>
  <c r="AM402" i="26"/>
  <c r="AN402" i="26"/>
  <c r="AK403" i="26"/>
  <c r="AL403" i="26"/>
  <c r="AM403" i="26"/>
  <c r="AN403" i="26"/>
  <c r="AK404" i="26"/>
  <c r="AL404" i="26"/>
  <c r="AM404" i="26"/>
  <c r="AN404" i="26"/>
  <c r="AK405" i="26"/>
  <c r="AL405" i="26"/>
  <c r="AM405" i="26"/>
  <c r="AN405" i="26"/>
  <c r="AK406" i="26"/>
  <c r="AL406" i="26"/>
  <c r="AM406" i="26"/>
  <c r="AN406" i="26"/>
  <c r="AK407" i="26"/>
  <c r="AL407" i="26"/>
  <c r="AM407" i="26"/>
  <c r="AN407" i="26"/>
  <c r="AK408" i="26"/>
  <c r="AL408" i="26"/>
  <c r="AM408" i="26"/>
  <c r="AN408" i="26"/>
  <c r="AK409" i="26"/>
  <c r="AL409" i="26"/>
  <c r="AM409" i="26"/>
  <c r="AN409" i="26"/>
  <c r="AK410" i="26"/>
  <c r="AL410" i="26"/>
  <c r="AM410" i="26"/>
  <c r="AN410" i="26"/>
  <c r="AK411" i="26"/>
  <c r="AL411" i="26"/>
  <c r="AM411" i="26"/>
  <c r="AN411" i="26"/>
  <c r="AK412" i="26"/>
  <c r="AL412" i="26"/>
  <c r="AM412" i="26"/>
  <c r="AN412" i="26"/>
  <c r="AK413" i="26"/>
  <c r="AL413" i="26"/>
  <c r="AM413" i="26"/>
  <c r="AN413" i="26"/>
  <c r="AK414" i="26"/>
  <c r="AL414" i="26"/>
  <c r="AM414" i="26"/>
  <c r="AN414" i="26"/>
  <c r="AK415" i="26"/>
  <c r="AL415" i="26"/>
  <c r="AM415" i="26"/>
  <c r="AN415" i="26"/>
  <c r="AK416" i="26"/>
  <c r="AL416" i="26"/>
  <c r="AM416" i="26"/>
  <c r="AN416" i="26"/>
  <c r="AK417" i="26"/>
  <c r="AL417" i="26"/>
  <c r="AM417" i="26"/>
  <c r="AN417" i="26"/>
  <c r="AK418" i="26"/>
  <c r="AL418" i="26"/>
  <c r="AM418" i="26"/>
  <c r="AN418" i="26"/>
  <c r="AK419" i="26"/>
  <c r="AL419" i="26"/>
  <c r="AM419" i="26"/>
  <c r="AN419" i="26"/>
  <c r="AK420" i="26"/>
  <c r="AL420" i="26"/>
  <c r="AM420" i="26"/>
  <c r="AN420" i="26"/>
  <c r="AK421" i="26"/>
  <c r="AL421" i="26"/>
  <c r="AM421" i="26"/>
  <c r="AN421" i="26"/>
  <c r="AK422" i="26"/>
  <c r="AL422" i="26"/>
  <c r="AM422" i="26"/>
  <c r="AN422" i="26"/>
  <c r="AK423" i="26"/>
  <c r="AL423" i="26"/>
  <c r="AM423" i="26"/>
  <c r="AN423" i="26"/>
  <c r="AK424" i="26"/>
  <c r="AL424" i="26"/>
  <c r="AM424" i="26"/>
  <c r="AN424" i="26"/>
  <c r="AK425" i="26"/>
  <c r="AL425" i="26"/>
  <c r="AM425" i="26"/>
  <c r="AN425" i="26"/>
  <c r="AK426" i="26"/>
  <c r="AL426" i="26"/>
  <c r="AM426" i="26"/>
  <c r="AN426" i="26"/>
  <c r="AK427" i="26"/>
  <c r="AL427" i="26"/>
  <c r="AM427" i="26"/>
  <c r="AN427" i="26"/>
  <c r="AK428" i="26"/>
  <c r="AL428" i="26"/>
  <c r="AM428" i="26"/>
  <c r="AN428" i="26"/>
  <c r="AK429" i="26"/>
  <c r="AL429" i="26"/>
  <c r="AM429" i="26"/>
  <c r="AN429" i="26"/>
  <c r="AK430" i="26"/>
  <c r="AL430" i="26"/>
  <c r="AM430" i="26"/>
  <c r="AN430" i="26"/>
  <c r="AK431" i="26"/>
  <c r="AL431" i="26"/>
  <c r="AM431" i="26"/>
  <c r="AN431" i="26"/>
  <c r="AK432" i="26"/>
  <c r="AL432" i="26"/>
  <c r="AM432" i="26"/>
  <c r="AN432" i="26"/>
  <c r="AK433" i="26"/>
  <c r="AL433" i="26"/>
  <c r="AM433" i="26"/>
  <c r="AN433" i="26"/>
  <c r="AK434" i="26"/>
  <c r="AL434" i="26"/>
  <c r="AM434" i="26"/>
  <c r="AN434" i="26"/>
  <c r="AK435" i="26"/>
  <c r="AL435" i="26"/>
  <c r="AM435" i="26"/>
  <c r="AN435" i="26"/>
  <c r="AK436" i="26"/>
  <c r="AL436" i="26"/>
  <c r="AM436" i="26"/>
  <c r="AN436" i="26"/>
  <c r="AK437" i="26"/>
  <c r="AL437" i="26"/>
  <c r="AM437" i="26"/>
  <c r="AN437" i="26"/>
  <c r="AK438" i="26"/>
  <c r="AL438" i="26"/>
  <c r="AM438" i="26"/>
  <c r="AN438" i="26"/>
  <c r="AK439" i="26"/>
  <c r="AL439" i="26"/>
  <c r="AM439" i="26"/>
  <c r="AN439" i="26"/>
  <c r="AK440" i="26"/>
  <c r="AL440" i="26"/>
  <c r="AM440" i="26"/>
  <c r="AN440" i="26"/>
  <c r="AK441" i="26"/>
  <c r="AL441" i="26"/>
  <c r="AM441" i="26"/>
  <c r="AN441" i="26"/>
  <c r="AK442" i="26"/>
  <c r="AL442" i="26"/>
  <c r="AM442" i="26"/>
  <c r="AN442" i="26"/>
  <c r="AK443" i="26"/>
  <c r="AL443" i="26"/>
  <c r="AM443" i="26"/>
  <c r="AN443" i="26"/>
  <c r="AK444" i="26"/>
  <c r="AL444" i="26"/>
  <c r="AM444" i="26"/>
  <c r="AN444" i="26"/>
  <c r="AK445" i="26"/>
  <c r="AL445" i="26"/>
  <c r="AM445" i="26"/>
  <c r="AN445" i="26"/>
  <c r="AK446" i="26"/>
  <c r="AL446" i="26"/>
  <c r="AM446" i="26"/>
  <c r="AN446" i="26"/>
  <c r="AK447" i="26"/>
  <c r="AL447" i="26"/>
  <c r="AM447" i="26"/>
  <c r="AN447" i="26"/>
  <c r="AK448" i="26"/>
  <c r="AL448" i="26"/>
  <c r="AM448" i="26"/>
  <c r="AN448" i="26"/>
  <c r="AK449" i="26"/>
  <c r="AL449" i="26"/>
  <c r="AM449" i="26"/>
  <c r="AN449" i="26"/>
  <c r="AK450" i="26"/>
  <c r="AL450" i="26"/>
  <c r="AM450" i="26"/>
  <c r="AN450" i="26"/>
  <c r="AK451" i="26"/>
  <c r="AL451" i="26"/>
  <c r="AM451" i="26"/>
  <c r="AN451" i="26"/>
  <c r="AK452" i="26"/>
  <c r="AL452" i="26"/>
  <c r="AM452" i="26"/>
  <c r="AN452" i="26"/>
  <c r="AK453" i="26"/>
  <c r="AL453" i="26"/>
  <c r="AM453" i="26"/>
  <c r="AN453" i="26"/>
  <c r="AK454" i="26"/>
  <c r="AL454" i="26"/>
  <c r="AM454" i="26"/>
  <c r="AN454" i="26"/>
  <c r="AK455" i="26"/>
  <c r="AL455" i="26"/>
  <c r="AM455" i="26"/>
  <c r="AN455" i="26"/>
  <c r="AK456" i="26"/>
  <c r="AL456" i="26"/>
  <c r="AM456" i="26"/>
  <c r="AN456" i="26"/>
  <c r="AK457" i="26"/>
  <c r="AL457" i="26"/>
  <c r="AM457" i="26"/>
  <c r="AN457" i="26"/>
  <c r="AK458" i="26"/>
  <c r="AL458" i="26"/>
  <c r="AM458" i="26"/>
  <c r="AN458" i="26"/>
  <c r="AK459" i="26"/>
  <c r="AL459" i="26"/>
  <c r="AM459" i="26"/>
  <c r="AN459" i="26"/>
  <c r="AK460" i="26"/>
  <c r="AL460" i="26"/>
  <c r="AM460" i="26"/>
  <c r="AN460" i="26"/>
  <c r="AK461" i="26"/>
  <c r="AL461" i="26"/>
  <c r="AM461" i="26"/>
  <c r="AN461" i="26"/>
  <c r="AK462" i="26"/>
  <c r="AL462" i="26"/>
  <c r="AM462" i="26"/>
  <c r="AN462" i="26"/>
  <c r="AK463" i="26"/>
  <c r="AL463" i="26"/>
  <c r="AM463" i="26"/>
  <c r="AN463" i="26"/>
  <c r="AK464" i="26"/>
  <c r="AL464" i="26"/>
  <c r="AM464" i="26"/>
  <c r="AN464" i="26"/>
  <c r="AK465" i="26"/>
  <c r="AL465" i="26"/>
  <c r="AM465" i="26"/>
  <c r="AN465" i="26"/>
  <c r="AK466" i="26"/>
  <c r="AL466" i="26"/>
  <c r="AM466" i="26"/>
  <c r="AN466" i="26"/>
  <c r="AK467" i="26"/>
  <c r="AL467" i="26"/>
  <c r="AM467" i="26"/>
  <c r="AN467" i="26"/>
  <c r="AK468" i="26"/>
  <c r="AL468" i="26"/>
  <c r="AM468" i="26"/>
  <c r="AN468" i="26"/>
  <c r="AK469" i="26"/>
  <c r="AL469" i="26"/>
  <c r="AM469" i="26"/>
  <c r="AN469" i="26"/>
  <c r="AK470" i="26"/>
  <c r="AL470" i="26"/>
  <c r="AM470" i="26"/>
  <c r="AN470" i="26"/>
  <c r="AK471" i="26"/>
  <c r="AL471" i="26"/>
  <c r="AM471" i="26"/>
  <c r="AN471" i="26"/>
  <c r="AK472" i="26"/>
  <c r="AL472" i="26"/>
  <c r="AM472" i="26"/>
  <c r="AN472" i="26"/>
  <c r="AK473" i="26"/>
  <c r="AL473" i="26"/>
  <c r="AM473" i="26"/>
  <c r="AN473" i="26"/>
  <c r="AK474" i="26"/>
  <c r="AL474" i="26"/>
  <c r="AM474" i="26"/>
  <c r="AN474" i="26"/>
  <c r="AK475" i="26"/>
  <c r="AL475" i="26"/>
  <c r="AM475" i="26"/>
  <c r="AN475" i="26"/>
  <c r="AK476" i="26"/>
  <c r="AL476" i="26"/>
  <c r="AM476" i="26"/>
  <c r="AN476" i="26"/>
  <c r="AK477" i="26"/>
  <c r="AL477" i="26"/>
  <c r="AM477" i="26"/>
  <c r="AN477" i="26"/>
  <c r="AK478" i="26"/>
  <c r="AL478" i="26"/>
  <c r="AM478" i="26"/>
  <c r="AN478" i="26"/>
  <c r="AK479" i="26"/>
  <c r="AL479" i="26"/>
  <c r="AM479" i="26"/>
  <c r="AN479" i="26"/>
  <c r="AK480" i="26"/>
  <c r="AL480" i="26"/>
  <c r="AM480" i="26"/>
  <c r="AN480" i="26"/>
  <c r="AK481" i="26"/>
  <c r="AL481" i="26"/>
  <c r="AM481" i="26"/>
  <c r="AN481" i="26"/>
  <c r="AK482" i="26"/>
  <c r="AL482" i="26"/>
  <c r="AM482" i="26"/>
  <c r="AN482" i="26"/>
  <c r="AK483" i="26"/>
  <c r="AL483" i="26"/>
  <c r="AM483" i="26"/>
  <c r="AN483" i="26"/>
  <c r="AK484" i="26"/>
  <c r="AL484" i="26"/>
  <c r="AM484" i="26"/>
  <c r="AN484" i="26"/>
  <c r="AK485" i="26"/>
  <c r="AL485" i="26"/>
  <c r="AM485" i="26"/>
  <c r="AN485" i="26"/>
  <c r="AK486" i="26"/>
  <c r="AL486" i="26"/>
  <c r="AM486" i="26"/>
  <c r="AN486" i="26"/>
  <c r="AK487" i="26"/>
  <c r="AL487" i="26"/>
  <c r="AM487" i="26"/>
  <c r="AN487" i="26"/>
  <c r="AK488" i="26"/>
  <c r="AL488" i="26"/>
  <c r="AM488" i="26"/>
  <c r="AN488" i="26"/>
  <c r="AK489" i="26"/>
  <c r="AL489" i="26"/>
  <c r="AM489" i="26"/>
  <c r="AN489" i="26"/>
  <c r="AK490" i="26"/>
  <c r="AL490" i="26"/>
  <c r="AM490" i="26"/>
  <c r="AN490" i="26"/>
  <c r="AK491" i="26"/>
  <c r="AL491" i="26"/>
  <c r="AM491" i="26"/>
  <c r="AN491" i="26"/>
  <c r="AK492" i="26"/>
  <c r="AL492" i="26"/>
  <c r="AM492" i="26"/>
  <c r="AN492" i="26"/>
  <c r="AK493" i="26"/>
  <c r="AL493" i="26"/>
  <c r="AM493" i="26"/>
  <c r="AN493" i="26"/>
  <c r="AK494" i="26"/>
  <c r="AL494" i="26"/>
  <c r="AM494" i="26"/>
  <c r="AN494" i="26"/>
  <c r="AK495" i="26"/>
  <c r="AL495" i="26"/>
  <c r="AM495" i="26"/>
  <c r="AN495" i="26"/>
  <c r="AK496" i="26"/>
  <c r="AL496" i="26"/>
  <c r="AM496" i="26"/>
  <c r="AN496" i="26"/>
  <c r="AK497" i="26"/>
  <c r="AL497" i="26"/>
  <c r="AM497" i="26"/>
  <c r="AN497" i="26"/>
  <c r="AK498" i="26"/>
  <c r="AL498" i="26"/>
  <c r="AM498" i="26"/>
  <c r="AN498" i="26"/>
  <c r="AK499" i="26"/>
  <c r="AL499" i="26"/>
  <c r="AM499" i="26"/>
  <c r="AN499" i="26"/>
  <c r="AK500" i="26"/>
  <c r="AL500" i="26"/>
  <c r="AM500" i="26"/>
  <c r="AN500" i="26"/>
  <c r="AK501" i="26"/>
  <c r="AL501" i="26"/>
  <c r="AM501" i="26"/>
  <c r="AN501" i="26"/>
  <c r="AK502" i="26"/>
  <c r="AL502" i="26"/>
  <c r="AM502" i="26"/>
  <c r="AN502" i="26"/>
  <c r="AK503" i="26"/>
  <c r="AL503" i="26"/>
  <c r="AM503" i="26"/>
  <c r="AN503" i="26"/>
  <c r="AK504" i="26"/>
  <c r="AL504" i="26"/>
  <c r="AM504" i="26"/>
  <c r="AN504" i="26"/>
  <c r="AK505" i="26"/>
  <c r="AL505" i="26"/>
  <c r="AM505" i="26"/>
  <c r="AN505" i="26"/>
  <c r="AK506" i="26"/>
  <c r="AL506" i="26"/>
  <c r="AM506" i="26"/>
  <c r="AN506" i="26"/>
  <c r="AK507" i="26"/>
  <c r="AL507" i="26"/>
  <c r="AM507" i="26"/>
  <c r="AN507" i="26"/>
  <c r="AK508" i="26"/>
  <c r="AL508" i="26"/>
  <c r="AM508" i="26"/>
  <c r="AN508" i="26"/>
  <c r="AK509" i="26"/>
  <c r="AL509" i="26"/>
  <c r="AM509" i="26"/>
  <c r="AN509" i="26"/>
  <c r="AK510" i="26"/>
  <c r="AL510" i="26"/>
  <c r="AM510" i="26"/>
  <c r="AN510" i="26"/>
  <c r="AK511" i="26"/>
  <c r="AL511" i="26"/>
  <c r="AM511" i="26"/>
  <c r="AN511" i="26"/>
  <c r="AK512" i="26"/>
  <c r="AL512" i="26"/>
  <c r="AM512" i="26"/>
  <c r="AN512" i="26"/>
  <c r="AK513" i="26"/>
  <c r="AL513" i="26"/>
  <c r="AM513" i="26"/>
  <c r="AN513" i="26"/>
  <c r="AK514" i="26"/>
  <c r="AL514" i="26"/>
  <c r="AM514" i="26"/>
  <c r="AN514" i="26"/>
  <c r="AK515" i="26"/>
  <c r="AL515" i="26"/>
  <c r="AM515" i="26"/>
  <c r="AN515" i="26"/>
  <c r="AK516" i="26"/>
  <c r="AL516" i="26"/>
  <c r="AM516" i="26"/>
  <c r="AN516" i="26"/>
  <c r="AK517" i="26"/>
  <c r="AL517" i="26"/>
  <c r="AM517" i="26"/>
  <c r="AN517" i="26"/>
  <c r="AK518" i="26"/>
  <c r="AL518" i="26"/>
  <c r="AM518" i="26"/>
  <c r="AN518" i="26"/>
  <c r="AK519" i="26"/>
  <c r="AL519" i="26"/>
  <c r="AM519" i="26"/>
  <c r="AN519" i="26"/>
  <c r="AK520" i="26"/>
  <c r="AL520" i="26"/>
  <c r="AM520" i="26"/>
  <c r="AN520" i="26"/>
  <c r="AK521" i="26"/>
  <c r="AL521" i="26"/>
  <c r="AM521" i="26"/>
  <c r="AN521" i="26"/>
  <c r="AK522" i="26"/>
  <c r="AL522" i="26"/>
  <c r="AM522" i="26"/>
  <c r="AN522" i="26"/>
  <c r="AK523" i="26"/>
  <c r="AL523" i="26"/>
  <c r="AM523" i="26"/>
  <c r="AN523" i="26"/>
  <c r="AK524" i="26"/>
  <c r="AL524" i="26"/>
  <c r="AM524" i="26"/>
  <c r="AN524" i="26"/>
  <c r="AK525" i="26"/>
  <c r="AL525" i="26"/>
  <c r="AM525" i="26"/>
  <c r="AN525" i="26"/>
  <c r="AK526" i="26"/>
  <c r="AL526" i="26"/>
  <c r="AM526" i="26"/>
  <c r="AN526" i="26"/>
  <c r="AK527" i="26"/>
  <c r="AL527" i="26"/>
  <c r="AM527" i="26"/>
  <c r="AN527" i="26"/>
  <c r="AK528" i="26"/>
  <c r="AL528" i="26"/>
  <c r="AM528" i="26"/>
  <c r="AN528" i="26"/>
  <c r="AK529" i="26"/>
  <c r="AL529" i="26"/>
  <c r="AM529" i="26"/>
  <c r="AN529" i="26"/>
  <c r="AK530" i="26"/>
  <c r="AL530" i="26"/>
  <c r="AM530" i="26"/>
  <c r="AN530" i="26"/>
  <c r="AK531" i="26"/>
  <c r="AL531" i="26"/>
  <c r="AM531" i="26"/>
  <c r="AN531" i="26"/>
  <c r="AK532" i="26"/>
  <c r="AL532" i="26"/>
  <c r="AM532" i="26"/>
  <c r="AN532" i="26"/>
  <c r="AK533" i="26"/>
  <c r="AL533" i="26"/>
  <c r="AM533" i="26"/>
  <c r="AN533" i="26"/>
  <c r="AK534" i="26"/>
  <c r="AL534" i="26"/>
  <c r="AM534" i="26"/>
  <c r="AN534" i="26"/>
  <c r="AK535" i="26"/>
  <c r="AL535" i="26"/>
  <c r="AM535" i="26"/>
  <c r="AN535" i="26"/>
  <c r="AK536" i="26"/>
  <c r="AL536" i="26"/>
  <c r="AM536" i="26"/>
  <c r="AN536" i="26"/>
  <c r="AK537" i="26"/>
  <c r="AL537" i="26"/>
  <c r="AM537" i="26"/>
  <c r="AN537" i="26"/>
  <c r="AK538" i="26"/>
  <c r="AL538" i="26"/>
  <c r="AM538" i="26"/>
  <c r="AN538" i="26"/>
  <c r="AK539" i="26"/>
  <c r="AL539" i="26"/>
  <c r="AM539" i="26"/>
  <c r="AN539" i="26"/>
  <c r="AK540" i="26"/>
  <c r="AL540" i="26"/>
  <c r="AM540" i="26"/>
  <c r="AN540" i="26"/>
  <c r="AK541" i="26"/>
  <c r="AL541" i="26"/>
  <c r="AM541" i="26"/>
  <c r="AN541" i="26"/>
  <c r="AK542" i="26"/>
  <c r="AL542" i="26"/>
  <c r="AM542" i="26"/>
  <c r="AN542" i="26"/>
  <c r="AK543" i="26"/>
  <c r="AL543" i="26"/>
  <c r="AM543" i="26"/>
  <c r="AN543" i="26"/>
  <c r="AK544" i="26"/>
  <c r="AL544" i="26"/>
  <c r="AM544" i="26"/>
  <c r="AN544" i="26"/>
  <c r="AK545" i="26"/>
  <c r="AL545" i="26"/>
  <c r="AM545" i="26"/>
  <c r="AN545" i="26"/>
  <c r="AK546" i="26"/>
  <c r="AL546" i="26"/>
  <c r="AM546" i="26"/>
  <c r="AN546" i="26"/>
  <c r="AK547" i="26"/>
  <c r="AL547" i="26"/>
  <c r="AM547" i="26"/>
  <c r="AN547" i="26"/>
  <c r="AK548" i="26"/>
  <c r="AL548" i="26"/>
  <c r="AM548" i="26"/>
  <c r="AN548" i="26"/>
  <c r="AK549" i="26"/>
  <c r="AL549" i="26"/>
  <c r="AM549" i="26"/>
  <c r="AN549" i="26"/>
  <c r="AK550" i="26"/>
  <c r="AL550" i="26"/>
  <c r="AM550" i="26"/>
  <c r="AN550" i="26"/>
  <c r="AK551" i="26"/>
  <c r="AL551" i="26"/>
  <c r="AM551" i="26"/>
  <c r="AN551" i="26"/>
  <c r="AK552" i="26"/>
  <c r="AL552" i="26"/>
  <c r="AM552" i="26"/>
  <c r="AN552" i="26"/>
  <c r="AK553" i="26"/>
  <c r="AL553" i="26"/>
  <c r="AM553" i="26"/>
  <c r="AN553" i="26"/>
  <c r="AK554" i="26"/>
  <c r="AL554" i="26"/>
  <c r="AM554" i="26"/>
  <c r="AN554" i="26"/>
  <c r="AK555" i="26"/>
  <c r="AL555" i="26"/>
  <c r="AM555" i="26"/>
  <c r="AN555" i="26"/>
  <c r="AK556" i="26"/>
  <c r="AL556" i="26"/>
  <c r="AM556" i="26"/>
  <c r="AN556" i="26"/>
  <c r="AK557" i="26"/>
  <c r="AL557" i="26"/>
  <c r="AM557" i="26"/>
  <c r="AN557" i="26"/>
  <c r="AK558" i="26"/>
  <c r="AL558" i="26"/>
  <c r="AM558" i="26"/>
  <c r="AN558" i="26"/>
  <c r="AK559" i="26"/>
  <c r="AL559" i="26"/>
  <c r="AM559" i="26"/>
  <c r="AN559" i="26"/>
  <c r="AK560" i="26"/>
  <c r="AL560" i="26"/>
  <c r="AM560" i="26"/>
  <c r="AN560" i="26"/>
  <c r="AK561" i="26"/>
  <c r="AL561" i="26"/>
  <c r="AM561" i="26"/>
  <c r="AN561" i="26"/>
  <c r="AK562" i="26"/>
  <c r="AL562" i="26"/>
  <c r="AM562" i="26"/>
  <c r="AN562" i="26"/>
  <c r="AK563" i="26"/>
  <c r="AL563" i="26"/>
  <c r="AM563" i="26"/>
  <c r="AN563" i="26"/>
  <c r="AK564" i="26"/>
  <c r="AL564" i="26"/>
  <c r="AM564" i="26"/>
  <c r="AN564" i="26"/>
  <c r="AK565" i="26"/>
  <c r="AL565" i="26"/>
  <c r="AM565" i="26"/>
  <c r="AN565" i="26"/>
  <c r="AK566" i="26"/>
  <c r="AL566" i="26"/>
  <c r="AM566" i="26"/>
  <c r="AN566" i="26"/>
  <c r="AK567" i="26"/>
  <c r="AL567" i="26"/>
  <c r="AM567" i="26"/>
  <c r="AN567" i="26"/>
  <c r="AK568" i="26"/>
  <c r="AL568" i="26"/>
  <c r="AM568" i="26"/>
  <c r="AN568" i="26"/>
  <c r="AK569" i="26"/>
  <c r="AL569" i="26"/>
  <c r="AM569" i="26"/>
  <c r="AN569" i="26"/>
  <c r="AK293" i="26"/>
  <c r="AL293" i="26"/>
  <c r="AM293" i="26"/>
  <c r="K8" i="26"/>
  <c r="K9" i="26" s="1"/>
  <c r="K10" i="26" s="1"/>
  <c r="K11" i="26" s="1"/>
  <c r="K12" i="26" s="1"/>
  <c r="K13" i="26" s="1"/>
  <c r="K14" i="26" s="1"/>
  <c r="K15" i="26" s="1"/>
  <c r="K16" i="26" s="1"/>
  <c r="K17" i="26" s="1"/>
  <c r="K18" i="26" s="1"/>
  <c r="K19" i="26" s="1"/>
  <c r="K20" i="26" s="1"/>
  <c r="K21" i="26" s="1"/>
  <c r="K22" i="26" s="1"/>
  <c r="K23" i="26" s="1"/>
  <c r="K24" i="26" s="1"/>
  <c r="K25" i="26" s="1"/>
  <c r="K26" i="26" s="1"/>
  <c r="K27" i="26" s="1"/>
  <c r="K28" i="26" s="1"/>
  <c r="K29" i="26" s="1"/>
  <c r="K30" i="26" s="1"/>
  <c r="K31" i="26" s="1"/>
  <c r="K32" i="26" s="1"/>
  <c r="K33" i="26" s="1"/>
  <c r="K34" i="26" s="1"/>
  <c r="K35" i="26" s="1"/>
  <c r="K36" i="26" s="1"/>
  <c r="K37" i="26" s="1"/>
  <c r="K38" i="26" s="1"/>
  <c r="K39" i="26" s="1"/>
  <c r="K40" i="26" s="1"/>
  <c r="K41" i="26" s="1"/>
  <c r="K42" i="26" s="1"/>
  <c r="K43" i="26" s="1"/>
  <c r="K44" i="26" s="1"/>
  <c r="K45" i="26" s="1"/>
  <c r="K46" i="26" s="1"/>
  <c r="K47" i="26" s="1"/>
  <c r="K48" i="26" s="1"/>
  <c r="K49" i="26" s="1"/>
  <c r="K50" i="26" s="1"/>
  <c r="K51" i="26" s="1"/>
  <c r="K52" i="26" s="1"/>
  <c r="K53" i="26" s="1"/>
  <c r="K54" i="26" s="1"/>
  <c r="K55" i="26" s="1"/>
  <c r="K56" i="26" s="1"/>
  <c r="K57" i="26" s="1"/>
  <c r="K58" i="26" s="1"/>
  <c r="K59" i="26" s="1"/>
  <c r="K60" i="26" s="1"/>
  <c r="K61" i="26" s="1"/>
  <c r="K62" i="26" s="1"/>
  <c r="K63" i="26" s="1"/>
  <c r="K64" i="26" s="1"/>
  <c r="K65" i="26" s="1"/>
  <c r="K66" i="26" s="1"/>
  <c r="K67" i="26" s="1"/>
  <c r="K68" i="26" s="1"/>
  <c r="K69" i="26" s="1"/>
  <c r="K70" i="26" s="1"/>
  <c r="K71" i="26" s="1"/>
  <c r="K72" i="26" s="1"/>
  <c r="K73" i="26" s="1"/>
  <c r="K74" i="26" s="1"/>
  <c r="K75" i="26" s="1"/>
  <c r="K76" i="26" s="1"/>
  <c r="K77" i="26" s="1"/>
  <c r="K78" i="26" s="1"/>
  <c r="K79" i="26" s="1"/>
  <c r="K80" i="26" s="1"/>
  <c r="K81" i="26" s="1"/>
  <c r="K82" i="26" s="1"/>
  <c r="K83" i="26" s="1"/>
  <c r="K84" i="26" s="1"/>
  <c r="K85" i="26" s="1"/>
  <c r="K86" i="26" s="1"/>
  <c r="K87" i="26" s="1"/>
  <c r="K88" i="26" s="1"/>
  <c r="K89" i="26" s="1"/>
  <c r="K90" i="26" s="1"/>
  <c r="K91" i="26" s="1"/>
  <c r="K92" i="26" s="1"/>
  <c r="K93" i="26" s="1"/>
  <c r="K94" i="26" s="1"/>
  <c r="K95" i="26" s="1"/>
  <c r="K96" i="26" s="1"/>
  <c r="K97" i="26" s="1"/>
  <c r="K98" i="26" s="1"/>
  <c r="K99" i="26" s="1"/>
  <c r="K100" i="26" s="1"/>
  <c r="K101" i="26" s="1"/>
  <c r="K102" i="26" s="1"/>
  <c r="K103" i="26" s="1"/>
  <c r="K104" i="26" s="1"/>
  <c r="K105" i="26" s="1"/>
  <c r="K106" i="26" s="1"/>
  <c r="K107" i="26" s="1"/>
  <c r="K108" i="26" s="1"/>
  <c r="K109" i="26" s="1"/>
  <c r="K110" i="26" s="1"/>
  <c r="K111" i="26" s="1"/>
  <c r="K112" i="26" s="1"/>
  <c r="K113" i="26" s="1"/>
  <c r="K114" i="26" s="1"/>
  <c r="K115" i="26" s="1"/>
  <c r="K116" i="26" s="1"/>
  <c r="K117" i="26" s="1"/>
  <c r="K118" i="26" s="1"/>
  <c r="K119" i="26" s="1"/>
  <c r="K120" i="26" s="1"/>
  <c r="K121" i="26" s="1"/>
  <c r="K122" i="26" s="1"/>
  <c r="K123" i="26" s="1"/>
  <c r="K124" i="26" s="1"/>
  <c r="K125" i="26" s="1"/>
  <c r="K126" i="26" s="1"/>
  <c r="K127" i="26" s="1"/>
  <c r="K128" i="26" s="1"/>
  <c r="K129" i="26" s="1"/>
  <c r="K130" i="26" s="1"/>
  <c r="K131" i="26" s="1"/>
  <c r="K132" i="26" s="1"/>
  <c r="K133" i="26" s="1"/>
  <c r="K134" i="26" s="1"/>
  <c r="K135" i="26" s="1"/>
  <c r="K136" i="26" s="1"/>
  <c r="K137" i="26" s="1"/>
  <c r="K138" i="26" s="1"/>
  <c r="K139" i="26" s="1"/>
  <c r="K140" i="26" s="1"/>
  <c r="K141" i="26" s="1"/>
  <c r="K142" i="26" s="1"/>
  <c r="K143" i="26" s="1"/>
  <c r="K144" i="26" s="1"/>
  <c r="K145" i="26" s="1"/>
  <c r="K146" i="26" s="1"/>
  <c r="K147" i="26" s="1"/>
  <c r="K148" i="26" s="1"/>
  <c r="K149" i="26" s="1"/>
  <c r="K150" i="26" s="1"/>
  <c r="K151" i="26" s="1"/>
  <c r="K152" i="26" s="1"/>
  <c r="K153" i="26" s="1"/>
  <c r="K154" i="26" s="1"/>
  <c r="K155" i="26" s="1"/>
  <c r="K156" i="26" s="1"/>
  <c r="K157" i="26" s="1"/>
  <c r="K158" i="26" s="1"/>
  <c r="K159" i="26" s="1"/>
  <c r="K160" i="26" s="1"/>
  <c r="K161" i="26" s="1"/>
  <c r="K162" i="26" s="1"/>
  <c r="K163" i="26" s="1"/>
  <c r="K164" i="26" s="1"/>
  <c r="K165" i="26" s="1"/>
  <c r="K166" i="26" s="1"/>
  <c r="K167" i="26" s="1"/>
  <c r="K168" i="26" s="1"/>
  <c r="K169" i="26" s="1"/>
  <c r="K170" i="26" s="1"/>
  <c r="K171" i="26" s="1"/>
  <c r="K172" i="26" s="1"/>
  <c r="K173" i="26" s="1"/>
  <c r="K174" i="26" s="1"/>
  <c r="K175" i="26" s="1"/>
  <c r="K176" i="26" s="1"/>
  <c r="K177" i="26" s="1"/>
  <c r="K178" i="26" s="1"/>
  <c r="K179" i="26" s="1"/>
  <c r="K180" i="26" s="1"/>
  <c r="K181" i="26" s="1"/>
  <c r="K182" i="26" s="1"/>
  <c r="K183" i="26" s="1"/>
  <c r="K184" i="26" s="1"/>
  <c r="K185" i="26" s="1"/>
  <c r="K186" i="26" s="1"/>
  <c r="K187" i="26" s="1"/>
  <c r="K188" i="26" s="1"/>
  <c r="K189" i="26" s="1"/>
  <c r="K190" i="26" s="1"/>
  <c r="K191" i="26" s="1"/>
  <c r="K192" i="26" s="1"/>
  <c r="K193" i="26" s="1"/>
  <c r="K194" i="26" s="1"/>
  <c r="K195" i="26" s="1"/>
  <c r="K196" i="26" s="1"/>
  <c r="K197" i="26" s="1"/>
  <c r="K198" i="26" s="1"/>
  <c r="K199" i="26" s="1"/>
  <c r="K200" i="26" s="1"/>
  <c r="K201" i="26" s="1"/>
  <c r="K202" i="26" s="1"/>
  <c r="K203" i="26" s="1"/>
  <c r="K204" i="26" s="1"/>
  <c r="K205" i="26" s="1"/>
  <c r="K206" i="26" s="1"/>
  <c r="K207" i="26" s="1"/>
  <c r="K208" i="26" s="1"/>
  <c r="K209" i="26" s="1"/>
  <c r="K210" i="26" s="1"/>
  <c r="K211" i="26" s="1"/>
  <c r="K212" i="26" s="1"/>
  <c r="K213" i="26" s="1"/>
  <c r="K214" i="26" s="1"/>
  <c r="K215" i="26" s="1"/>
  <c r="K216" i="26" s="1"/>
  <c r="K217" i="26" s="1"/>
  <c r="K218" i="26" s="1"/>
  <c r="K219" i="26" s="1"/>
  <c r="K220" i="26" s="1"/>
  <c r="K221" i="26" s="1"/>
  <c r="K222" i="26" s="1"/>
  <c r="K223" i="26" s="1"/>
  <c r="K224" i="26" s="1"/>
  <c r="K225" i="26" s="1"/>
  <c r="K226" i="26" s="1"/>
  <c r="K227" i="26" s="1"/>
  <c r="K228" i="26" s="1"/>
  <c r="K229" i="26" s="1"/>
  <c r="K230" i="26" s="1"/>
  <c r="K231" i="26" s="1"/>
  <c r="K232" i="26" s="1"/>
  <c r="K233" i="26" s="1"/>
  <c r="K234" i="26" s="1"/>
  <c r="K235" i="26" s="1"/>
  <c r="K236" i="26" s="1"/>
  <c r="K237" i="26" s="1"/>
  <c r="K238" i="26" s="1"/>
  <c r="K239" i="26" s="1"/>
  <c r="K240" i="26" s="1"/>
  <c r="K241" i="26" s="1"/>
  <c r="K242" i="26" s="1"/>
  <c r="K243" i="26" s="1"/>
  <c r="K244" i="26" s="1"/>
  <c r="K245" i="26" s="1"/>
  <c r="K246" i="26" s="1"/>
  <c r="K247" i="26" s="1"/>
  <c r="K248" i="26" s="1"/>
  <c r="K249" i="26" s="1"/>
  <c r="K250" i="26" s="1"/>
  <c r="K251" i="26" s="1"/>
  <c r="K252" i="26" s="1"/>
  <c r="K253" i="26" s="1"/>
  <c r="K254" i="26" s="1"/>
  <c r="K255" i="26" s="1"/>
  <c r="K256" i="26" s="1"/>
  <c r="K257" i="26" s="1"/>
  <c r="K258" i="26" s="1"/>
  <c r="K259" i="26" s="1"/>
  <c r="K260" i="26" s="1"/>
  <c r="K261" i="26" s="1"/>
  <c r="K262" i="26" s="1"/>
  <c r="K263" i="26" s="1"/>
  <c r="K264" i="26" s="1"/>
  <c r="K265" i="26" s="1"/>
  <c r="K266" i="26" s="1"/>
  <c r="K267" i="26" s="1"/>
  <c r="K268" i="26" s="1"/>
  <c r="K269" i="26" s="1"/>
  <c r="K270" i="26" s="1"/>
  <c r="K271" i="26" s="1"/>
  <c r="K272" i="26" s="1"/>
  <c r="K273" i="26" s="1"/>
  <c r="K274" i="26" s="1"/>
  <c r="K275" i="26" s="1"/>
  <c r="K276" i="26" s="1"/>
  <c r="K277" i="26" s="1"/>
  <c r="K278" i="26" s="1"/>
  <c r="K279" i="26" s="1"/>
  <c r="K280" i="26" s="1"/>
  <c r="K281" i="26" s="1"/>
  <c r="K282" i="26" s="1"/>
  <c r="K283" i="26" s="1"/>
  <c r="K284" i="26" s="1"/>
  <c r="J8" i="26"/>
  <c r="J9" i="26" s="1"/>
  <c r="J10" i="26" s="1"/>
  <c r="J11" i="26" s="1"/>
  <c r="J12" i="26" s="1"/>
  <c r="J13" i="26" s="1"/>
  <c r="J14" i="26" s="1"/>
  <c r="J15" i="26" s="1"/>
  <c r="J16" i="26" s="1"/>
  <c r="J17" i="26" s="1"/>
  <c r="J18" i="26" s="1"/>
  <c r="J19" i="26" s="1"/>
  <c r="J20" i="26" s="1"/>
  <c r="J21" i="26" s="1"/>
  <c r="J22" i="26" s="1"/>
  <c r="J23" i="26" s="1"/>
  <c r="J24" i="26" s="1"/>
  <c r="J25" i="26" s="1"/>
  <c r="J26" i="26" s="1"/>
  <c r="J27" i="26" s="1"/>
  <c r="J28" i="26" s="1"/>
  <c r="J29" i="26" s="1"/>
  <c r="J30" i="26" s="1"/>
  <c r="J31" i="26" s="1"/>
  <c r="J32" i="26" s="1"/>
  <c r="J33" i="26" s="1"/>
  <c r="J34" i="26" s="1"/>
  <c r="J35" i="26" s="1"/>
  <c r="J36" i="26" s="1"/>
  <c r="J37" i="26" s="1"/>
  <c r="J38" i="26" s="1"/>
  <c r="J39" i="26" s="1"/>
  <c r="J40" i="26" s="1"/>
  <c r="J41" i="26" s="1"/>
  <c r="J42" i="26" s="1"/>
  <c r="J43" i="26" s="1"/>
  <c r="J44" i="26" s="1"/>
  <c r="J45" i="26" s="1"/>
  <c r="J46" i="26" s="1"/>
  <c r="J47" i="26" s="1"/>
  <c r="J48" i="26" s="1"/>
  <c r="J49" i="26" s="1"/>
  <c r="J50" i="26" s="1"/>
  <c r="J51" i="26" s="1"/>
  <c r="J52" i="26" s="1"/>
  <c r="J53" i="26" s="1"/>
  <c r="J54" i="26" s="1"/>
  <c r="J55" i="26" s="1"/>
  <c r="J56" i="26" s="1"/>
  <c r="J57" i="26" s="1"/>
  <c r="J58" i="26" s="1"/>
  <c r="J59" i="26" s="1"/>
  <c r="J60" i="26" s="1"/>
  <c r="J61" i="26" s="1"/>
  <c r="J62" i="26" s="1"/>
  <c r="J63" i="26" s="1"/>
  <c r="J64" i="26" s="1"/>
  <c r="J65" i="26" s="1"/>
  <c r="J66" i="26" s="1"/>
  <c r="J67" i="26" s="1"/>
  <c r="J68" i="26" s="1"/>
  <c r="J69" i="26" s="1"/>
  <c r="J70" i="26" s="1"/>
  <c r="J71" i="26" s="1"/>
  <c r="J72" i="26" s="1"/>
  <c r="J73" i="26" s="1"/>
  <c r="J74" i="26" s="1"/>
  <c r="J75" i="26" s="1"/>
  <c r="J76" i="26" s="1"/>
  <c r="J77" i="26" s="1"/>
  <c r="J78" i="26" s="1"/>
  <c r="J79" i="26" s="1"/>
  <c r="J80" i="26" s="1"/>
  <c r="J81" i="26" s="1"/>
  <c r="J82" i="26" s="1"/>
  <c r="J83" i="26" s="1"/>
  <c r="J84" i="26" s="1"/>
  <c r="J85" i="26" s="1"/>
  <c r="J86" i="26" s="1"/>
  <c r="J87" i="26" s="1"/>
  <c r="J88" i="26" s="1"/>
  <c r="J89" i="26" s="1"/>
  <c r="J90" i="26" s="1"/>
  <c r="J91" i="26" s="1"/>
  <c r="J92" i="26" s="1"/>
  <c r="J93" i="26" s="1"/>
  <c r="J94" i="26" s="1"/>
  <c r="J95" i="26" s="1"/>
  <c r="J96" i="26" s="1"/>
  <c r="J97" i="26" s="1"/>
  <c r="J98" i="26" s="1"/>
  <c r="J99" i="26" s="1"/>
  <c r="J100" i="26" s="1"/>
  <c r="J101" i="26" s="1"/>
  <c r="J102" i="26" s="1"/>
  <c r="J103" i="26" s="1"/>
  <c r="J104" i="26" s="1"/>
  <c r="J105" i="26" s="1"/>
  <c r="J106" i="26" s="1"/>
  <c r="J107" i="26" s="1"/>
  <c r="J108" i="26" s="1"/>
  <c r="J109" i="26" s="1"/>
  <c r="J110" i="26" s="1"/>
  <c r="J111" i="26" s="1"/>
  <c r="J112" i="26" s="1"/>
  <c r="J113" i="26" s="1"/>
  <c r="J114" i="26" s="1"/>
  <c r="J115" i="26" s="1"/>
  <c r="J116" i="26" s="1"/>
  <c r="J117" i="26" s="1"/>
  <c r="J118" i="26" s="1"/>
  <c r="J119" i="26" s="1"/>
  <c r="J120" i="26" s="1"/>
  <c r="J121" i="26" s="1"/>
  <c r="J122" i="26" s="1"/>
  <c r="J123" i="26" s="1"/>
  <c r="J124" i="26" s="1"/>
  <c r="J125" i="26" s="1"/>
  <c r="J126" i="26" s="1"/>
  <c r="J127" i="26" s="1"/>
  <c r="J128" i="26" s="1"/>
  <c r="J129" i="26" s="1"/>
  <c r="J130" i="26" s="1"/>
  <c r="J131" i="26" s="1"/>
  <c r="J132" i="26" s="1"/>
  <c r="J133" i="26" s="1"/>
  <c r="J134" i="26" s="1"/>
  <c r="J135" i="26" s="1"/>
  <c r="J136" i="26" s="1"/>
  <c r="J137" i="26" s="1"/>
  <c r="J138" i="26" s="1"/>
  <c r="J139" i="26" s="1"/>
  <c r="J140" i="26" s="1"/>
  <c r="J141" i="26" s="1"/>
  <c r="J142" i="26" s="1"/>
  <c r="J143" i="26" s="1"/>
  <c r="J144" i="26" s="1"/>
  <c r="J145" i="26" s="1"/>
  <c r="J146" i="26" s="1"/>
  <c r="J147" i="26" s="1"/>
  <c r="J148" i="26" s="1"/>
  <c r="J149" i="26" s="1"/>
  <c r="J150" i="26" s="1"/>
  <c r="J151" i="26" s="1"/>
  <c r="J152" i="26" s="1"/>
  <c r="J153" i="26" s="1"/>
  <c r="J154" i="26" s="1"/>
  <c r="J155" i="26" s="1"/>
  <c r="J156" i="26" s="1"/>
  <c r="J157" i="26" s="1"/>
  <c r="J158" i="26" s="1"/>
  <c r="J159" i="26" s="1"/>
  <c r="J160" i="26" s="1"/>
  <c r="J161" i="26" s="1"/>
  <c r="J162" i="26" s="1"/>
  <c r="J163" i="26" s="1"/>
  <c r="J164" i="26" s="1"/>
  <c r="J165" i="26" s="1"/>
  <c r="J166" i="26" s="1"/>
  <c r="J167" i="26" s="1"/>
  <c r="J168" i="26" s="1"/>
  <c r="J169" i="26" s="1"/>
  <c r="J170" i="26" s="1"/>
  <c r="J171" i="26" s="1"/>
  <c r="J172" i="26" s="1"/>
  <c r="J173" i="26" s="1"/>
  <c r="J174" i="26" s="1"/>
  <c r="J175" i="26" s="1"/>
  <c r="J176" i="26" s="1"/>
  <c r="J177" i="26" s="1"/>
  <c r="J178" i="26" s="1"/>
  <c r="J179" i="26" s="1"/>
  <c r="J180" i="26" s="1"/>
  <c r="J181" i="26" s="1"/>
  <c r="J182" i="26" s="1"/>
  <c r="J183" i="26" s="1"/>
  <c r="J184" i="26" s="1"/>
  <c r="J185" i="26" s="1"/>
  <c r="J186" i="26" s="1"/>
  <c r="J187" i="26" s="1"/>
  <c r="J188" i="26" s="1"/>
  <c r="J189" i="26" s="1"/>
  <c r="J190" i="26" s="1"/>
  <c r="J191" i="26" s="1"/>
  <c r="J192" i="26" s="1"/>
  <c r="J193" i="26" s="1"/>
  <c r="J194" i="26" s="1"/>
  <c r="J195" i="26" s="1"/>
  <c r="J196" i="26" s="1"/>
  <c r="J197" i="26" s="1"/>
  <c r="J198" i="26" s="1"/>
  <c r="J199" i="26" s="1"/>
  <c r="J200" i="26" s="1"/>
  <c r="J201" i="26" s="1"/>
  <c r="J202" i="26" s="1"/>
  <c r="J203" i="26" s="1"/>
  <c r="J204" i="26" s="1"/>
  <c r="J205" i="26" s="1"/>
  <c r="J206" i="26" s="1"/>
  <c r="J207" i="26" s="1"/>
  <c r="J208" i="26" s="1"/>
  <c r="J209" i="26" s="1"/>
  <c r="J210" i="26" s="1"/>
  <c r="J211" i="26" s="1"/>
  <c r="J212" i="26" s="1"/>
  <c r="J213" i="26" s="1"/>
  <c r="J214" i="26" s="1"/>
  <c r="J215" i="26" s="1"/>
  <c r="J216" i="26" s="1"/>
  <c r="J217" i="26" s="1"/>
  <c r="J218" i="26" s="1"/>
  <c r="J219" i="26" s="1"/>
  <c r="J220" i="26" s="1"/>
  <c r="J221" i="26" s="1"/>
  <c r="J222" i="26" s="1"/>
  <c r="J223" i="26" s="1"/>
  <c r="J224" i="26" s="1"/>
  <c r="J225" i="26" s="1"/>
  <c r="J226" i="26" s="1"/>
  <c r="J227" i="26" s="1"/>
  <c r="J228" i="26" s="1"/>
  <c r="J229" i="26" s="1"/>
  <c r="J230" i="26" s="1"/>
  <c r="J231" i="26" s="1"/>
  <c r="J232" i="26" s="1"/>
  <c r="J233" i="26" s="1"/>
  <c r="J234" i="26" s="1"/>
  <c r="J235" i="26" s="1"/>
  <c r="J236" i="26" s="1"/>
  <c r="J237" i="26" s="1"/>
  <c r="J238" i="26" s="1"/>
  <c r="J239" i="26" s="1"/>
  <c r="J240" i="26" s="1"/>
  <c r="J241" i="26" s="1"/>
  <c r="J242" i="26" s="1"/>
  <c r="J243" i="26" s="1"/>
  <c r="J244" i="26" s="1"/>
  <c r="J245" i="26" s="1"/>
  <c r="J246" i="26" s="1"/>
  <c r="J247" i="26" s="1"/>
  <c r="J248" i="26" s="1"/>
  <c r="J249" i="26" s="1"/>
  <c r="J250" i="26" s="1"/>
  <c r="J251" i="26" s="1"/>
  <c r="J252" i="26" s="1"/>
  <c r="J253" i="26" s="1"/>
  <c r="J254" i="26" s="1"/>
  <c r="J255" i="26" s="1"/>
  <c r="J256" i="26" s="1"/>
  <c r="J257" i="26" s="1"/>
  <c r="J258" i="26" s="1"/>
  <c r="J259" i="26" s="1"/>
  <c r="J260" i="26" s="1"/>
  <c r="J261" i="26" s="1"/>
  <c r="J262" i="26" s="1"/>
  <c r="J263" i="26" s="1"/>
  <c r="J264" i="26" s="1"/>
  <c r="J265" i="26" s="1"/>
  <c r="J266" i="26" s="1"/>
  <c r="J267" i="26" s="1"/>
  <c r="J268" i="26" s="1"/>
  <c r="J269" i="26" s="1"/>
  <c r="J270" i="26" s="1"/>
  <c r="J271" i="26" s="1"/>
  <c r="J272" i="26" s="1"/>
  <c r="J273" i="26" s="1"/>
  <c r="J274" i="26" s="1"/>
  <c r="J275" i="26" s="1"/>
  <c r="J276" i="26" s="1"/>
  <c r="J277" i="26" s="1"/>
  <c r="J278" i="26" s="1"/>
  <c r="J279" i="26" s="1"/>
  <c r="J280" i="26" s="1"/>
  <c r="J281" i="26" s="1"/>
  <c r="J282" i="26" s="1"/>
  <c r="J283" i="26" s="1"/>
  <c r="J284" i="26" s="1"/>
  <c r="I8" i="26"/>
  <c r="I9" i="26" s="1"/>
  <c r="I10" i="26" s="1"/>
  <c r="I11" i="26" s="1"/>
  <c r="I12" i="26" s="1"/>
  <c r="I13" i="26" s="1"/>
  <c r="I14" i="26" s="1"/>
  <c r="I15" i="26" s="1"/>
  <c r="I16" i="26" s="1"/>
  <c r="I17" i="26" s="1"/>
  <c r="I18" i="26" s="1"/>
  <c r="I19" i="26" s="1"/>
  <c r="I20" i="26" s="1"/>
  <c r="I21" i="26" s="1"/>
  <c r="I22" i="26" s="1"/>
  <c r="I23" i="26" s="1"/>
  <c r="I24" i="26" s="1"/>
  <c r="I25" i="26" s="1"/>
  <c r="I26" i="26" s="1"/>
  <c r="I27" i="26" s="1"/>
  <c r="I28" i="26" s="1"/>
  <c r="I29" i="26" s="1"/>
  <c r="I30" i="26" s="1"/>
  <c r="I31" i="26" s="1"/>
  <c r="I32" i="26" s="1"/>
  <c r="I33" i="26" s="1"/>
  <c r="I34" i="26" s="1"/>
  <c r="I35" i="26" s="1"/>
  <c r="I36" i="26" s="1"/>
  <c r="I37" i="26" s="1"/>
  <c r="I38" i="26" s="1"/>
  <c r="I39" i="26" s="1"/>
  <c r="I40" i="26" s="1"/>
  <c r="I41" i="26" s="1"/>
  <c r="I42" i="26" s="1"/>
  <c r="I43" i="26" s="1"/>
  <c r="I44" i="26" s="1"/>
  <c r="I45" i="26" s="1"/>
  <c r="I46" i="26" s="1"/>
  <c r="I47" i="26" s="1"/>
  <c r="I48" i="26" s="1"/>
  <c r="I49" i="26" s="1"/>
  <c r="I50" i="26" s="1"/>
  <c r="I51" i="26" s="1"/>
  <c r="I52" i="26" s="1"/>
  <c r="I53" i="26" s="1"/>
  <c r="I54" i="26" s="1"/>
  <c r="I55" i="26" s="1"/>
  <c r="I56" i="26" s="1"/>
  <c r="I57" i="26" s="1"/>
  <c r="I58" i="26" s="1"/>
  <c r="I59" i="26" s="1"/>
  <c r="I60" i="26" s="1"/>
  <c r="I61" i="26" s="1"/>
  <c r="I62" i="26" s="1"/>
  <c r="I63" i="26" s="1"/>
  <c r="I64" i="26" s="1"/>
  <c r="I65" i="26" s="1"/>
  <c r="I66" i="26" s="1"/>
  <c r="I67" i="26" s="1"/>
  <c r="I68" i="26" s="1"/>
  <c r="I69" i="26" s="1"/>
  <c r="I70" i="26" s="1"/>
  <c r="I71" i="26" s="1"/>
  <c r="I72" i="26" s="1"/>
  <c r="I73" i="26" s="1"/>
  <c r="I74" i="26" s="1"/>
  <c r="I75" i="26" s="1"/>
  <c r="I76" i="26" s="1"/>
  <c r="I77" i="26" s="1"/>
  <c r="I78" i="26" s="1"/>
  <c r="I79" i="26" s="1"/>
  <c r="I80" i="26" s="1"/>
  <c r="I81" i="26" s="1"/>
  <c r="I82" i="26" s="1"/>
  <c r="I83" i="26" s="1"/>
  <c r="I84" i="26" s="1"/>
  <c r="I85" i="26" s="1"/>
  <c r="I86" i="26" s="1"/>
  <c r="I87" i="26" s="1"/>
  <c r="I88" i="26" s="1"/>
  <c r="I89" i="26" s="1"/>
  <c r="I90" i="26" s="1"/>
  <c r="I91" i="26" s="1"/>
  <c r="I92" i="26" s="1"/>
  <c r="I93" i="26" s="1"/>
  <c r="I94" i="26" s="1"/>
  <c r="I95" i="26" s="1"/>
  <c r="I96" i="26" s="1"/>
  <c r="I97" i="26" s="1"/>
  <c r="I98" i="26" s="1"/>
  <c r="I99" i="26" s="1"/>
  <c r="I100" i="26" s="1"/>
  <c r="I101" i="26" s="1"/>
  <c r="I102" i="26" s="1"/>
  <c r="I103" i="26" s="1"/>
  <c r="I104" i="26" s="1"/>
  <c r="I105" i="26" s="1"/>
  <c r="I106" i="26" s="1"/>
  <c r="I107" i="26" s="1"/>
  <c r="I108" i="26" s="1"/>
  <c r="I109" i="26" s="1"/>
  <c r="I110" i="26" s="1"/>
  <c r="I111" i="26" s="1"/>
  <c r="I112" i="26" s="1"/>
  <c r="I113" i="26" s="1"/>
  <c r="I114" i="26" s="1"/>
  <c r="I115" i="26" s="1"/>
  <c r="I116" i="26" s="1"/>
  <c r="I117" i="26" s="1"/>
  <c r="I118" i="26" s="1"/>
  <c r="I119" i="26" s="1"/>
  <c r="I120" i="26" s="1"/>
  <c r="I121" i="26" s="1"/>
  <c r="I122" i="26" s="1"/>
  <c r="I123" i="26" s="1"/>
  <c r="I124" i="26" s="1"/>
  <c r="I125" i="26" s="1"/>
  <c r="I126" i="26" s="1"/>
  <c r="I127" i="26" s="1"/>
  <c r="I128" i="26" s="1"/>
  <c r="I129" i="26" s="1"/>
  <c r="I130" i="26" s="1"/>
  <c r="I131" i="26" s="1"/>
  <c r="I132" i="26" s="1"/>
  <c r="I133" i="26" s="1"/>
  <c r="I134" i="26" s="1"/>
  <c r="I135" i="26" s="1"/>
  <c r="I136" i="26" s="1"/>
  <c r="I137" i="26" s="1"/>
  <c r="I138" i="26" s="1"/>
  <c r="I139" i="26" s="1"/>
  <c r="I140" i="26" s="1"/>
  <c r="I141" i="26" s="1"/>
  <c r="I142" i="26" s="1"/>
  <c r="I143" i="26" s="1"/>
  <c r="I144" i="26" s="1"/>
  <c r="I145" i="26" s="1"/>
  <c r="I146" i="26" s="1"/>
  <c r="I147" i="26" s="1"/>
  <c r="I148" i="26" s="1"/>
  <c r="I149" i="26" s="1"/>
  <c r="I150" i="26" s="1"/>
  <c r="I151" i="26" s="1"/>
  <c r="I152" i="26" s="1"/>
  <c r="I153" i="26" s="1"/>
  <c r="I154" i="26" s="1"/>
  <c r="I155" i="26" s="1"/>
  <c r="I156" i="26" s="1"/>
  <c r="I157" i="26" s="1"/>
  <c r="I158" i="26" s="1"/>
  <c r="I159" i="26" s="1"/>
  <c r="I160" i="26" s="1"/>
  <c r="I161" i="26" s="1"/>
  <c r="I162" i="26" s="1"/>
  <c r="I163" i="26" s="1"/>
  <c r="I164" i="26" s="1"/>
  <c r="I165" i="26" s="1"/>
  <c r="I166" i="26" s="1"/>
  <c r="I167" i="26" s="1"/>
  <c r="I168" i="26" s="1"/>
  <c r="I169" i="26" s="1"/>
  <c r="I170" i="26" s="1"/>
  <c r="I171" i="26" s="1"/>
  <c r="I172" i="26" s="1"/>
  <c r="I173" i="26" s="1"/>
  <c r="I174" i="26" s="1"/>
  <c r="I175" i="26" s="1"/>
  <c r="I176" i="26" s="1"/>
  <c r="I177" i="26" s="1"/>
  <c r="I178" i="26" s="1"/>
  <c r="I179" i="26" s="1"/>
  <c r="I180" i="26" s="1"/>
  <c r="I181" i="26" s="1"/>
  <c r="I182" i="26" s="1"/>
  <c r="I183" i="26" s="1"/>
  <c r="I184" i="26" s="1"/>
  <c r="I185" i="26" s="1"/>
  <c r="I186" i="26" s="1"/>
  <c r="I187" i="26" s="1"/>
  <c r="I188" i="26" s="1"/>
  <c r="I189" i="26" s="1"/>
  <c r="I190" i="26" s="1"/>
  <c r="I191" i="26" s="1"/>
  <c r="I192" i="26" s="1"/>
  <c r="I193" i="26" s="1"/>
  <c r="I194" i="26" s="1"/>
  <c r="I195" i="26" s="1"/>
  <c r="I196" i="26" s="1"/>
  <c r="I197" i="26" s="1"/>
  <c r="I198" i="26" s="1"/>
  <c r="I199" i="26" s="1"/>
  <c r="I200" i="26" s="1"/>
  <c r="I201" i="26" s="1"/>
  <c r="I202" i="26" s="1"/>
  <c r="I203" i="26" s="1"/>
  <c r="I204" i="26" s="1"/>
  <c r="I205" i="26" s="1"/>
  <c r="I206" i="26" s="1"/>
  <c r="I207" i="26" s="1"/>
  <c r="I208" i="26" s="1"/>
  <c r="I209" i="26" s="1"/>
  <c r="I210" i="26" s="1"/>
  <c r="I211" i="26" s="1"/>
  <c r="I212" i="26" s="1"/>
  <c r="I213" i="26" s="1"/>
  <c r="I214" i="26" s="1"/>
  <c r="I215" i="26" s="1"/>
  <c r="I216" i="26" s="1"/>
  <c r="I217" i="26" s="1"/>
  <c r="I218" i="26" s="1"/>
  <c r="I219" i="26" s="1"/>
  <c r="I220" i="26" s="1"/>
  <c r="I221" i="26" s="1"/>
  <c r="I222" i="26" s="1"/>
  <c r="I223" i="26" s="1"/>
  <c r="I224" i="26" s="1"/>
  <c r="I225" i="26" s="1"/>
  <c r="I226" i="26" s="1"/>
  <c r="I227" i="26" s="1"/>
  <c r="I228" i="26" s="1"/>
  <c r="I229" i="26" s="1"/>
  <c r="I230" i="26" s="1"/>
  <c r="I231" i="26" s="1"/>
  <c r="I232" i="26" s="1"/>
  <c r="I233" i="26" s="1"/>
  <c r="I234" i="26" s="1"/>
  <c r="I235" i="26" s="1"/>
  <c r="I236" i="26" s="1"/>
  <c r="I237" i="26" s="1"/>
  <c r="I238" i="26" s="1"/>
  <c r="I239" i="26" s="1"/>
  <c r="I240" i="26" s="1"/>
  <c r="I241" i="26" s="1"/>
  <c r="I242" i="26" s="1"/>
  <c r="I243" i="26" s="1"/>
  <c r="I244" i="26" s="1"/>
  <c r="I245" i="26" s="1"/>
  <c r="I246" i="26" s="1"/>
  <c r="I247" i="26" s="1"/>
  <c r="I248" i="26" s="1"/>
  <c r="I249" i="26" s="1"/>
  <c r="I250" i="26" s="1"/>
  <c r="I251" i="26" s="1"/>
  <c r="I252" i="26" s="1"/>
  <c r="I253" i="26" s="1"/>
  <c r="I254" i="26" s="1"/>
  <c r="I255" i="26" s="1"/>
  <c r="I256" i="26" s="1"/>
  <c r="I257" i="26" s="1"/>
  <c r="I258" i="26" s="1"/>
  <c r="I259" i="26" s="1"/>
  <c r="I260" i="26" s="1"/>
  <c r="I261" i="26" s="1"/>
  <c r="I262" i="26" s="1"/>
  <c r="I263" i="26" s="1"/>
  <c r="I264" i="26" s="1"/>
  <c r="I265" i="26" s="1"/>
  <c r="I266" i="26" s="1"/>
  <c r="I267" i="26" s="1"/>
  <c r="I268" i="26" s="1"/>
  <c r="I269" i="26" s="1"/>
  <c r="I270" i="26" s="1"/>
  <c r="I271" i="26" s="1"/>
  <c r="I272" i="26" s="1"/>
  <c r="I273" i="26" s="1"/>
  <c r="I274" i="26" s="1"/>
  <c r="I275" i="26" s="1"/>
  <c r="I276" i="26" s="1"/>
  <c r="I277" i="26" s="1"/>
  <c r="I278" i="26" s="1"/>
  <c r="I279" i="26" s="1"/>
  <c r="I280" i="26" s="1"/>
  <c r="I281" i="26" s="1"/>
  <c r="I282" i="26" s="1"/>
  <c r="I283" i="26" s="1"/>
  <c r="I284" i="26" s="1"/>
  <c r="G284" i="26"/>
  <c r="G283" i="26"/>
  <c r="G282" i="26"/>
  <c r="G281" i="26"/>
  <c r="G280" i="26"/>
  <c r="G279" i="26"/>
  <c r="G278" i="26"/>
  <c r="G277" i="26"/>
  <c r="G276" i="26"/>
  <c r="G275" i="26"/>
  <c r="G274" i="26"/>
  <c r="G273" i="26"/>
  <c r="G272" i="26"/>
  <c r="G271" i="26"/>
  <c r="G270" i="26"/>
  <c r="G269" i="26"/>
  <c r="G268" i="26"/>
  <c r="G267" i="26"/>
  <c r="G266" i="26"/>
  <c r="G265" i="26"/>
  <c r="G264" i="26"/>
  <c r="G263" i="26"/>
  <c r="G262" i="26"/>
  <c r="G261" i="26"/>
  <c r="G260" i="26"/>
  <c r="G259" i="26"/>
  <c r="G258" i="26"/>
  <c r="G257" i="26"/>
  <c r="G256" i="26"/>
  <c r="G255" i="26"/>
  <c r="G254" i="26"/>
  <c r="G253" i="26"/>
  <c r="G252" i="26"/>
  <c r="G251" i="26"/>
  <c r="G250" i="26"/>
  <c r="G249" i="26"/>
  <c r="G248" i="26"/>
  <c r="G247" i="26"/>
  <c r="G246" i="26"/>
  <c r="G245" i="26"/>
  <c r="G244" i="26"/>
  <c r="G242" i="26"/>
  <c r="G241" i="26"/>
  <c r="G240" i="26"/>
  <c r="G239" i="26"/>
  <c r="G238" i="26"/>
  <c r="G237" i="26"/>
  <c r="H237" i="26" s="1"/>
  <c r="G236" i="26"/>
  <c r="G235" i="26"/>
  <c r="G234" i="26"/>
  <c r="G233" i="26"/>
  <c r="G232" i="26"/>
  <c r="G231" i="26"/>
  <c r="G230" i="26"/>
  <c r="G229" i="26"/>
  <c r="G228" i="26"/>
  <c r="G227" i="26"/>
  <c r="G226" i="26"/>
  <c r="G225" i="26"/>
  <c r="G224" i="26"/>
  <c r="G223" i="26"/>
  <c r="G222" i="26"/>
  <c r="G221" i="26"/>
  <c r="G220" i="26"/>
  <c r="G219" i="26"/>
  <c r="G218" i="26"/>
  <c r="G217" i="26"/>
  <c r="H217" i="26" s="1"/>
  <c r="G216" i="26"/>
  <c r="G215" i="26"/>
  <c r="G214" i="26"/>
  <c r="G213" i="26"/>
  <c r="G212" i="26"/>
  <c r="G211" i="26"/>
  <c r="G210" i="26"/>
  <c r="G209" i="26"/>
  <c r="G208" i="26"/>
  <c r="G207" i="26"/>
  <c r="G206" i="26"/>
  <c r="G205" i="26"/>
  <c r="H205" i="26" s="1"/>
  <c r="G204" i="26"/>
  <c r="G203" i="26"/>
  <c r="G202" i="26"/>
  <c r="G201" i="26"/>
  <c r="G200" i="26"/>
  <c r="G199" i="26"/>
  <c r="G198" i="26"/>
  <c r="H198" i="26" s="1"/>
  <c r="G197" i="26"/>
  <c r="H197" i="26" s="1"/>
  <c r="G196" i="26"/>
  <c r="H196" i="26" s="1"/>
  <c r="G195" i="26"/>
  <c r="G194" i="26"/>
  <c r="G193" i="26"/>
  <c r="H193" i="26" s="1"/>
  <c r="G192" i="26"/>
  <c r="G191" i="26"/>
  <c r="G190" i="26"/>
  <c r="G189" i="26"/>
  <c r="G188" i="26"/>
  <c r="G187" i="26"/>
  <c r="G186" i="26"/>
  <c r="G185" i="26"/>
  <c r="H185" i="26" s="1"/>
  <c r="G184" i="26"/>
  <c r="G183" i="26"/>
  <c r="G182" i="26"/>
  <c r="G181" i="26"/>
  <c r="G180" i="26"/>
  <c r="G179" i="26"/>
  <c r="G178" i="26"/>
  <c r="H178" i="26" s="1"/>
  <c r="G177" i="26"/>
  <c r="H177" i="26" s="1"/>
  <c r="G176" i="26"/>
  <c r="G175" i="26"/>
  <c r="G174" i="26"/>
  <c r="H174" i="26" s="1"/>
  <c r="G173" i="26"/>
  <c r="H173" i="26" s="1"/>
  <c r="G172" i="26"/>
  <c r="H172" i="26" s="1"/>
  <c r="G171" i="26"/>
  <c r="G170" i="26"/>
  <c r="G169" i="26"/>
  <c r="G168" i="26"/>
  <c r="H168" i="26" s="1"/>
  <c r="G167" i="26"/>
  <c r="G166" i="26"/>
  <c r="G165" i="26"/>
  <c r="H165" i="26" s="1"/>
  <c r="G164" i="26"/>
  <c r="H164" i="26" s="1"/>
  <c r="G163" i="26"/>
  <c r="G162" i="26"/>
  <c r="H162" i="26" s="1"/>
  <c r="G161" i="26"/>
  <c r="H161" i="26" s="1"/>
  <c r="G160" i="26"/>
  <c r="H160" i="26" s="1"/>
  <c r="G159" i="26"/>
  <c r="H159" i="26" s="1"/>
  <c r="G158" i="26"/>
  <c r="H158" i="26" s="1"/>
  <c r="G157" i="26"/>
  <c r="G156" i="26"/>
  <c r="H156" i="26" s="1"/>
  <c r="G155" i="26"/>
  <c r="G154" i="26"/>
  <c r="H154" i="26" s="1"/>
  <c r="G153" i="26"/>
  <c r="H153" i="26" s="1"/>
  <c r="G152" i="26"/>
  <c r="H152" i="26" s="1"/>
  <c r="G151" i="26"/>
  <c r="G150" i="26"/>
  <c r="H150" i="26" s="1"/>
  <c r="G149" i="26"/>
  <c r="H149" i="26" s="1"/>
  <c r="G148" i="26"/>
  <c r="H148" i="26" s="1"/>
  <c r="G147" i="26"/>
  <c r="G146" i="26"/>
  <c r="H146" i="26" s="1"/>
  <c r="G145" i="26"/>
  <c r="H145" i="26" s="1"/>
  <c r="G144" i="26"/>
  <c r="H144" i="26" s="1"/>
  <c r="G143" i="26"/>
  <c r="H143" i="26" s="1"/>
  <c r="G142" i="26"/>
  <c r="H142" i="26" s="1"/>
  <c r="G141" i="26"/>
  <c r="H141" i="26" s="1"/>
  <c r="G140" i="26"/>
  <c r="H140" i="26" s="1"/>
  <c r="G139" i="26"/>
  <c r="G138" i="26"/>
  <c r="H138" i="26" s="1"/>
  <c r="G137" i="26"/>
  <c r="H137" i="26" s="1"/>
  <c r="G136" i="26"/>
  <c r="H136" i="26" s="1"/>
  <c r="G135" i="26"/>
  <c r="G134" i="26"/>
  <c r="H134" i="26" s="1"/>
  <c r="G133" i="26"/>
  <c r="H133" i="26" s="1"/>
  <c r="G132" i="26"/>
  <c r="H132" i="26" s="1"/>
  <c r="G131" i="26"/>
  <c r="G130" i="26"/>
  <c r="H130" i="26" s="1"/>
  <c r="G129" i="26"/>
  <c r="H129" i="26" s="1"/>
  <c r="G128" i="26"/>
  <c r="H128" i="26" s="1"/>
  <c r="G127" i="26"/>
  <c r="G126" i="26"/>
  <c r="H126" i="26" s="1"/>
  <c r="G125" i="26"/>
  <c r="H125" i="26" s="1"/>
  <c r="G124" i="26"/>
  <c r="H124" i="26" s="1"/>
  <c r="G123" i="26"/>
  <c r="H123" i="26" s="1"/>
  <c r="G122" i="26"/>
  <c r="H122" i="26" s="1"/>
  <c r="G121" i="26"/>
  <c r="H121" i="26" s="1"/>
  <c r="G120" i="26"/>
  <c r="H120" i="26" s="1"/>
  <c r="G119" i="26"/>
  <c r="H119" i="26" s="1"/>
  <c r="G118" i="26"/>
  <c r="H118" i="26" s="1"/>
  <c r="G117" i="26"/>
  <c r="H117" i="26" s="1"/>
  <c r="G116" i="26"/>
  <c r="H116" i="26" s="1"/>
  <c r="G115" i="26"/>
  <c r="H115" i="26" s="1"/>
  <c r="G114" i="26"/>
  <c r="H114" i="26" s="1"/>
  <c r="G113" i="26"/>
  <c r="H113" i="26" s="1"/>
  <c r="G112" i="26"/>
  <c r="H112" i="26" s="1"/>
  <c r="G111" i="26"/>
  <c r="H111" i="26" s="1"/>
  <c r="G110" i="26"/>
  <c r="H110" i="26" s="1"/>
  <c r="G109" i="26"/>
  <c r="H109" i="26" s="1"/>
  <c r="G108" i="26"/>
  <c r="H108" i="26" s="1"/>
  <c r="G107" i="26"/>
  <c r="G106" i="26"/>
  <c r="H106" i="26" s="1"/>
  <c r="G105" i="26"/>
  <c r="H105" i="26" s="1"/>
  <c r="G104" i="26"/>
  <c r="H104" i="26" s="1"/>
  <c r="G103" i="26"/>
  <c r="H103" i="26" s="1"/>
  <c r="G102" i="26"/>
  <c r="H102" i="26" s="1"/>
  <c r="G101" i="26"/>
  <c r="H101" i="26" s="1"/>
  <c r="G100" i="26"/>
  <c r="H100" i="26" s="1"/>
  <c r="G99" i="26"/>
  <c r="H99" i="26" s="1"/>
  <c r="G98" i="26"/>
  <c r="H98" i="26" s="1"/>
  <c r="G97" i="26"/>
  <c r="H97" i="26" s="1"/>
  <c r="G96" i="26"/>
  <c r="H96" i="26" s="1"/>
  <c r="G95" i="26"/>
  <c r="H95" i="26" s="1"/>
  <c r="G94" i="26"/>
  <c r="H94" i="26" s="1"/>
  <c r="G93" i="26"/>
  <c r="H93" i="26" s="1"/>
  <c r="G92" i="26"/>
  <c r="H92" i="26" s="1"/>
  <c r="G91" i="26"/>
  <c r="H91" i="26" s="1"/>
  <c r="G90" i="26"/>
  <c r="H90" i="26" s="1"/>
  <c r="G89" i="26"/>
  <c r="H89" i="26" s="1"/>
  <c r="G88" i="26"/>
  <c r="H88" i="26" s="1"/>
  <c r="G87" i="26"/>
  <c r="H87" i="26" s="1"/>
  <c r="G86" i="26"/>
  <c r="H86" i="26" s="1"/>
  <c r="G85" i="26"/>
  <c r="H85" i="26" s="1"/>
  <c r="G84" i="26"/>
  <c r="H84" i="26" s="1"/>
  <c r="G83" i="26"/>
  <c r="H83" i="26" s="1"/>
  <c r="G82" i="26"/>
  <c r="H82" i="26" s="1"/>
  <c r="G81" i="26"/>
  <c r="H81" i="26" s="1"/>
  <c r="G80" i="26"/>
  <c r="H80" i="26" s="1"/>
  <c r="G79" i="26"/>
  <c r="H79" i="26" s="1"/>
  <c r="G78" i="26"/>
  <c r="H78" i="26" s="1"/>
  <c r="G77" i="26"/>
  <c r="H77" i="26" s="1"/>
  <c r="G76" i="26"/>
  <c r="H76" i="26" s="1"/>
  <c r="G75" i="26"/>
  <c r="H75" i="26" s="1"/>
  <c r="G74" i="26"/>
  <c r="H74" i="26" s="1"/>
  <c r="G73" i="26"/>
  <c r="H73" i="26" s="1"/>
  <c r="G72" i="26"/>
  <c r="H72" i="26" s="1"/>
  <c r="G71" i="26"/>
  <c r="H71" i="26" s="1"/>
  <c r="G70" i="26"/>
  <c r="H70" i="26" s="1"/>
  <c r="G69" i="26"/>
  <c r="H69" i="26" s="1"/>
  <c r="G68" i="26"/>
  <c r="H68" i="26" s="1"/>
  <c r="G67" i="26"/>
  <c r="H67" i="26" s="1"/>
  <c r="G66" i="26"/>
  <c r="H66" i="26" s="1"/>
  <c r="G65" i="26"/>
  <c r="H65" i="26" s="1"/>
  <c r="G64" i="26"/>
  <c r="H64" i="26" s="1"/>
  <c r="G63" i="26"/>
  <c r="H63" i="26" s="1"/>
  <c r="G62" i="26"/>
  <c r="H62" i="26" s="1"/>
  <c r="G61" i="26"/>
  <c r="H61" i="26" s="1"/>
  <c r="G60" i="26"/>
  <c r="H60" i="26" s="1"/>
  <c r="G59" i="26"/>
  <c r="H59" i="26" s="1"/>
  <c r="G58" i="26"/>
  <c r="H58" i="26" s="1"/>
  <c r="G57" i="26"/>
  <c r="H57" i="26" s="1"/>
  <c r="G56" i="26"/>
  <c r="H56" i="26" s="1"/>
  <c r="G55" i="26"/>
  <c r="H55" i="26" s="1"/>
  <c r="G54" i="26"/>
  <c r="G53" i="26"/>
  <c r="H53" i="26" s="1"/>
  <c r="G52" i="26"/>
  <c r="H52" i="26" s="1"/>
  <c r="G51" i="26"/>
  <c r="H51" i="26" s="1"/>
  <c r="G50" i="26"/>
  <c r="H50" i="26" s="1"/>
  <c r="G49" i="26"/>
  <c r="H49" i="26" s="1"/>
  <c r="G48" i="26"/>
  <c r="G47" i="26"/>
  <c r="H47" i="26" s="1"/>
  <c r="G46" i="26"/>
  <c r="H46" i="26" s="1"/>
  <c r="G45" i="26"/>
  <c r="H45" i="26" s="1"/>
  <c r="G44" i="26"/>
  <c r="H44" i="26" s="1"/>
  <c r="G43" i="26"/>
  <c r="H43" i="26" s="1"/>
  <c r="G42" i="26"/>
  <c r="H42" i="26" s="1"/>
  <c r="G41" i="26"/>
  <c r="H41" i="26" s="1"/>
  <c r="G40" i="26"/>
  <c r="H40" i="26" s="1"/>
  <c r="G39" i="26"/>
  <c r="H39" i="26" s="1"/>
  <c r="G38" i="26"/>
  <c r="H38" i="26" s="1"/>
  <c r="G37" i="26"/>
  <c r="H37" i="26" s="1"/>
  <c r="G36" i="26"/>
  <c r="H36" i="26" s="1"/>
  <c r="G35" i="26"/>
  <c r="H35" i="26" s="1"/>
  <c r="G34" i="26"/>
  <c r="H34" i="26" s="1"/>
  <c r="G33" i="26"/>
  <c r="H33" i="26" s="1"/>
  <c r="G32" i="26"/>
  <c r="H32" i="26" s="1"/>
  <c r="G31" i="26"/>
  <c r="H31" i="26" s="1"/>
  <c r="G30" i="26"/>
  <c r="H30" i="26" s="1"/>
  <c r="G29" i="26"/>
  <c r="H29" i="26" s="1"/>
  <c r="G28" i="26"/>
  <c r="H28" i="26" s="1"/>
  <c r="G27" i="26"/>
  <c r="H27" i="26" s="1"/>
  <c r="G26" i="26"/>
  <c r="H26" i="26" s="1"/>
  <c r="G25" i="26"/>
  <c r="H25" i="26" s="1"/>
  <c r="G24" i="26"/>
  <c r="H24" i="26" s="1"/>
  <c r="G23" i="26"/>
  <c r="H23" i="26" s="1"/>
  <c r="G22" i="26"/>
  <c r="H22" i="26" s="1"/>
  <c r="G21" i="26"/>
  <c r="H21" i="26" s="1"/>
  <c r="G20" i="26"/>
  <c r="H20" i="26" s="1"/>
  <c r="G19" i="26"/>
  <c r="H19" i="26" s="1"/>
  <c r="G18" i="26"/>
  <c r="H18" i="26" s="1"/>
  <c r="G17" i="26"/>
  <c r="H17" i="26" s="1"/>
  <c r="G16" i="26"/>
  <c r="H16" i="26" s="1"/>
  <c r="G15" i="26"/>
  <c r="H15" i="26" s="1"/>
  <c r="G14" i="26"/>
  <c r="H14" i="26" s="1"/>
  <c r="G13" i="26"/>
  <c r="H13" i="26" s="1"/>
  <c r="G12" i="26"/>
  <c r="H12" i="26" s="1"/>
  <c r="G11" i="26"/>
  <c r="H11" i="26" s="1"/>
  <c r="G10" i="26"/>
  <c r="H10" i="26" s="1"/>
  <c r="G9" i="26"/>
  <c r="H9" i="26" s="1"/>
  <c r="G8" i="26"/>
  <c r="H8" i="26" s="1"/>
  <c r="H180" i="26"/>
  <c r="H186" i="26"/>
  <c r="H188" i="26"/>
  <c r="H194" i="26"/>
  <c r="H201" i="26"/>
  <c r="H202" i="26"/>
  <c r="H204" i="26"/>
  <c r="H209" i="26"/>
  <c r="H210" i="26"/>
  <c r="H212" i="26"/>
  <c r="H218" i="26"/>
  <c r="H220" i="26"/>
  <c r="H225" i="26"/>
  <c r="H226" i="26"/>
  <c r="H228" i="26"/>
  <c r="H233" i="26"/>
  <c r="H234" i="26"/>
  <c r="H236" i="26"/>
  <c r="H241" i="26"/>
  <c r="H242" i="26"/>
  <c r="H250" i="26"/>
  <c r="H251" i="26"/>
  <c r="H258" i="26"/>
  <c r="H259" i="26"/>
  <c r="H265" i="26"/>
  <c r="H266" i="26"/>
  <c r="H267" i="26"/>
  <c r="H270" i="26"/>
  <c r="H274" i="26"/>
  <c r="H275" i="26"/>
  <c r="H278" i="26"/>
  <c r="H279" i="26"/>
  <c r="H281" i="26"/>
  <c r="H282" i="26"/>
  <c r="H283" i="26"/>
  <c r="H163" i="26"/>
  <c r="H155" i="26"/>
  <c r="H147" i="26"/>
  <c r="H139" i="26"/>
  <c r="H135" i="26"/>
  <c r="H131" i="26"/>
  <c r="H127" i="26"/>
  <c r="H107" i="26"/>
  <c r="H284" i="26"/>
  <c r="H280" i="26"/>
  <c r="H277" i="26"/>
  <c r="H276" i="26"/>
  <c r="H273" i="26"/>
  <c r="H272" i="26"/>
  <c r="H271" i="26"/>
  <c r="H269" i="26"/>
  <c r="H268" i="26"/>
  <c r="H264" i="26"/>
  <c r="H263" i="26"/>
  <c r="H262" i="26"/>
  <c r="H261" i="26"/>
  <c r="H260" i="26"/>
  <c r="H257" i="26"/>
  <c r="H256" i="26"/>
  <c r="H255" i="26"/>
  <c r="H254" i="26"/>
  <c r="H253" i="26"/>
  <c r="H252" i="26"/>
  <c r="H249" i="26"/>
  <c r="H248" i="26"/>
  <c r="H247" i="26"/>
  <c r="H246" i="26"/>
  <c r="H245" i="26"/>
  <c r="H244" i="26"/>
  <c r="H243" i="26"/>
  <c r="H240" i="26"/>
  <c r="H239" i="26"/>
  <c r="H238" i="26"/>
  <c r="H235" i="26"/>
  <c r="H232" i="26"/>
  <c r="H231" i="26"/>
  <c r="H230" i="26"/>
  <c r="H229" i="26"/>
  <c r="H227" i="26"/>
  <c r="H224" i="26"/>
  <c r="H223" i="26"/>
  <c r="H222" i="26"/>
  <c r="H221" i="26"/>
  <c r="H219" i="26"/>
  <c r="H216" i="26"/>
  <c r="H215" i="26"/>
  <c r="H214" i="26"/>
  <c r="H213" i="26"/>
  <c r="H211" i="26"/>
  <c r="H208" i="26"/>
  <c r="H207" i="26"/>
  <c r="H206" i="26"/>
  <c r="H203" i="26"/>
  <c r="H200" i="26"/>
  <c r="H199" i="26"/>
  <c r="H195" i="26"/>
  <c r="H192" i="26"/>
  <c r="H191" i="26"/>
  <c r="H190" i="26"/>
  <c r="H189" i="26"/>
  <c r="H187" i="26"/>
  <c r="H184" i="26"/>
  <c r="H183" i="26"/>
  <c r="H182" i="26"/>
  <c r="H181" i="26"/>
  <c r="H179" i="26"/>
  <c r="H176" i="26"/>
  <c r="H175" i="26"/>
  <c r="H171" i="26"/>
  <c r="H170" i="26"/>
  <c r="H169" i="26"/>
  <c r="H167" i="26"/>
  <c r="H166" i="26"/>
  <c r="H157" i="26"/>
  <c r="H151" i="26"/>
  <c r="H54" i="26"/>
  <c r="H48" i="26"/>
  <c r="K526" i="30"/>
  <c r="K525" i="30"/>
  <c r="K524" i="30"/>
  <c r="K523" i="30"/>
  <c r="K522" i="30"/>
  <c r="K521" i="30"/>
  <c r="K520" i="30"/>
  <c r="K519" i="30"/>
  <c r="K518" i="30"/>
  <c r="K517" i="30"/>
  <c r="K516" i="30"/>
  <c r="K515" i="30"/>
  <c r="K514" i="30"/>
  <c r="K513" i="30"/>
  <c r="K512" i="30"/>
  <c r="K511" i="30"/>
  <c r="K510" i="30"/>
  <c r="K509" i="30"/>
  <c r="K508" i="30"/>
  <c r="K507" i="30"/>
  <c r="K506" i="30"/>
  <c r="K505" i="30"/>
  <c r="K504" i="30"/>
  <c r="K503" i="30"/>
  <c r="K502" i="30"/>
  <c r="K501" i="30"/>
  <c r="K500" i="30"/>
  <c r="K499" i="30"/>
  <c r="K498" i="30"/>
  <c r="K497" i="30"/>
  <c r="K496" i="30"/>
  <c r="K495" i="30"/>
  <c r="K494" i="30"/>
  <c r="K493" i="30"/>
  <c r="K492" i="30"/>
  <c r="K491" i="30"/>
  <c r="K490" i="30"/>
  <c r="K489" i="30"/>
  <c r="K488" i="30"/>
  <c r="K487" i="30"/>
  <c r="K486" i="30"/>
  <c r="K485" i="30"/>
  <c r="K484" i="30"/>
  <c r="K483" i="30"/>
  <c r="K482" i="30"/>
  <c r="K481" i="30"/>
  <c r="K480" i="30"/>
  <c r="K479" i="30"/>
  <c r="K478" i="30"/>
  <c r="K477" i="30"/>
  <c r="K476" i="30"/>
  <c r="K475" i="30"/>
  <c r="K474" i="30"/>
  <c r="K473" i="30"/>
  <c r="K472" i="30"/>
  <c r="K471" i="30"/>
  <c r="K470" i="30"/>
  <c r="K469" i="30"/>
  <c r="K468" i="30"/>
  <c r="K467" i="30"/>
  <c r="K466" i="30"/>
  <c r="K465" i="30"/>
  <c r="K464" i="30"/>
  <c r="K463" i="30"/>
  <c r="K462" i="30"/>
  <c r="K461" i="30"/>
  <c r="K460" i="30"/>
  <c r="K459" i="30"/>
  <c r="K458" i="30"/>
  <c r="K457" i="30"/>
  <c r="K456" i="30"/>
  <c r="K455" i="30"/>
  <c r="K454" i="30"/>
  <c r="K453" i="30"/>
  <c r="K452" i="30"/>
  <c r="K451" i="30"/>
  <c r="K450" i="30"/>
  <c r="K449" i="30"/>
  <c r="K448" i="30"/>
  <c r="K447" i="30"/>
  <c r="K446" i="30"/>
  <c r="K445" i="30"/>
  <c r="K444" i="30"/>
  <c r="K443" i="30"/>
  <c r="K442" i="30"/>
  <c r="K441" i="30"/>
  <c r="K440" i="30"/>
  <c r="K439" i="30"/>
  <c r="K438" i="30"/>
  <c r="K437" i="30"/>
  <c r="K436" i="30"/>
  <c r="K435" i="30"/>
  <c r="K434" i="30"/>
  <c r="K433" i="30"/>
  <c r="K432" i="30"/>
  <c r="K431" i="30"/>
  <c r="K430" i="30"/>
  <c r="K429" i="30"/>
  <c r="K428" i="30"/>
  <c r="K427" i="30"/>
  <c r="K426" i="30"/>
  <c r="K425" i="30"/>
  <c r="K424" i="30"/>
  <c r="K423" i="30"/>
  <c r="K422" i="30"/>
  <c r="K421" i="30"/>
  <c r="K420" i="30"/>
  <c r="K419" i="30"/>
  <c r="K418" i="30"/>
  <c r="K417" i="30"/>
  <c r="K416" i="30"/>
  <c r="K415" i="30"/>
  <c r="K414" i="30"/>
  <c r="K413" i="30"/>
  <c r="K412" i="30"/>
  <c r="K411" i="30"/>
  <c r="K410" i="30"/>
  <c r="K409" i="30"/>
  <c r="K408" i="30"/>
  <c r="K407" i="30"/>
  <c r="K406" i="30"/>
  <c r="K405" i="30"/>
  <c r="K404" i="30"/>
  <c r="K403" i="30"/>
  <c r="K402" i="30"/>
  <c r="K401" i="30"/>
  <c r="K400" i="30"/>
  <c r="K399" i="30"/>
  <c r="K398" i="30"/>
  <c r="K397" i="30"/>
  <c r="K396" i="30"/>
  <c r="K395" i="30"/>
  <c r="K394" i="30"/>
  <c r="K393" i="30"/>
  <c r="K392" i="30"/>
  <c r="K391" i="30"/>
  <c r="K390" i="30"/>
  <c r="K389" i="30"/>
  <c r="K388" i="30"/>
  <c r="K387" i="30"/>
  <c r="K386" i="30"/>
  <c r="K385" i="30"/>
  <c r="K384" i="30"/>
  <c r="K383" i="30"/>
  <c r="K382" i="30"/>
  <c r="K381" i="30"/>
  <c r="K380" i="30"/>
  <c r="K379" i="30"/>
  <c r="K378" i="30"/>
  <c r="K377" i="30"/>
  <c r="K376" i="30"/>
  <c r="K375" i="30"/>
  <c r="K374" i="30"/>
  <c r="K373" i="30"/>
  <c r="K372" i="30"/>
  <c r="K371" i="30"/>
  <c r="K370" i="30"/>
  <c r="K369" i="30"/>
  <c r="K368" i="30"/>
  <c r="K367" i="30"/>
  <c r="K366" i="30"/>
  <c r="K365" i="30"/>
  <c r="K364" i="30"/>
  <c r="K363" i="30"/>
  <c r="K362" i="30"/>
  <c r="K361" i="30"/>
  <c r="K360" i="30"/>
  <c r="K359" i="30"/>
  <c r="K358" i="30"/>
  <c r="K357" i="30"/>
  <c r="K356" i="30"/>
  <c r="K355" i="30"/>
  <c r="K354" i="30"/>
  <c r="K353" i="30"/>
  <c r="K352" i="30"/>
  <c r="K351" i="30"/>
  <c r="K350" i="30"/>
  <c r="K349" i="30"/>
  <c r="K348" i="30"/>
  <c r="K347" i="30"/>
  <c r="K346" i="30"/>
  <c r="K345" i="30"/>
  <c r="K344" i="30"/>
  <c r="K343" i="30"/>
  <c r="K342" i="30"/>
  <c r="K341" i="30"/>
  <c r="K340" i="30"/>
  <c r="K339" i="30"/>
  <c r="K338" i="30"/>
  <c r="K337" i="30"/>
  <c r="K336" i="30"/>
  <c r="K335" i="30"/>
  <c r="K334" i="30"/>
  <c r="K333" i="30"/>
  <c r="K332" i="30"/>
  <c r="K331" i="30"/>
  <c r="K330" i="30"/>
  <c r="K329" i="30"/>
  <c r="K328" i="30"/>
  <c r="K327" i="30"/>
  <c r="K326" i="30"/>
  <c r="K325" i="30"/>
  <c r="K324" i="30"/>
  <c r="K323" i="30"/>
  <c r="K322" i="30"/>
  <c r="K321" i="30"/>
  <c r="K320" i="30"/>
  <c r="K319" i="30"/>
  <c r="K318" i="30"/>
  <c r="K317" i="30"/>
  <c r="K316" i="30"/>
  <c r="K315" i="30"/>
  <c r="K314" i="30"/>
  <c r="K313" i="30"/>
  <c r="K312" i="30"/>
  <c r="K311" i="30"/>
  <c r="K310" i="30"/>
  <c r="K309" i="30"/>
  <c r="K308" i="30"/>
  <c r="K307" i="30"/>
  <c r="K306" i="30"/>
  <c r="K305" i="30"/>
  <c r="K304" i="30"/>
  <c r="K303" i="30"/>
  <c r="K302" i="30"/>
  <c r="K301" i="30"/>
  <c r="K300" i="30"/>
  <c r="K299" i="30"/>
  <c r="K298" i="30"/>
  <c r="K297" i="30"/>
  <c r="K296" i="30"/>
  <c r="K295" i="30"/>
  <c r="K294" i="30"/>
  <c r="K293" i="30"/>
  <c r="K292" i="30"/>
  <c r="K291" i="30"/>
  <c r="K290" i="30"/>
  <c r="K289" i="30"/>
  <c r="K288" i="30"/>
  <c r="K287" i="30"/>
  <c r="K286" i="30"/>
  <c r="K285" i="30"/>
  <c r="K284" i="30"/>
  <c r="K283" i="30"/>
  <c r="K282" i="30"/>
  <c r="K281" i="30"/>
  <c r="K280" i="30"/>
  <c r="K279" i="30"/>
  <c r="K278" i="30"/>
  <c r="K277" i="30"/>
  <c r="K276" i="30"/>
  <c r="K275" i="30"/>
  <c r="K274" i="30"/>
  <c r="K273" i="30"/>
  <c r="K272" i="30"/>
  <c r="K271" i="30"/>
  <c r="K270" i="30"/>
  <c r="K269" i="30"/>
  <c r="K268" i="30"/>
  <c r="K267" i="30"/>
  <c r="K266" i="30"/>
  <c r="K265" i="30"/>
  <c r="K264" i="30"/>
  <c r="K263" i="30"/>
  <c r="K262" i="30"/>
  <c r="K261" i="30"/>
  <c r="K260" i="30"/>
  <c r="K259" i="30"/>
  <c r="K258" i="30"/>
  <c r="K257" i="30"/>
  <c r="K256" i="30"/>
  <c r="K255" i="30"/>
  <c r="K254" i="30"/>
  <c r="K253" i="30"/>
  <c r="K252" i="30"/>
  <c r="K251" i="30"/>
  <c r="K250" i="30"/>
  <c r="K249" i="30"/>
  <c r="K248" i="30"/>
  <c r="K247" i="30"/>
  <c r="K246" i="30"/>
  <c r="K245" i="30"/>
  <c r="K244" i="30"/>
  <c r="K243" i="30"/>
  <c r="K242" i="30"/>
  <c r="K241" i="30"/>
  <c r="K240" i="30"/>
  <c r="K239" i="30"/>
  <c r="K238" i="30"/>
  <c r="K237" i="30"/>
  <c r="K236" i="30"/>
  <c r="K235" i="30"/>
  <c r="K234" i="30"/>
  <c r="K233" i="30"/>
  <c r="K232" i="30"/>
  <c r="K231" i="30"/>
  <c r="K230" i="30"/>
  <c r="K229" i="30"/>
  <c r="K228" i="30"/>
  <c r="K227" i="30"/>
  <c r="K226" i="30"/>
  <c r="K225" i="30"/>
  <c r="K224" i="30"/>
  <c r="K223" i="30"/>
  <c r="K222" i="30"/>
  <c r="K221" i="30"/>
  <c r="K220" i="30"/>
  <c r="K219" i="30"/>
  <c r="K218" i="30"/>
  <c r="K217" i="30"/>
  <c r="K216" i="30"/>
  <c r="K215" i="30"/>
  <c r="K214" i="30"/>
  <c r="K213" i="30"/>
  <c r="K212" i="30"/>
  <c r="K211" i="30"/>
  <c r="K210" i="30"/>
  <c r="K209" i="30"/>
  <c r="K208" i="30"/>
  <c r="K207" i="30"/>
  <c r="K206" i="30"/>
  <c r="K205" i="30"/>
  <c r="K204" i="30"/>
  <c r="K203" i="30"/>
  <c r="K202" i="30"/>
  <c r="K201" i="30"/>
  <c r="K200" i="30"/>
  <c r="K199" i="30"/>
  <c r="K198" i="30"/>
  <c r="K197" i="30"/>
  <c r="K196" i="30"/>
  <c r="K195" i="30"/>
  <c r="K194" i="30"/>
  <c r="K193" i="30"/>
  <c r="K192" i="30"/>
  <c r="K191" i="30"/>
  <c r="K190" i="30"/>
  <c r="K189" i="30"/>
  <c r="K188" i="30"/>
  <c r="K187" i="30"/>
  <c r="K186" i="30"/>
  <c r="K185" i="30"/>
  <c r="K184" i="30"/>
  <c r="K183" i="30"/>
  <c r="K182" i="30"/>
  <c r="K181" i="30"/>
  <c r="K180" i="30"/>
  <c r="K179" i="30"/>
  <c r="K178" i="30"/>
  <c r="K177" i="30"/>
  <c r="K176" i="30"/>
  <c r="K175" i="30"/>
  <c r="K174" i="30"/>
  <c r="K173" i="30"/>
  <c r="K172" i="30"/>
  <c r="K171" i="30"/>
  <c r="K170" i="30"/>
  <c r="K169" i="30"/>
  <c r="K168" i="30"/>
  <c r="K167" i="30"/>
  <c r="K166" i="30"/>
  <c r="K165" i="30"/>
  <c r="K164" i="30"/>
  <c r="K163" i="30"/>
  <c r="K162" i="30"/>
  <c r="K161" i="30"/>
  <c r="K160" i="30"/>
  <c r="K159" i="30"/>
  <c r="K158" i="30"/>
  <c r="K157" i="30"/>
  <c r="K156" i="30"/>
  <c r="K155" i="30"/>
  <c r="K154" i="30"/>
  <c r="K153" i="30"/>
  <c r="K152" i="30"/>
  <c r="K151" i="30"/>
  <c r="K150" i="30"/>
  <c r="K149" i="30"/>
  <c r="K148" i="30"/>
  <c r="K147" i="30"/>
  <c r="K146" i="30"/>
  <c r="K145" i="30"/>
  <c r="K144" i="30"/>
  <c r="K143" i="30"/>
  <c r="K142" i="30"/>
  <c r="K141" i="30"/>
  <c r="K140" i="30"/>
  <c r="K139" i="30"/>
  <c r="K138" i="30"/>
  <c r="K137" i="30"/>
  <c r="K136" i="30"/>
  <c r="K135" i="30"/>
  <c r="K134" i="30"/>
  <c r="K133" i="30"/>
  <c r="K132" i="30"/>
  <c r="K131" i="30"/>
  <c r="K130" i="30"/>
  <c r="K129" i="30"/>
  <c r="K128" i="30"/>
  <c r="K127" i="30"/>
  <c r="K126" i="30"/>
  <c r="K125" i="30"/>
  <c r="K124" i="30"/>
  <c r="K123" i="30"/>
  <c r="K122" i="30"/>
  <c r="K121" i="30"/>
  <c r="K120" i="30"/>
  <c r="K119" i="30"/>
  <c r="K118" i="30"/>
  <c r="K117" i="30"/>
  <c r="K116" i="30"/>
  <c r="K115" i="30"/>
  <c r="K114" i="30"/>
  <c r="K113" i="30"/>
  <c r="K112" i="30"/>
  <c r="K111" i="30"/>
  <c r="K110" i="30"/>
  <c r="K109" i="30"/>
  <c r="K108" i="30"/>
  <c r="K107" i="30"/>
  <c r="K106" i="30"/>
  <c r="K105" i="30"/>
  <c r="K104" i="30"/>
  <c r="K103" i="30"/>
  <c r="K102" i="30"/>
  <c r="K101" i="30"/>
  <c r="K100" i="30"/>
  <c r="K99" i="30"/>
  <c r="K98" i="30"/>
  <c r="K97" i="30"/>
  <c r="K96" i="30"/>
  <c r="K95" i="30"/>
  <c r="K94" i="30"/>
  <c r="K93" i="30"/>
  <c r="K92" i="30"/>
  <c r="K91" i="30"/>
  <c r="K90" i="30"/>
  <c r="K89" i="30"/>
  <c r="K88" i="30"/>
  <c r="K87" i="30"/>
  <c r="K86" i="30"/>
  <c r="K85" i="30"/>
  <c r="K84" i="30"/>
  <c r="K83" i="30"/>
  <c r="K82" i="30"/>
  <c r="K81" i="30"/>
  <c r="K80" i="30"/>
  <c r="K79" i="30"/>
  <c r="K78" i="30"/>
  <c r="K77" i="30"/>
  <c r="K76" i="30"/>
  <c r="K75" i="30"/>
  <c r="K74" i="30"/>
  <c r="K73" i="30"/>
  <c r="K72" i="30"/>
  <c r="K71" i="30"/>
  <c r="K70" i="30"/>
  <c r="K69" i="30"/>
  <c r="K68" i="30"/>
  <c r="K67" i="30"/>
  <c r="K66" i="30"/>
  <c r="K65" i="30"/>
  <c r="K64" i="30"/>
  <c r="K63" i="30"/>
  <c r="K62" i="30"/>
  <c r="K61" i="30"/>
  <c r="K60" i="30"/>
  <c r="K59" i="30"/>
  <c r="K58" i="30"/>
  <c r="K57" i="30"/>
  <c r="K56" i="30"/>
  <c r="K55" i="30"/>
  <c r="K54" i="30"/>
  <c r="K53" i="30"/>
  <c r="K52" i="30"/>
  <c r="K51" i="30"/>
  <c r="K50" i="30"/>
  <c r="K49" i="30"/>
  <c r="K48" i="30"/>
  <c r="K47" i="30"/>
  <c r="K46" i="30"/>
  <c r="K45" i="30"/>
  <c r="K44" i="30"/>
  <c r="K43" i="30"/>
  <c r="K42" i="30"/>
  <c r="K41" i="30"/>
  <c r="K40" i="30"/>
  <c r="K39" i="30"/>
  <c r="K38" i="30"/>
  <c r="K37" i="30"/>
  <c r="K36" i="30"/>
  <c r="K35" i="30"/>
  <c r="K34" i="30"/>
  <c r="K33" i="30"/>
  <c r="K32" i="30"/>
  <c r="K31" i="30"/>
  <c r="K30" i="30"/>
  <c r="K29" i="30"/>
  <c r="K28" i="30"/>
  <c r="K27" i="30"/>
  <c r="K26" i="30"/>
  <c r="K25" i="30"/>
  <c r="K24" i="30"/>
  <c r="K23" i="30"/>
  <c r="K22" i="30"/>
  <c r="K21" i="30"/>
  <c r="K20" i="30"/>
  <c r="K19" i="30"/>
  <c r="K18" i="30"/>
  <c r="K17" i="30"/>
  <c r="K16" i="30"/>
  <c r="K15" i="30"/>
  <c r="K14" i="30"/>
  <c r="K13" i="30"/>
  <c r="K12" i="30"/>
  <c r="K11" i="30"/>
  <c r="K10" i="30"/>
  <c r="K9" i="30"/>
  <c r="K8" i="30"/>
  <c r="H13" i="29"/>
  <c r="G13" i="29" s="1"/>
  <c r="H14" i="29"/>
  <c r="G14" i="29" s="1"/>
  <c r="H15" i="29"/>
  <c r="G15" i="29" s="1"/>
  <c r="H16" i="29"/>
  <c r="G16" i="29" s="1"/>
  <c r="H17" i="29"/>
  <c r="G17" i="29" s="1"/>
  <c r="G18" i="29"/>
  <c r="H18" i="29"/>
  <c r="H19" i="29"/>
  <c r="G19" i="29" s="1"/>
  <c r="H20" i="29"/>
  <c r="G20" i="29" s="1"/>
  <c r="H21" i="29"/>
  <c r="G21" i="29" s="1"/>
  <c r="H22" i="29"/>
  <c r="G22" i="29" s="1"/>
  <c r="H23" i="29"/>
  <c r="G23" i="29" s="1"/>
  <c r="H24" i="29"/>
  <c r="G24" i="29" s="1"/>
  <c r="H25" i="29"/>
  <c r="G25" i="29" s="1"/>
  <c r="H26" i="29"/>
  <c r="G26" i="29" s="1"/>
  <c r="H27" i="29"/>
  <c r="G27" i="29" s="1"/>
  <c r="H28" i="29"/>
  <c r="G28" i="29" s="1"/>
  <c r="H29" i="29"/>
  <c r="G29" i="29" s="1"/>
  <c r="H30" i="29"/>
  <c r="G30" i="29" s="1"/>
  <c r="H31" i="29"/>
  <c r="G31" i="29" s="1"/>
  <c r="H32" i="29"/>
  <c r="G32" i="29" s="1"/>
  <c r="H33" i="29"/>
  <c r="G33" i="29" s="1"/>
  <c r="H34" i="29"/>
  <c r="G34" i="29" s="1"/>
  <c r="H35" i="29"/>
  <c r="G35" i="29" s="1"/>
  <c r="H36" i="29"/>
  <c r="G36" i="29" s="1"/>
  <c r="H37" i="29"/>
  <c r="G37" i="29" s="1"/>
  <c r="H38" i="29"/>
  <c r="G38" i="29" s="1"/>
  <c r="H39" i="29"/>
  <c r="G39" i="29" s="1"/>
  <c r="H40" i="29"/>
  <c r="G40" i="29" s="1"/>
  <c r="H41" i="29"/>
  <c r="G41" i="29" s="1"/>
  <c r="H42" i="29"/>
  <c r="G42" i="29" s="1"/>
  <c r="H43" i="29"/>
  <c r="G43" i="29" s="1"/>
  <c r="H44" i="29"/>
  <c r="G44" i="29" s="1"/>
  <c r="H45" i="29"/>
  <c r="G45" i="29" s="1"/>
  <c r="H46" i="29"/>
  <c r="G46" i="29" s="1"/>
  <c r="H47" i="29"/>
  <c r="G47" i="29" s="1"/>
  <c r="H48" i="29"/>
  <c r="G48" i="29" s="1"/>
  <c r="H49" i="29"/>
  <c r="G49" i="29" s="1"/>
  <c r="H50" i="29"/>
  <c r="G50" i="29" s="1"/>
  <c r="H51" i="29"/>
  <c r="G51" i="29" s="1"/>
  <c r="H52" i="29"/>
  <c r="G52" i="29" s="1"/>
  <c r="H53" i="29"/>
  <c r="G53" i="29" s="1"/>
  <c r="H54" i="29"/>
  <c r="G54" i="29" s="1"/>
  <c r="H55" i="29"/>
  <c r="G55" i="29" s="1"/>
  <c r="H56" i="29"/>
  <c r="G56" i="29" s="1"/>
  <c r="H57" i="29"/>
  <c r="G57" i="29" s="1"/>
  <c r="G58" i="29"/>
  <c r="D31" i="21" s="1"/>
  <c r="H58" i="29"/>
  <c r="H59" i="29"/>
  <c r="G59" i="29" s="1"/>
  <c r="H60" i="29"/>
  <c r="G60" i="29" s="1"/>
  <c r="H61" i="29"/>
  <c r="G61" i="29" s="1"/>
  <c r="H62" i="29"/>
  <c r="G62" i="29" s="1"/>
  <c r="H63" i="29"/>
  <c r="G63" i="29" s="1"/>
  <c r="H64" i="29"/>
  <c r="G64" i="29" s="1"/>
  <c r="H65" i="29"/>
  <c r="G65" i="29" s="1"/>
  <c r="H66" i="29"/>
  <c r="G66" i="29" s="1"/>
  <c r="H67" i="29"/>
  <c r="G67" i="29" s="1"/>
  <c r="H68" i="29"/>
  <c r="G68" i="29" s="1"/>
  <c r="H69" i="29"/>
  <c r="G69" i="29" s="1"/>
  <c r="H70" i="29"/>
  <c r="G70" i="29" s="1"/>
  <c r="H71" i="29"/>
  <c r="G71" i="29" s="1"/>
  <c r="H72" i="29"/>
  <c r="G72" i="29" s="1"/>
  <c r="H73" i="29"/>
  <c r="G73" i="29" s="1"/>
  <c r="H74" i="29"/>
  <c r="G74" i="29" s="1"/>
  <c r="H75" i="29"/>
  <c r="G75" i="29" s="1"/>
  <c r="H76" i="29"/>
  <c r="G76" i="29" s="1"/>
  <c r="H77" i="29"/>
  <c r="G77" i="29" s="1"/>
  <c r="H78" i="29"/>
  <c r="G78" i="29" s="1"/>
  <c r="H79" i="29"/>
  <c r="G79" i="29" s="1"/>
  <c r="H80" i="29"/>
  <c r="G80" i="29" s="1"/>
  <c r="H81" i="29"/>
  <c r="G81" i="29" s="1"/>
  <c r="H82" i="29"/>
  <c r="G82" i="29" s="1"/>
  <c r="H83" i="29"/>
  <c r="G83" i="29" s="1"/>
  <c r="H84" i="29"/>
  <c r="G84" i="29" s="1"/>
  <c r="H85" i="29"/>
  <c r="G85" i="29" s="1"/>
  <c r="H86" i="29"/>
  <c r="G86" i="29" s="1"/>
  <c r="H87" i="29"/>
  <c r="G87" i="29" s="1"/>
  <c r="H88" i="29"/>
  <c r="G88" i="29" s="1"/>
  <c r="H89" i="29"/>
  <c r="G89" i="29" s="1"/>
  <c r="H90" i="29"/>
  <c r="G90" i="29" s="1"/>
  <c r="H91" i="29"/>
  <c r="G91" i="29" s="1"/>
  <c r="H92" i="29"/>
  <c r="G92" i="29" s="1"/>
  <c r="H93" i="29"/>
  <c r="G93" i="29" s="1"/>
  <c r="H94" i="29"/>
  <c r="G94" i="29" s="1"/>
  <c r="H95" i="29"/>
  <c r="G95" i="29" s="1"/>
  <c r="H96" i="29"/>
  <c r="G96" i="29" s="1"/>
  <c r="H97" i="29"/>
  <c r="G97" i="29" s="1"/>
  <c r="H98" i="29"/>
  <c r="G98" i="29" s="1"/>
  <c r="H99" i="29"/>
  <c r="G99" i="29" s="1"/>
  <c r="H100" i="29"/>
  <c r="G100" i="29" s="1"/>
  <c r="H101" i="29"/>
  <c r="G101" i="29" s="1"/>
  <c r="H102" i="29"/>
  <c r="G102" i="29" s="1"/>
  <c r="H103" i="29"/>
  <c r="G103" i="29" s="1"/>
  <c r="H104" i="29"/>
  <c r="G104" i="29" s="1"/>
  <c r="H105" i="29"/>
  <c r="G105" i="29" s="1"/>
  <c r="G106" i="29"/>
  <c r="H106" i="29"/>
  <c r="H107" i="29"/>
  <c r="G107" i="29" s="1"/>
  <c r="H108" i="29"/>
  <c r="G108" i="29" s="1"/>
  <c r="H109" i="29"/>
  <c r="G109" i="29" s="1"/>
  <c r="H110" i="29"/>
  <c r="G110" i="29" s="1"/>
  <c r="H111" i="29"/>
  <c r="G111" i="29" s="1"/>
  <c r="H112" i="29"/>
  <c r="G112" i="29" s="1"/>
  <c r="H113" i="29"/>
  <c r="G113" i="29" s="1"/>
  <c r="H114" i="29"/>
  <c r="G114" i="29" s="1"/>
  <c r="H115" i="29"/>
  <c r="G115" i="29" s="1"/>
  <c r="H116" i="29"/>
  <c r="G116" i="29" s="1"/>
  <c r="H117" i="29"/>
  <c r="G117" i="29" s="1"/>
  <c r="H118" i="29"/>
  <c r="G118" i="29" s="1"/>
  <c r="G119" i="29"/>
  <c r="H119" i="29"/>
  <c r="G120" i="29"/>
  <c r="H120" i="29"/>
  <c r="G121" i="29"/>
  <c r="H121" i="29"/>
  <c r="G122" i="29"/>
  <c r="H122" i="29"/>
  <c r="G123" i="29"/>
  <c r="H123" i="29"/>
  <c r="D33" i="21" l="1"/>
  <c r="D13" i="21"/>
  <c r="V583" i="26"/>
  <c r="AN583" i="26"/>
  <c r="AL859" i="26"/>
  <c r="AL857" i="26"/>
  <c r="AL855" i="26"/>
  <c r="AL853" i="26"/>
  <c r="AL851" i="26"/>
  <c r="AL849" i="26"/>
  <c r="AL847" i="26"/>
  <c r="AL845" i="26"/>
  <c r="AL843" i="26"/>
  <c r="AL841" i="26"/>
  <c r="AL839" i="26"/>
  <c r="AL837" i="26"/>
  <c r="AL835" i="26"/>
  <c r="AL833" i="26"/>
  <c r="AL831" i="26"/>
  <c r="AL829" i="26"/>
  <c r="AL827" i="26"/>
  <c r="AL825" i="26"/>
  <c r="AN858" i="26"/>
  <c r="AN856" i="26"/>
  <c r="AN854" i="26"/>
  <c r="AN852" i="26"/>
  <c r="AN850" i="26"/>
  <c r="AN848" i="26"/>
  <c r="AN846" i="26"/>
  <c r="AN842" i="26"/>
  <c r="AN840" i="26"/>
  <c r="AN836" i="26"/>
  <c r="AN834" i="26"/>
  <c r="AN832" i="26"/>
  <c r="AN830" i="26"/>
  <c r="AN828" i="26"/>
  <c r="AN826" i="26"/>
  <c r="AN824" i="26"/>
  <c r="AN822" i="26"/>
  <c r="AN820" i="26"/>
  <c r="AN816" i="26"/>
  <c r="AN814" i="26"/>
  <c r="AN812" i="26"/>
  <c r="AN810" i="26"/>
  <c r="AN808" i="26"/>
  <c r="AN806" i="26"/>
  <c r="AN804" i="26"/>
  <c r="AN802" i="26"/>
  <c r="AN800" i="26"/>
  <c r="AN798" i="26"/>
  <c r="AN796" i="26"/>
  <c r="AN794" i="26"/>
  <c r="AN792" i="26"/>
  <c r="AN790" i="26"/>
  <c r="AN788" i="26"/>
  <c r="AN786" i="26"/>
  <c r="AN784" i="26"/>
  <c r="AN782" i="26"/>
  <c r="AN780" i="26"/>
  <c r="AN778" i="26"/>
  <c r="AN776" i="26"/>
  <c r="AN774" i="26"/>
  <c r="AN772" i="26"/>
  <c r="AN770" i="26"/>
  <c r="AN768" i="26"/>
  <c r="AN766" i="26"/>
  <c r="AN764" i="26"/>
  <c r="AN762" i="26"/>
  <c r="AN758" i="26"/>
  <c r="AN756" i="26"/>
  <c r="AN754" i="26"/>
  <c r="AN752" i="26"/>
  <c r="AN750" i="26"/>
  <c r="AN748" i="26"/>
  <c r="AN746" i="26"/>
  <c r="AN744" i="26"/>
  <c r="AN742" i="26"/>
  <c r="AN740" i="26"/>
  <c r="AN738" i="26"/>
  <c r="AN736" i="26"/>
  <c r="AN734" i="26"/>
  <c r="AN732" i="26"/>
  <c r="AN730" i="26"/>
  <c r="AN726" i="26"/>
  <c r="AN857" i="26"/>
  <c r="AN855" i="26"/>
  <c r="AN853" i="26"/>
  <c r="AN851" i="26"/>
  <c r="AN847" i="26"/>
  <c r="AN845" i="26"/>
  <c r="AN843" i="26"/>
  <c r="AN841" i="26"/>
  <c r="AN839" i="26"/>
  <c r="AN837" i="26"/>
  <c r="AN835" i="26"/>
  <c r="AN833" i="26"/>
  <c r="AN831" i="26"/>
  <c r="AN829" i="26"/>
  <c r="AN827" i="26"/>
  <c r="AN823" i="26"/>
  <c r="AN821" i="26"/>
  <c r="AN819" i="26"/>
  <c r="AN817" i="26"/>
  <c r="AN815" i="26"/>
  <c r="AN813" i="26"/>
  <c r="AN811" i="26"/>
  <c r="AN809" i="26"/>
  <c r="AN805" i="26"/>
  <c r="AN803" i="26"/>
  <c r="AN801" i="26"/>
  <c r="AN799" i="26"/>
  <c r="AN797" i="26"/>
  <c r="AN795" i="26"/>
  <c r="AN793" i="26"/>
  <c r="AN791" i="26"/>
  <c r="AN789" i="26"/>
  <c r="AN787" i="26"/>
  <c r="AN785" i="26"/>
  <c r="AN783" i="26"/>
  <c r="AN781" i="26"/>
  <c r="AN779" i="26"/>
  <c r="AN777" i="26"/>
  <c r="AN775" i="26"/>
  <c r="AN773" i="26"/>
  <c r="AN771" i="26"/>
  <c r="AN769" i="26"/>
  <c r="AN767" i="26"/>
  <c r="AN765" i="26"/>
  <c r="AN763" i="26"/>
  <c r="AN761" i="26"/>
  <c r="AN759" i="26"/>
  <c r="AN757" i="26"/>
  <c r="AN755" i="26"/>
  <c r="AN753" i="26"/>
  <c r="AN751" i="26"/>
  <c r="AN749" i="26"/>
  <c r="AN747" i="26"/>
  <c r="AN745" i="26"/>
  <c r="AN743" i="26"/>
  <c r="AN741" i="26"/>
  <c r="AN739" i="26"/>
  <c r="AN737" i="26"/>
  <c r="AN735" i="26"/>
  <c r="AN733" i="26"/>
  <c r="AN731" i="26"/>
  <c r="AN729" i="26"/>
  <c r="AN725" i="26"/>
  <c r="AN715" i="26"/>
  <c r="AN699" i="26"/>
  <c r="AN693" i="26"/>
  <c r="AN667" i="26"/>
  <c r="AN661" i="26"/>
  <c r="AM859" i="26"/>
  <c r="AM857" i="26"/>
  <c r="AM855" i="26"/>
  <c r="AM853" i="26"/>
  <c r="AM851" i="26"/>
  <c r="AM849" i="26"/>
  <c r="AM847" i="26"/>
  <c r="AM845" i="26"/>
  <c r="AM843" i="26"/>
  <c r="AM841" i="26"/>
  <c r="AM839" i="26"/>
  <c r="AM837" i="26"/>
  <c r="AM835" i="26"/>
  <c r="AM833" i="26"/>
  <c r="AM831" i="26"/>
  <c r="AM829" i="26"/>
  <c r="AM827" i="26"/>
  <c r="AM825" i="26"/>
  <c r="AM823" i="26"/>
  <c r="AM821" i="26"/>
  <c r="AM819" i="26"/>
  <c r="AM817" i="26"/>
  <c r="AM815" i="26"/>
  <c r="AM813" i="26"/>
  <c r="AM811" i="26"/>
  <c r="AM809" i="26"/>
  <c r="AM807" i="26"/>
  <c r="AM805" i="26"/>
  <c r="AM803" i="26"/>
  <c r="AM801" i="26"/>
  <c r="AM799" i="26"/>
  <c r="AM797" i="26"/>
  <c r="AM795" i="26"/>
  <c r="AM793" i="26"/>
  <c r="AM791" i="26"/>
  <c r="AM789" i="26"/>
  <c r="AM787" i="26"/>
  <c r="AM785" i="26"/>
  <c r="AM783" i="26"/>
  <c r="AM781" i="26"/>
  <c r="AM779" i="26"/>
  <c r="AM777" i="26"/>
  <c r="AM775" i="26"/>
  <c r="AM773" i="26"/>
  <c r="AM771" i="26"/>
  <c r="AM769" i="26"/>
  <c r="AM767" i="26"/>
  <c r="AM765" i="26"/>
  <c r="AM763" i="26"/>
  <c r="AM761" i="26"/>
  <c r="AM759" i="26"/>
  <c r="AM757" i="26"/>
  <c r="AM755" i="26"/>
  <c r="AM753" i="26"/>
  <c r="AM751" i="26"/>
  <c r="AM749" i="26"/>
  <c r="AM747" i="26"/>
  <c r="AM745" i="26"/>
  <c r="AM743" i="26"/>
  <c r="AM741" i="26"/>
  <c r="AM739" i="26"/>
  <c r="AM737" i="26"/>
  <c r="AM735" i="26"/>
  <c r="AM733" i="26"/>
  <c r="AM729" i="26"/>
  <c r="AM713" i="26"/>
  <c r="AM711" i="26"/>
  <c r="AM707" i="26"/>
  <c r="AM681" i="26"/>
  <c r="AM675" i="26"/>
  <c r="AM647" i="26"/>
  <c r="AL823" i="26"/>
  <c r="AL821" i="26"/>
  <c r="AL819" i="26"/>
  <c r="AL817" i="26"/>
  <c r="AL815" i="26"/>
  <c r="AL813" i="26"/>
  <c r="AL811" i="26"/>
  <c r="AL809" i="26"/>
  <c r="AL807" i="26"/>
  <c r="AL805" i="26"/>
  <c r="AL803" i="26"/>
  <c r="AL801" i="26"/>
  <c r="AL799" i="26"/>
  <c r="AL797" i="26"/>
  <c r="AL795" i="26"/>
  <c r="AL793" i="26"/>
  <c r="AL791" i="26"/>
  <c r="AL789" i="26"/>
  <c r="AL787" i="26"/>
  <c r="AL785" i="26"/>
  <c r="AL783" i="26"/>
  <c r="AL781" i="26"/>
  <c r="AL779" i="26"/>
  <c r="AL777" i="26"/>
  <c r="AL775" i="26"/>
  <c r="AL773" i="26"/>
  <c r="AL771" i="26"/>
  <c r="AL769" i="26"/>
  <c r="AL767" i="26"/>
  <c r="AL765" i="26"/>
  <c r="AL763" i="26"/>
  <c r="AL761" i="26"/>
  <c r="AL759" i="26"/>
  <c r="AL757" i="26"/>
  <c r="AL755" i="26"/>
  <c r="AL753" i="26"/>
  <c r="AL751" i="26"/>
  <c r="AL749" i="26"/>
  <c r="AL747" i="26"/>
  <c r="AL745" i="26"/>
  <c r="AL743" i="26"/>
  <c r="AL741" i="26"/>
  <c r="AL739" i="26"/>
  <c r="AL737" i="26"/>
  <c r="AL735" i="26"/>
  <c r="AL727" i="26"/>
  <c r="AL725" i="26"/>
  <c r="AL721" i="26"/>
  <c r="AL711" i="26"/>
  <c r="AL695" i="26"/>
  <c r="AL689" i="26"/>
  <c r="AL663" i="26"/>
  <c r="AL657" i="26"/>
  <c r="AK859" i="26"/>
  <c r="AK857" i="26"/>
  <c r="AK855" i="26"/>
  <c r="AK853" i="26"/>
  <c r="AK851" i="26"/>
  <c r="AK849" i="26"/>
  <c r="AK847" i="26"/>
  <c r="AK845" i="26"/>
  <c r="AK843" i="26"/>
  <c r="AK841" i="26"/>
  <c r="AK839" i="26"/>
  <c r="AK837" i="26"/>
  <c r="AK835" i="26"/>
  <c r="AK833" i="26"/>
  <c r="AK831" i="26"/>
  <c r="AK829" i="26"/>
  <c r="AK827" i="26"/>
  <c r="AK825" i="26"/>
  <c r="AK823" i="26"/>
  <c r="AK821" i="26"/>
  <c r="AK819" i="26"/>
  <c r="AK817" i="26"/>
  <c r="AK815" i="26"/>
  <c r="AK813" i="26"/>
  <c r="AK811" i="26"/>
  <c r="AK809" i="26"/>
  <c r="AK807" i="26"/>
  <c r="AK805" i="26"/>
  <c r="AK803" i="26"/>
  <c r="AK801" i="26"/>
  <c r="AK799" i="26"/>
  <c r="AK797" i="26"/>
  <c r="AK795" i="26"/>
  <c r="AK793" i="26"/>
  <c r="AK791" i="26"/>
  <c r="AK789" i="26"/>
  <c r="AK787" i="26"/>
  <c r="AK785" i="26"/>
  <c r="AK783" i="26"/>
  <c r="AK781" i="26"/>
  <c r="AK779" i="26"/>
  <c r="AK777" i="26"/>
  <c r="AK775" i="26"/>
  <c r="AK773" i="26"/>
  <c r="AK771" i="26"/>
  <c r="AK769" i="26"/>
  <c r="AK767" i="26"/>
  <c r="AK765" i="26"/>
  <c r="AK763" i="26"/>
  <c r="AK761" i="26"/>
  <c r="AK759" i="26"/>
  <c r="AK757" i="26"/>
  <c r="AK755" i="26"/>
  <c r="AK753" i="26"/>
  <c r="AK751" i="26"/>
  <c r="AK749" i="26"/>
  <c r="AK747" i="26"/>
  <c r="AK745" i="26"/>
  <c r="AK743" i="26"/>
  <c r="AK741" i="26"/>
  <c r="AK739" i="26"/>
  <c r="AK737" i="26"/>
  <c r="AK735" i="26"/>
  <c r="AK733" i="26"/>
  <c r="AK731" i="26"/>
  <c r="AK729" i="26"/>
  <c r="AK727" i="26"/>
  <c r="AK725" i="26"/>
  <c r="AK723" i="26"/>
  <c r="AK721" i="26"/>
  <c r="AK719" i="26"/>
  <c r="AK717" i="26"/>
  <c r="AK715" i="26"/>
  <c r="AK713" i="26"/>
  <c r="AK711" i="26"/>
  <c r="AK709" i="26"/>
  <c r="AK707" i="26"/>
  <c r="AK705" i="26"/>
  <c r="AK703" i="26"/>
  <c r="AK701" i="26"/>
  <c r="AK699" i="26"/>
  <c r="AK697" i="26"/>
  <c r="AK695" i="26"/>
  <c r="AK677" i="26"/>
  <c r="AK671" i="26"/>
  <c r="AN724" i="26"/>
  <c r="AN722" i="26"/>
  <c r="AN720" i="26"/>
  <c r="AN718" i="26"/>
  <c r="AN714" i="26"/>
  <c r="AN712" i="26"/>
  <c r="AN710" i="26"/>
  <c r="AN708" i="26"/>
  <c r="AN706" i="26"/>
  <c r="AN704" i="26"/>
  <c r="AN702" i="26"/>
  <c r="AN698" i="26"/>
  <c r="AN696" i="26"/>
  <c r="AN694" i="26"/>
  <c r="AN690" i="26"/>
  <c r="AN688" i="26"/>
  <c r="AN686" i="26"/>
  <c r="AN684" i="26"/>
  <c r="AN682" i="26"/>
  <c r="AN680" i="26"/>
  <c r="AN678" i="26"/>
  <c r="AN676" i="26"/>
  <c r="AN672" i="26"/>
  <c r="AN670" i="26"/>
  <c r="AN668" i="26"/>
  <c r="AN666" i="26"/>
  <c r="AN664" i="26"/>
  <c r="AN662" i="26"/>
  <c r="AN660" i="26"/>
  <c r="AN658" i="26"/>
  <c r="AN656" i="26"/>
  <c r="AN654" i="26"/>
  <c r="AN652" i="26"/>
  <c r="AN650" i="26"/>
  <c r="AN648" i="26"/>
  <c r="AN646" i="26"/>
  <c r="AN644" i="26"/>
  <c r="AN642" i="26"/>
  <c r="AN640" i="26"/>
  <c r="AN638" i="26"/>
  <c r="AN636" i="26"/>
  <c r="AN634" i="26"/>
  <c r="AN632" i="26"/>
  <c r="AN628" i="26"/>
  <c r="AN626" i="26"/>
  <c r="AN624" i="26"/>
  <c r="AN622" i="26"/>
  <c r="AN620" i="26"/>
  <c r="AN618" i="26"/>
  <c r="AN614" i="26"/>
  <c r="AN612" i="26"/>
  <c r="AN608" i="26"/>
  <c r="AN606" i="26"/>
  <c r="AM583" i="26"/>
  <c r="AM858" i="26"/>
  <c r="AM856" i="26"/>
  <c r="AM854" i="26"/>
  <c r="AM852" i="26"/>
  <c r="AM850" i="26"/>
  <c r="AM848" i="26"/>
  <c r="AM846" i="26"/>
  <c r="AM844" i="26"/>
  <c r="AM842" i="26"/>
  <c r="AM840" i="26"/>
  <c r="AM838" i="26"/>
  <c r="AM836" i="26"/>
  <c r="AM834" i="26"/>
  <c r="AM832" i="26"/>
  <c r="AM830" i="26"/>
  <c r="AM828" i="26"/>
  <c r="AM826" i="26"/>
  <c r="AM824" i="26"/>
  <c r="AM822" i="26"/>
  <c r="AM820" i="26"/>
  <c r="AM818" i="26"/>
  <c r="AM816" i="26"/>
  <c r="AM814" i="26"/>
  <c r="AM812" i="26"/>
  <c r="AM810" i="26"/>
  <c r="AM808" i="26"/>
  <c r="AM806" i="26"/>
  <c r="AM804" i="26"/>
  <c r="AM802" i="26"/>
  <c r="AM800" i="26"/>
  <c r="AM798" i="26"/>
  <c r="AM796" i="26"/>
  <c r="AM794" i="26"/>
  <c r="AM792" i="26"/>
  <c r="AM790" i="26"/>
  <c r="AM788" i="26"/>
  <c r="AM786" i="26"/>
  <c r="AM784" i="26"/>
  <c r="AM782" i="26"/>
  <c r="AM780" i="26"/>
  <c r="AM778" i="26"/>
  <c r="AM776" i="26"/>
  <c r="AM774" i="26"/>
  <c r="AM772" i="26"/>
  <c r="AM770" i="26"/>
  <c r="AM768" i="26"/>
  <c r="AM766" i="26"/>
  <c r="AM764" i="26"/>
  <c r="AM762" i="26"/>
  <c r="AM760" i="26"/>
  <c r="AM758" i="26"/>
  <c r="AM756" i="26"/>
  <c r="AM754" i="26"/>
  <c r="AM752" i="26"/>
  <c r="AM750" i="26"/>
  <c r="AM748" i="26"/>
  <c r="AM746" i="26"/>
  <c r="AM744" i="26"/>
  <c r="AM742" i="26"/>
  <c r="AM740" i="26"/>
  <c r="AM738" i="26"/>
  <c r="AM736" i="26"/>
  <c r="AM734" i="26"/>
  <c r="AM732" i="26"/>
  <c r="AM730" i="26"/>
  <c r="AM728" i="26"/>
  <c r="AM726" i="26"/>
  <c r="AM724" i="26"/>
  <c r="AM722" i="26"/>
  <c r="AM720" i="26"/>
  <c r="AM718" i="26"/>
  <c r="AM716" i="26"/>
  <c r="AM714" i="26"/>
  <c r="AM712" i="26"/>
  <c r="AM710" i="26"/>
  <c r="AM708" i="26"/>
  <c r="AM706" i="26"/>
  <c r="AM704" i="26"/>
  <c r="AM702" i="26"/>
  <c r="AM700" i="26"/>
  <c r="AM698" i="26"/>
  <c r="AM696" i="26"/>
  <c r="AM694" i="26"/>
  <c r="AM692" i="26"/>
  <c r="AM690" i="26"/>
  <c r="AM688" i="26"/>
  <c r="AM686" i="26"/>
  <c r="AM684" i="26"/>
  <c r="AM682" i="26"/>
  <c r="AM680" i="26"/>
  <c r="AM678" i="26"/>
  <c r="AM676" i="26"/>
  <c r="AM674" i="26"/>
  <c r="AM672" i="26"/>
  <c r="AM670" i="26"/>
  <c r="AM668" i="26"/>
  <c r="AM666" i="26"/>
  <c r="AM664" i="26"/>
  <c r="AM662" i="26"/>
  <c r="AM660" i="26"/>
  <c r="AM658" i="26"/>
  <c r="AM656" i="26"/>
  <c r="AM654" i="26"/>
  <c r="AM652" i="26"/>
  <c r="AM650" i="26"/>
  <c r="AM648" i="26"/>
  <c r="AM646" i="26"/>
  <c r="AM644" i="26"/>
  <c r="AM642" i="26"/>
  <c r="AM640" i="26"/>
  <c r="AM638" i="26"/>
  <c r="AM636" i="26"/>
  <c r="AM634" i="26"/>
  <c r="AM632" i="26"/>
  <c r="AM630" i="26"/>
  <c r="AM628" i="26"/>
  <c r="AM626" i="26"/>
  <c r="AM624" i="26"/>
  <c r="AM622" i="26"/>
  <c r="AM620" i="26"/>
  <c r="AM618" i="26"/>
  <c r="AM616" i="26"/>
  <c r="AM614" i="26"/>
  <c r="AM612" i="26"/>
  <c r="AM610" i="26"/>
  <c r="AM608" i="26"/>
  <c r="AM606" i="26"/>
  <c r="AL583" i="26"/>
  <c r="AL858" i="26"/>
  <c r="AL856" i="26"/>
  <c r="AL854" i="26"/>
  <c r="AL852" i="26"/>
  <c r="AL850" i="26"/>
  <c r="AL848" i="26"/>
  <c r="AL846" i="26"/>
  <c r="AL844" i="26"/>
  <c r="AL842" i="26"/>
  <c r="AL840" i="26"/>
  <c r="AL838" i="26"/>
  <c r="AL836" i="26"/>
  <c r="AL834" i="26"/>
  <c r="AL832" i="26"/>
  <c r="AL830" i="26"/>
  <c r="AL828" i="26"/>
  <c r="AL826" i="26"/>
  <c r="AL824" i="26"/>
  <c r="AL822" i="26"/>
  <c r="AL820" i="26"/>
  <c r="AL818" i="26"/>
  <c r="AL816" i="26"/>
  <c r="AL814" i="26"/>
  <c r="AL812" i="26"/>
  <c r="AL810" i="26"/>
  <c r="AL808" i="26"/>
  <c r="AL806" i="26"/>
  <c r="AL804" i="26"/>
  <c r="AL802" i="26"/>
  <c r="AL800" i="26"/>
  <c r="AL798" i="26"/>
  <c r="AL796" i="26"/>
  <c r="AL794" i="26"/>
  <c r="AL792" i="26"/>
  <c r="AL790" i="26"/>
  <c r="AL788" i="26"/>
  <c r="AL786" i="26"/>
  <c r="AL784" i="26"/>
  <c r="AL782" i="26"/>
  <c r="AL780" i="26"/>
  <c r="AL778" i="26"/>
  <c r="AL776" i="26"/>
  <c r="AL774" i="26"/>
  <c r="AL772" i="26"/>
  <c r="AL770" i="26"/>
  <c r="AL768" i="26"/>
  <c r="AL766" i="26"/>
  <c r="AL764" i="26"/>
  <c r="AL762" i="26"/>
  <c r="AL760" i="26"/>
  <c r="AL758" i="26"/>
  <c r="AL756" i="26"/>
  <c r="AL754" i="26"/>
  <c r="AL752" i="26"/>
  <c r="AL750" i="26"/>
  <c r="AL748" i="26"/>
  <c r="AL746" i="26"/>
  <c r="AL744" i="26"/>
  <c r="AL742" i="26"/>
  <c r="AL740" i="26"/>
  <c r="AL738" i="26"/>
  <c r="AL736" i="26"/>
  <c r="AL734" i="26"/>
  <c r="AL732" i="26"/>
  <c r="AL730" i="26"/>
  <c r="AL728" i="26"/>
  <c r="AL726" i="26"/>
  <c r="AL724" i="26"/>
  <c r="AL722" i="26"/>
  <c r="AL720" i="26"/>
  <c r="AL718" i="26"/>
  <c r="AL716" i="26"/>
  <c r="AL714" i="26"/>
  <c r="AL712" i="26"/>
  <c r="AL710" i="26"/>
  <c r="AL708" i="26"/>
  <c r="AL706" i="26"/>
  <c r="AL704" i="26"/>
  <c r="AL702" i="26"/>
  <c r="AL700" i="26"/>
  <c r="AL698" i="26"/>
  <c r="AL696" i="26"/>
  <c r="AL694" i="26"/>
  <c r="AL692" i="26"/>
  <c r="AL690" i="26"/>
  <c r="AL688" i="26"/>
  <c r="AL686" i="26"/>
  <c r="AL684" i="26"/>
  <c r="AL682" i="26"/>
  <c r="AL680" i="26"/>
  <c r="AL678" i="26"/>
  <c r="AL676" i="26"/>
  <c r="AL674" i="26"/>
  <c r="AL672" i="26"/>
  <c r="AL670" i="26"/>
  <c r="AL668" i="26"/>
  <c r="AL666" i="26"/>
  <c r="AL664" i="26"/>
  <c r="AL662" i="26"/>
  <c r="AL660" i="26"/>
  <c r="AL658" i="26"/>
  <c r="AL656" i="26"/>
  <c r="AL654" i="26"/>
  <c r="AL652" i="26"/>
  <c r="AL650" i="26"/>
  <c r="AL648" i="26"/>
  <c r="AL646" i="26"/>
  <c r="AL644" i="26"/>
  <c r="AL642" i="26"/>
  <c r="AL640" i="26"/>
  <c r="AL638" i="26"/>
  <c r="AL636" i="26"/>
  <c r="AL634" i="26"/>
  <c r="AL632" i="26"/>
  <c r="AL630" i="26"/>
  <c r="AL628" i="26"/>
  <c r="AL626" i="26"/>
  <c r="AL624" i="26"/>
  <c r="AL622" i="26"/>
  <c r="AL620" i="26"/>
  <c r="AL618" i="26"/>
  <c r="AL616" i="26"/>
  <c r="AL614" i="26"/>
  <c r="AL612" i="26"/>
  <c r="AL610" i="26"/>
  <c r="AL608" i="26"/>
  <c r="AK583" i="26"/>
  <c r="AK858" i="26"/>
  <c r="AK856" i="26"/>
  <c r="AK854" i="26"/>
  <c r="AK852" i="26"/>
  <c r="AK850" i="26"/>
  <c r="AK848" i="26"/>
  <c r="AK846" i="26"/>
  <c r="AK844" i="26"/>
  <c r="AK842" i="26"/>
  <c r="AK840" i="26"/>
  <c r="AK838" i="26"/>
  <c r="AK836" i="26"/>
  <c r="AK834" i="26"/>
  <c r="AK832" i="26"/>
  <c r="AK830" i="26"/>
  <c r="AK828" i="26"/>
  <c r="AK826" i="26"/>
  <c r="AK824" i="26"/>
  <c r="AK822" i="26"/>
  <c r="AK820" i="26"/>
  <c r="AK818" i="26"/>
  <c r="AK816" i="26"/>
  <c r="AK814" i="26"/>
  <c r="AK812" i="26"/>
  <c r="AK810" i="26"/>
  <c r="AK808" i="26"/>
  <c r="AK806" i="26"/>
  <c r="AK804" i="26"/>
  <c r="AK802" i="26"/>
  <c r="AK800" i="26"/>
  <c r="AK798" i="26"/>
  <c r="AK796" i="26"/>
  <c r="AK794" i="26"/>
  <c r="AK792" i="26"/>
  <c r="AK790" i="26"/>
  <c r="AK788" i="26"/>
  <c r="AK786" i="26"/>
  <c r="AK784" i="26"/>
  <c r="AK782" i="26"/>
  <c r="AK780" i="26"/>
  <c r="AK778" i="26"/>
  <c r="AK776" i="26"/>
  <c r="AK774" i="26"/>
  <c r="AK772" i="26"/>
  <c r="AK770" i="26"/>
  <c r="AK768" i="26"/>
  <c r="AK766" i="26"/>
  <c r="AK764" i="26"/>
  <c r="AK762" i="26"/>
  <c r="AK760" i="26"/>
  <c r="AK758" i="26"/>
  <c r="AK756" i="26"/>
  <c r="AK754" i="26"/>
  <c r="AK752" i="26"/>
  <c r="AK750" i="26"/>
  <c r="AK748" i="26"/>
  <c r="AK746" i="26"/>
  <c r="AK744" i="26"/>
  <c r="AK742" i="26"/>
  <c r="AK740" i="26"/>
  <c r="AK738" i="26"/>
  <c r="AK736" i="26"/>
  <c r="AK734" i="26"/>
  <c r="AK732" i="26"/>
  <c r="AK730" i="26"/>
  <c r="AK728" i="26"/>
  <c r="AK726" i="26"/>
  <c r="AK724" i="26"/>
  <c r="AK722" i="26"/>
  <c r="AK720" i="26"/>
  <c r="AK718" i="26"/>
  <c r="AK716" i="26"/>
  <c r="AK714" i="26"/>
  <c r="AK712" i="26"/>
  <c r="AK710" i="26"/>
  <c r="AK708" i="26"/>
  <c r="AK706" i="26"/>
  <c r="AK704" i="26"/>
  <c r="AK702" i="26"/>
  <c r="AK700" i="26"/>
  <c r="AK698" i="26"/>
  <c r="AK696" i="26"/>
  <c r="AK694" i="26"/>
  <c r="AK692" i="26"/>
  <c r="AK690" i="26"/>
  <c r="AK688" i="26"/>
  <c r="AK686" i="26"/>
  <c r="AK684" i="26"/>
  <c r="AK682" i="26"/>
  <c r="AK680" i="26"/>
  <c r="AK678" i="26"/>
  <c r="AK676" i="26"/>
  <c r="AK674" i="26"/>
  <c r="AK672" i="26"/>
  <c r="AK670" i="26"/>
  <c r="AK668" i="26"/>
  <c r="AK666" i="26"/>
  <c r="AK664" i="26"/>
  <c r="AK662" i="26"/>
  <c r="AK660" i="26"/>
  <c r="AK658" i="26"/>
  <c r="AK656" i="26"/>
  <c r="AK654" i="26"/>
  <c r="AK652" i="26"/>
  <c r="AK650" i="26"/>
  <c r="AK648" i="26"/>
  <c r="AK646" i="26"/>
  <c r="AK644" i="26"/>
  <c r="AK642" i="26"/>
  <c r="AK640" i="26"/>
  <c r="AK638" i="26"/>
  <c r="AK636" i="26"/>
  <c r="AK634" i="26"/>
  <c r="AK632" i="26"/>
  <c r="AK630" i="26"/>
  <c r="AK628" i="26"/>
  <c r="AK626" i="26"/>
  <c r="AK624" i="26"/>
  <c r="AK622" i="26"/>
  <c r="AK620" i="26"/>
  <c r="AK618" i="26"/>
  <c r="AK616" i="26"/>
  <c r="AK614" i="26"/>
  <c r="AK612" i="26"/>
  <c r="AK610" i="26"/>
  <c r="AK693" i="26"/>
  <c r="AK691" i="26"/>
  <c r="AK689" i="26"/>
  <c r="AK687" i="26"/>
  <c r="AK685" i="26"/>
  <c r="AK683" i="26"/>
  <c r="AK681" i="26"/>
  <c r="AK679" i="26"/>
  <c r="AK675" i="26"/>
  <c r="AK673" i="26"/>
  <c r="AK669" i="26"/>
  <c r="AK667" i="26"/>
  <c r="AK665" i="26"/>
  <c r="AK663" i="26"/>
  <c r="AK661" i="26"/>
  <c r="AK659" i="26"/>
  <c r="AK657" i="26"/>
  <c r="AK655" i="26"/>
  <c r="AK653" i="26"/>
  <c r="AK651" i="26"/>
  <c r="AK649" i="26"/>
  <c r="AK647" i="26"/>
  <c r="AK645" i="26"/>
  <c r="AK643" i="26"/>
  <c r="AK641" i="26"/>
  <c r="AK639" i="26"/>
  <c r="AK637" i="26"/>
  <c r="AK635" i="26"/>
  <c r="AK633" i="26"/>
  <c r="AK631" i="26"/>
  <c r="AK629" i="26"/>
  <c r="AK627" i="26"/>
  <c r="AK625" i="26"/>
  <c r="AK623" i="26"/>
  <c r="AK621" i="26"/>
  <c r="AK619" i="26"/>
  <c r="AK617" i="26"/>
  <c r="AK615" i="26"/>
  <c r="AK613" i="26"/>
  <c r="AK611" i="26"/>
  <c r="AK609" i="26"/>
  <c r="AK607" i="26"/>
  <c r="AK605" i="26"/>
  <c r="AK603" i="26"/>
  <c r="AK601" i="26"/>
  <c r="AK599" i="26"/>
  <c r="AK597" i="26"/>
  <c r="AK595" i="26"/>
  <c r="AK593" i="26"/>
  <c r="AK591" i="26"/>
  <c r="AK589" i="26"/>
  <c r="AK587" i="26"/>
  <c r="AK585" i="26"/>
  <c r="AN604" i="26"/>
  <c r="AN602" i="26"/>
  <c r="AN600" i="26"/>
  <c r="AN598" i="26"/>
  <c r="AN596" i="26"/>
  <c r="AN594" i="26"/>
  <c r="AN592" i="26"/>
  <c r="AN590" i="26"/>
  <c r="AN588" i="26"/>
  <c r="AN586" i="26"/>
  <c r="AN584" i="26"/>
  <c r="AM604" i="26"/>
  <c r="AM602" i="26"/>
  <c r="AM600" i="26"/>
  <c r="AM598" i="26"/>
  <c r="AM596" i="26"/>
  <c r="AM594" i="26"/>
  <c r="AM592" i="26"/>
  <c r="AM590" i="26"/>
  <c r="AM588" i="26"/>
  <c r="AM586" i="26"/>
  <c r="AM584" i="26"/>
  <c r="AL606" i="26"/>
  <c r="AL604" i="26"/>
  <c r="AL602" i="26"/>
  <c r="AL600" i="26"/>
  <c r="AL598" i="26"/>
  <c r="AL596" i="26"/>
  <c r="AL594" i="26"/>
  <c r="AL592" i="26"/>
  <c r="AL590" i="26"/>
  <c r="AL588" i="26"/>
  <c r="AL586" i="26"/>
  <c r="AL584" i="26"/>
  <c r="AK608" i="26"/>
  <c r="AK606" i="26"/>
  <c r="AK604" i="26"/>
  <c r="AK602" i="26"/>
  <c r="AK600" i="26"/>
  <c r="AK598" i="26"/>
  <c r="AK596" i="26"/>
  <c r="AK594" i="26"/>
  <c r="AK592" i="26"/>
  <c r="AN727" i="26"/>
  <c r="AN723" i="26"/>
  <c r="AN721" i="26"/>
  <c r="AN719" i="26"/>
  <c r="AN717" i="26"/>
  <c r="AN713" i="26"/>
  <c r="AN711" i="26"/>
  <c r="AN709" i="26"/>
  <c r="AN707" i="26"/>
  <c r="AN705" i="26"/>
  <c r="AN703" i="26"/>
  <c r="AN701" i="26"/>
  <c r="AN697" i="26"/>
  <c r="AN695" i="26"/>
  <c r="AN691" i="26"/>
  <c r="AN689" i="26"/>
  <c r="AN687" i="26"/>
  <c r="AN685" i="26"/>
  <c r="AN683" i="26"/>
  <c r="AN681" i="26"/>
  <c r="AN679" i="26"/>
  <c r="AN677" i="26"/>
  <c r="AN675" i="26"/>
  <c r="AN673" i="26"/>
  <c r="AN671" i="26"/>
  <c r="AN669" i="26"/>
  <c r="AN665" i="26"/>
  <c r="AN663" i="26"/>
  <c r="AN659" i="26"/>
  <c r="AN657" i="26"/>
  <c r="AN655" i="26"/>
  <c r="AN653" i="26"/>
  <c r="AN651" i="26"/>
  <c r="AN649" i="26"/>
  <c r="AN647" i="26"/>
  <c r="AN645" i="26"/>
  <c r="AN643" i="26"/>
  <c r="AN641" i="26"/>
  <c r="AN637" i="26"/>
  <c r="AN635" i="26"/>
  <c r="AN633" i="26"/>
  <c r="AN631" i="26"/>
  <c r="AN627" i="26"/>
  <c r="AN625" i="26"/>
  <c r="AN623" i="26"/>
  <c r="AN621" i="26"/>
  <c r="AN619" i="26"/>
  <c r="AN617" i="26"/>
  <c r="AN615" i="26"/>
  <c r="AN613" i="26"/>
  <c r="AN611" i="26"/>
  <c r="AN609" i="26"/>
  <c r="AN605" i="26"/>
  <c r="AN603" i="26"/>
  <c r="AN601" i="26"/>
  <c r="AN599" i="26"/>
  <c r="AN597" i="26"/>
  <c r="AN595" i="26"/>
  <c r="AN593" i="26"/>
  <c r="AN587" i="26"/>
  <c r="AN585" i="26"/>
  <c r="AM731" i="26"/>
  <c r="AM727" i="26"/>
  <c r="AM725" i="26"/>
  <c r="AM723" i="26"/>
  <c r="AM721" i="26"/>
  <c r="AM719" i="26"/>
  <c r="AM717" i="26"/>
  <c r="AM715" i="26"/>
  <c r="AM709" i="26"/>
  <c r="AM705" i="26"/>
  <c r="AM703" i="26"/>
  <c r="AM701" i="26"/>
  <c r="AM699" i="26"/>
  <c r="AM697" i="26"/>
  <c r="AM695" i="26"/>
  <c r="AM693" i="26"/>
  <c r="AM691" i="26"/>
  <c r="AM689" i="26"/>
  <c r="AM687" i="26"/>
  <c r="AM685" i="26"/>
  <c r="AM683" i="26"/>
  <c r="AM679" i="26"/>
  <c r="AM677" i="26"/>
  <c r="AM673" i="26"/>
  <c r="AM671" i="26"/>
  <c r="AM669" i="26"/>
  <c r="AM667" i="26"/>
  <c r="AM665" i="26"/>
  <c r="AM663" i="26"/>
  <c r="AM661" i="26"/>
  <c r="AM659" i="26"/>
  <c r="AM657" i="26"/>
  <c r="AM655" i="26"/>
  <c r="AM653" i="26"/>
  <c r="AM651" i="26"/>
  <c r="AM649" i="26"/>
  <c r="AM645" i="26"/>
  <c r="AM643" i="26"/>
  <c r="AM641" i="26"/>
  <c r="AM639" i="26"/>
  <c r="AM637" i="26"/>
  <c r="AM635" i="26"/>
  <c r="AM633" i="26"/>
  <c r="AM631" i="26"/>
  <c r="AM629" i="26"/>
  <c r="AM627" i="26"/>
  <c r="AM625" i="26"/>
  <c r="AM623" i="26"/>
  <c r="AM621" i="26"/>
  <c r="AM619" i="26"/>
  <c r="AM617" i="26"/>
  <c r="AM615" i="26"/>
  <c r="AM613" i="26"/>
  <c r="AM611" i="26"/>
  <c r="AM609" i="26"/>
  <c r="AM607" i="26"/>
  <c r="AM605" i="26"/>
  <c r="AM603" i="26"/>
  <c r="AM601" i="26"/>
  <c r="AM599" i="26"/>
  <c r="AM597" i="26"/>
  <c r="AM593" i="26"/>
  <c r="AM591" i="26"/>
  <c r="AM585" i="26"/>
  <c r="AL733" i="26"/>
  <c r="AL731" i="26"/>
  <c r="AL729" i="26"/>
  <c r="AL723" i="26"/>
  <c r="AL719" i="26"/>
  <c r="AL717" i="26"/>
  <c r="AL715" i="26"/>
  <c r="AL713" i="26"/>
  <c r="AL709" i="26"/>
  <c r="AL707" i="26"/>
  <c r="AL705" i="26"/>
  <c r="AL703" i="26"/>
  <c r="AL701" i="26"/>
  <c r="AL699" i="26"/>
  <c r="AL697" i="26"/>
  <c r="AL693" i="26"/>
  <c r="AL691" i="26"/>
  <c r="AL687" i="26"/>
  <c r="AL685" i="26"/>
  <c r="AL683" i="26"/>
  <c r="AL681" i="26"/>
  <c r="AL679" i="26"/>
  <c r="AL677" i="26"/>
  <c r="AL675" i="26"/>
  <c r="AL673" i="26"/>
  <c r="AL671" i="26"/>
  <c r="AL669" i="26"/>
  <c r="AL667" i="26"/>
  <c r="AL665" i="26"/>
  <c r="AL661" i="26"/>
  <c r="AL659" i="26"/>
  <c r="AL655" i="26"/>
  <c r="AL653" i="26"/>
  <c r="AL651" i="26"/>
  <c r="AL649" i="26"/>
  <c r="AL647" i="26"/>
  <c r="AL645" i="26"/>
  <c r="AL643" i="26"/>
  <c r="AL641" i="26"/>
  <c r="AL639" i="26"/>
  <c r="AL637" i="26"/>
  <c r="AL635" i="26"/>
  <c r="AL633" i="26"/>
  <c r="AL631" i="26"/>
  <c r="AL629" i="26"/>
  <c r="AL627" i="26"/>
  <c r="AL625" i="26"/>
  <c r="AL623" i="26"/>
  <c r="AL621" i="26"/>
  <c r="AL619" i="26"/>
  <c r="AL617" i="26"/>
  <c r="AL615" i="26"/>
  <c r="AL613" i="26"/>
  <c r="AL611" i="26"/>
  <c r="AL609" i="26"/>
  <c r="AL607" i="26"/>
  <c r="AL605" i="26"/>
  <c r="AL603" i="26"/>
  <c r="AL601" i="26"/>
  <c r="AL599" i="26"/>
  <c r="AL597" i="26"/>
  <c r="AL595" i="26"/>
  <c r="AL593" i="26"/>
  <c r="AL591" i="26"/>
  <c r="AL589" i="26"/>
  <c r="AL587" i="26"/>
  <c r="AL585" i="26"/>
  <c r="AK590" i="26"/>
  <c r="AK588" i="26"/>
  <c r="AK586" i="26"/>
  <c r="AK584" i="26"/>
  <c r="AN591" i="26"/>
  <c r="AN589" i="26"/>
  <c r="AM595" i="26"/>
  <c r="AM589" i="26"/>
  <c r="AM587" i="26"/>
  <c r="D9" i="21"/>
  <c r="AN844" i="26" s="1"/>
  <c r="AN607" i="26" l="1"/>
  <c r="AN639" i="26"/>
  <c r="AN610" i="26"/>
  <c r="AN674" i="26"/>
  <c r="AN807" i="26"/>
  <c r="AN692" i="26"/>
  <c r="AN825" i="26"/>
  <c r="AN818" i="26"/>
  <c r="AN630" i="26"/>
  <c r="AN859" i="26"/>
  <c r="AN616" i="26"/>
  <c r="AN838" i="26"/>
  <c r="AN728" i="26"/>
  <c r="AN760" i="26"/>
  <c r="AN629" i="26"/>
  <c r="AN700" i="26"/>
  <c r="AN716" i="26"/>
  <c r="AN849" i="26"/>
  <c r="AJ569" i="26"/>
  <c r="AJ859" i="26" s="1"/>
  <c r="AI569" i="26"/>
  <c r="AI859" i="26" s="1"/>
  <c r="AH569" i="26"/>
  <c r="AH859" i="26" s="1"/>
  <c r="AG569" i="26"/>
  <c r="AG859" i="26" s="1"/>
  <c r="AF569" i="26"/>
  <c r="AF859" i="26" s="1"/>
  <c r="AE569" i="26"/>
  <c r="AE859" i="26" s="1"/>
  <c r="AD569" i="26"/>
  <c r="AD859" i="26" s="1"/>
  <c r="AC569" i="26"/>
  <c r="AC859" i="26" s="1"/>
  <c r="AB569" i="26"/>
  <c r="AB859" i="26" s="1"/>
  <c r="AA569" i="26"/>
  <c r="AA859" i="26" s="1"/>
  <c r="Z569" i="26"/>
  <c r="Z859" i="26" s="1"/>
  <c r="Y569" i="26"/>
  <c r="Y859" i="26" s="1"/>
  <c r="X569" i="26"/>
  <c r="X859" i="26" s="1"/>
  <c r="W569" i="26"/>
  <c r="W859" i="26" s="1"/>
  <c r="V569" i="26"/>
  <c r="AJ568" i="26"/>
  <c r="AJ858" i="26" s="1"/>
  <c r="AI568" i="26"/>
  <c r="AI858" i="26" s="1"/>
  <c r="AH568" i="26"/>
  <c r="AH858" i="26" s="1"/>
  <c r="AG568" i="26"/>
  <c r="AG858" i="26" s="1"/>
  <c r="AF568" i="26"/>
  <c r="AF858" i="26" s="1"/>
  <c r="AE568" i="26"/>
  <c r="AE858" i="26" s="1"/>
  <c r="AD568" i="26"/>
  <c r="AD858" i="26" s="1"/>
  <c r="AC568" i="26"/>
  <c r="AC858" i="26" s="1"/>
  <c r="AB568" i="26"/>
  <c r="AB858" i="26" s="1"/>
  <c r="AA568" i="26"/>
  <c r="AA858" i="26" s="1"/>
  <c r="Z568" i="26"/>
  <c r="Z858" i="26" s="1"/>
  <c r="Y568" i="26"/>
  <c r="Y858" i="26" s="1"/>
  <c r="X568" i="26"/>
  <c r="X858" i="26" s="1"/>
  <c r="W568" i="26"/>
  <c r="W858" i="26" s="1"/>
  <c r="V568" i="26"/>
  <c r="AJ567" i="26"/>
  <c r="AJ857" i="26" s="1"/>
  <c r="AI567" i="26"/>
  <c r="AI857" i="26" s="1"/>
  <c r="AH567" i="26"/>
  <c r="AH857" i="26" s="1"/>
  <c r="AG567" i="26"/>
  <c r="AG857" i="26" s="1"/>
  <c r="AF567" i="26"/>
  <c r="AF857" i="26" s="1"/>
  <c r="AE567" i="26"/>
  <c r="AE857" i="26" s="1"/>
  <c r="AD567" i="26"/>
  <c r="AD857" i="26" s="1"/>
  <c r="AC567" i="26"/>
  <c r="AC857" i="26" s="1"/>
  <c r="AB567" i="26"/>
  <c r="AB857" i="26" s="1"/>
  <c r="AA567" i="26"/>
  <c r="AA857" i="26" s="1"/>
  <c r="Z567" i="26"/>
  <c r="Z857" i="26" s="1"/>
  <c r="Y567" i="26"/>
  <c r="Y857" i="26" s="1"/>
  <c r="X567" i="26"/>
  <c r="X857" i="26" s="1"/>
  <c r="W567" i="26"/>
  <c r="W857" i="26" s="1"/>
  <c r="V567" i="26"/>
  <c r="AJ566" i="26"/>
  <c r="AJ856" i="26" s="1"/>
  <c r="AI566" i="26"/>
  <c r="AI856" i="26" s="1"/>
  <c r="AH566" i="26"/>
  <c r="AH856" i="26" s="1"/>
  <c r="AG566" i="26"/>
  <c r="AG856" i="26" s="1"/>
  <c r="AF566" i="26"/>
  <c r="AF856" i="26" s="1"/>
  <c r="AE566" i="26"/>
  <c r="AE856" i="26" s="1"/>
  <c r="AD566" i="26"/>
  <c r="AD856" i="26" s="1"/>
  <c r="AC566" i="26"/>
  <c r="AC856" i="26" s="1"/>
  <c r="AB566" i="26"/>
  <c r="AB856" i="26" s="1"/>
  <c r="AA566" i="26"/>
  <c r="AA856" i="26" s="1"/>
  <c r="Z566" i="26"/>
  <c r="Z856" i="26" s="1"/>
  <c r="Y566" i="26"/>
  <c r="Y856" i="26" s="1"/>
  <c r="X566" i="26"/>
  <c r="X856" i="26" s="1"/>
  <c r="W566" i="26"/>
  <c r="W856" i="26" s="1"/>
  <c r="V566" i="26"/>
  <c r="AJ565" i="26"/>
  <c r="AJ855" i="26" s="1"/>
  <c r="AI565" i="26"/>
  <c r="AI855" i="26" s="1"/>
  <c r="AH565" i="26"/>
  <c r="AH855" i="26" s="1"/>
  <c r="AG565" i="26"/>
  <c r="AG855" i="26" s="1"/>
  <c r="AF565" i="26"/>
  <c r="AF855" i="26" s="1"/>
  <c r="AE565" i="26"/>
  <c r="AE855" i="26" s="1"/>
  <c r="AD565" i="26"/>
  <c r="AD855" i="26" s="1"/>
  <c r="AC565" i="26"/>
  <c r="AC855" i="26" s="1"/>
  <c r="AB565" i="26"/>
  <c r="AB855" i="26" s="1"/>
  <c r="AA565" i="26"/>
  <c r="AA855" i="26" s="1"/>
  <c r="Z565" i="26"/>
  <c r="Z855" i="26" s="1"/>
  <c r="Y565" i="26"/>
  <c r="Y855" i="26" s="1"/>
  <c r="X565" i="26"/>
  <c r="X855" i="26" s="1"/>
  <c r="W565" i="26"/>
  <c r="W855" i="26" s="1"/>
  <c r="V565" i="26"/>
  <c r="AJ564" i="26"/>
  <c r="AJ854" i="26" s="1"/>
  <c r="AI564" i="26"/>
  <c r="AI854" i="26" s="1"/>
  <c r="AH564" i="26"/>
  <c r="AH854" i="26" s="1"/>
  <c r="AG564" i="26"/>
  <c r="AG854" i="26" s="1"/>
  <c r="AF564" i="26"/>
  <c r="AF854" i="26" s="1"/>
  <c r="AE564" i="26"/>
  <c r="AE854" i="26" s="1"/>
  <c r="AD564" i="26"/>
  <c r="AD854" i="26" s="1"/>
  <c r="AC564" i="26"/>
  <c r="AC854" i="26" s="1"/>
  <c r="AB564" i="26"/>
  <c r="AB854" i="26" s="1"/>
  <c r="AA564" i="26"/>
  <c r="AA854" i="26" s="1"/>
  <c r="Z564" i="26"/>
  <c r="Z854" i="26" s="1"/>
  <c r="Y564" i="26"/>
  <c r="Y854" i="26" s="1"/>
  <c r="X564" i="26"/>
  <c r="X854" i="26" s="1"/>
  <c r="W564" i="26"/>
  <c r="W854" i="26" s="1"/>
  <c r="V564" i="26"/>
  <c r="AJ563" i="26"/>
  <c r="AJ853" i="26" s="1"/>
  <c r="AI563" i="26"/>
  <c r="AI853" i="26" s="1"/>
  <c r="AH563" i="26"/>
  <c r="AH853" i="26" s="1"/>
  <c r="AG563" i="26"/>
  <c r="AG853" i="26" s="1"/>
  <c r="AF563" i="26"/>
  <c r="AF853" i="26" s="1"/>
  <c r="AE563" i="26"/>
  <c r="AE853" i="26" s="1"/>
  <c r="AD563" i="26"/>
  <c r="AD853" i="26" s="1"/>
  <c r="AC563" i="26"/>
  <c r="AC853" i="26" s="1"/>
  <c r="AB563" i="26"/>
  <c r="AB853" i="26" s="1"/>
  <c r="AA563" i="26"/>
  <c r="AA853" i="26" s="1"/>
  <c r="Z563" i="26"/>
  <c r="Z853" i="26" s="1"/>
  <c r="Y563" i="26"/>
  <c r="Y853" i="26" s="1"/>
  <c r="X563" i="26"/>
  <c r="X853" i="26" s="1"/>
  <c r="W563" i="26"/>
  <c r="W853" i="26" s="1"/>
  <c r="V563" i="26"/>
  <c r="AJ562" i="26"/>
  <c r="AJ852" i="26" s="1"/>
  <c r="AI562" i="26"/>
  <c r="AI852" i="26" s="1"/>
  <c r="AH562" i="26"/>
  <c r="AH852" i="26" s="1"/>
  <c r="AG562" i="26"/>
  <c r="AG852" i="26" s="1"/>
  <c r="AF562" i="26"/>
  <c r="AF852" i="26" s="1"/>
  <c r="AE562" i="26"/>
  <c r="AE852" i="26" s="1"/>
  <c r="AD562" i="26"/>
  <c r="AD852" i="26" s="1"/>
  <c r="AC562" i="26"/>
  <c r="AC852" i="26" s="1"/>
  <c r="AB562" i="26"/>
  <c r="AB852" i="26" s="1"/>
  <c r="AA562" i="26"/>
  <c r="AA852" i="26" s="1"/>
  <c r="Z562" i="26"/>
  <c r="Z852" i="26" s="1"/>
  <c r="Y562" i="26"/>
  <c r="Y852" i="26" s="1"/>
  <c r="X562" i="26"/>
  <c r="X852" i="26" s="1"/>
  <c r="W562" i="26"/>
  <c r="W852" i="26" s="1"/>
  <c r="V562" i="26"/>
  <c r="AJ561" i="26"/>
  <c r="AJ851" i="26" s="1"/>
  <c r="AI561" i="26"/>
  <c r="AI851" i="26" s="1"/>
  <c r="AH561" i="26"/>
  <c r="AH851" i="26" s="1"/>
  <c r="AG561" i="26"/>
  <c r="AG851" i="26" s="1"/>
  <c r="AF561" i="26"/>
  <c r="AF851" i="26" s="1"/>
  <c r="AE561" i="26"/>
  <c r="AE851" i="26" s="1"/>
  <c r="AD561" i="26"/>
  <c r="AD851" i="26" s="1"/>
  <c r="AC561" i="26"/>
  <c r="AC851" i="26" s="1"/>
  <c r="AB561" i="26"/>
  <c r="AB851" i="26" s="1"/>
  <c r="AA561" i="26"/>
  <c r="AA851" i="26" s="1"/>
  <c r="Z561" i="26"/>
  <c r="Z851" i="26" s="1"/>
  <c r="Y561" i="26"/>
  <c r="Y851" i="26" s="1"/>
  <c r="X561" i="26"/>
  <c r="X851" i="26" s="1"/>
  <c r="W561" i="26"/>
  <c r="W851" i="26" s="1"/>
  <c r="V561" i="26"/>
  <c r="AJ560" i="26"/>
  <c r="AJ850" i="26" s="1"/>
  <c r="AI560" i="26"/>
  <c r="AI850" i="26" s="1"/>
  <c r="AH560" i="26"/>
  <c r="AH850" i="26" s="1"/>
  <c r="AG560" i="26"/>
  <c r="AG850" i="26" s="1"/>
  <c r="AF560" i="26"/>
  <c r="AF850" i="26" s="1"/>
  <c r="AE560" i="26"/>
  <c r="AE850" i="26" s="1"/>
  <c r="AD560" i="26"/>
  <c r="AD850" i="26" s="1"/>
  <c r="AC560" i="26"/>
  <c r="AC850" i="26" s="1"/>
  <c r="AB560" i="26"/>
  <c r="AB850" i="26" s="1"/>
  <c r="AA560" i="26"/>
  <c r="AA850" i="26" s="1"/>
  <c r="Z560" i="26"/>
  <c r="Z850" i="26" s="1"/>
  <c r="Y560" i="26"/>
  <c r="Y850" i="26" s="1"/>
  <c r="X560" i="26"/>
  <c r="X850" i="26" s="1"/>
  <c r="W560" i="26"/>
  <c r="W850" i="26" s="1"/>
  <c r="V560" i="26"/>
  <c r="AJ559" i="26"/>
  <c r="AJ849" i="26" s="1"/>
  <c r="AI559" i="26"/>
  <c r="AI849" i="26" s="1"/>
  <c r="AH559" i="26"/>
  <c r="AH849" i="26" s="1"/>
  <c r="AG559" i="26"/>
  <c r="AG849" i="26" s="1"/>
  <c r="AF559" i="26"/>
  <c r="AF849" i="26" s="1"/>
  <c r="AE559" i="26"/>
  <c r="AE849" i="26" s="1"/>
  <c r="AD559" i="26"/>
  <c r="AD849" i="26" s="1"/>
  <c r="AC559" i="26"/>
  <c r="AC849" i="26" s="1"/>
  <c r="AB559" i="26"/>
  <c r="AB849" i="26" s="1"/>
  <c r="AA559" i="26"/>
  <c r="AA849" i="26" s="1"/>
  <c r="Z559" i="26"/>
  <c r="Z849" i="26" s="1"/>
  <c r="Y559" i="26"/>
  <c r="Y849" i="26" s="1"/>
  <c r="X559" i="26"/>
  <c r="X849" i="26" s="1"/>
  <c r="W559" i="26"/>
  <c r="W849" i="26" s="1"/>
  <c r="V559" i="26"/>
  <c r="AJ558" i="26"/>
  <c r="AJ848" i="26" s="1"/>
  <c r="AI558" i="26"/>
  <c r="AI848" i="26" s="1"/>
  <c r="AH558" i="26"/>
  <c r="AH848" i="26" s="1"/>
  <c r="AG558" i="26"/>
  <c r="AG848" i="26" s="1"/>
  <c r="AF558" i="26"/>
  <c r="AF848" i="26" s="1"/>
  <c r="AE558" i="26"/>
  <c r="AE848" i="26" s="1"/>
  <c r="AD558" i="26"/>
  <c r="AD848" i="26" s="1"/>
  <c r="AC558" i="26"/>
  <c r="AC848" i="26" s="1"/>
  <c r="AB558" i="26"/>
  <c r="AB848" i="26" s="1"/>
  <c r="AA558" i="26"/>
  <c r="AA848" i="26" s="1"/>
  <c r="Z558" i="26"/>
  <c r="Z848" i="26" s="1"/>
  <c r="Y558" i="26"/>
  <c r="Y848" i="26" s="1"/>
  <c r="X558" i="26"/>
  <c r="X848" i="26" s="1"/>
  <c r="W558" i="26"/>
  <c r="W848" i="26" s="1"/>
  <c r="V558" i="26"/>
  <c r="AJ557" i="26"/>
  <c r="AJ847" i="26" s="1"/>
  <c r="AI557" i="26"/>
  <c r="AI847" i="26" s="1"/>
  <c r="AH557" i="26"/>
  <c r="AH847" i="26" s="1"/>
  <c r="AG557" i="26"/>
  <c r="AG847" i="26" s="1"/>
  <c r="AF557" i="26"/>
  <c r="AF847" i="26" s="1"/>
  <c r="AE557" i="26"/>
  <c r="AE847" i="26" s="1"/>
  <c r="AD557" i="26"/>
  <c r="AD847" i="26" s="1"/>
  <c r="AC557" i="26"/>
  <c r="AC847" i="26" s="1"/>
  <c r="AB557" i="26"/>
  <c r="AB847" i="26" s="1"/>
  <c r="AA557" i="26"/>
  <c r="AA847" i="26" s="1"/>
  <c r="Z557" i="26"/>
  <c r="Z847" i="26" s="1"/>
  <c r="Y557" i="26"/>
  <c r="Y847" i="26" s="1"/>
  <c r="X557" i="26"/>
  <c r="X847" i="26" s="1"/>
  <c r="W557" i="26"/>
  <c r="W847" i="26" s="1"/>
  <c r="V557" i="26"/>
  <c r="AJ556" i="26"/>
  <c r="AJ846" i="26" s="1"/>
  <c r="AI556" i="26"/>
  <c r="AI846" i="26" s="1"/>
  <c r="AH556" i="26"/>
  <c r="AH846" i="26" s="1"/>
  <c r="AG556" i="26"/>
  <c r="AG846" i="26" s="1"/>
  <c r="AF556" i="26"/>
  <c r="AF846" i="26" s="1"/>
  <c r="AE556" i="26"/>
  <c r="AE846" i="26" s="1"/>
  <c r="AD556" i="26"/>
  <c r="AD846" i="26" s="1"/>
  <c r="AC556" i="26"/>
  <c r="AC846" i="26" s="1"/>
  <c r="AB556" i="26"/>
  <c r="AB846" i="26" s="1"/>
  <c r="AA556" i="26"/>
  <c r="AA846" i="26" s="1"/>
  <c r="Z556" i="26"/>
  <c r="Z846" i="26" s="1"/>
  <c r="Y556" i="26"/>
  <c r="Y846" i="26" s="1"/>
  <c r="X556" i="26"/>
  <c r="X846" i="26" s="1"/>
  <c r="W556" i="26"/>
  <c r="W846" i="26" s="1"/>
  <c r="V556" i="26"/>
  <c r="AJ555" i="26"/>
  <c r="AJ845" i="26" s="1"/>
  <c r="AI555" i="26"/>
  <c r="AI845" i="26" s="1"/>
  <c r="AH555" i="26"/>
  <c r="AH845" i="26" s="1"/>
  <c r="AG555" i="26"/>
  <c r="AG845" i="26" s="1"/>
  <c r="AF555" i="26"/>
  <c r="AF845" i="26" s="1"/>
  <c r="AE555" i="26"/>
  <c r="AE845" i="26" s="1"/>
  <c r="AD555" i="26"/>
  <c r="AD845" i="26" s="1"/>
  <c r="AC555" i="26"/>
  <c r="AC845" i="26" s="1"/>
  <c r="AB555" i="26"/>
  <c r="AB845" i="26" s="1"/>
  <c r="AA555" i="26"/>
  <c r="AA845" i="26" s="1"/>
  <c r="Z555" i="26"/>
  <c r="Z845" i="26" s="1"/>
  <c r="Y555" i="26"/>
  <c r="Y845" i="26" s="1"/>
  <c r="X555" i="26"/>
  <c r="X845" i="26" s="1"/>
  <c r="W555" i="26"/>
  <c r="W845" i="26" s="1"/>
  <c r="V555" i="26"/>
  <c r="AJ554" i="26"/>
  <c r="AJ844" i="26" s="1"/>
  <c r="AI554" i="26"/>
  <c r="AI844" i="26" s="1"/>
  <c r="AH554" i="26"/>
  <c r="AH844" i="26" s="1"/>
  <c r="AG554" i="26"/>
  <c r="AG844" i="26" s="1"/>
  <c r="AF554" i="26"/>
  <c r="AF844" i="26" s="1"/>
  <c r="AE554" i="26"/>
  <c r="AE844" i="26" s="1"/>
  <c r="AD554" i="26"/>
  <c r="AD844" i="26" s="1"/>
  <c r="AC554" i="26"/>
  <c r="AC844" i="26" s="1"/>
  <c r="AB554" i="26"/>
  <c r="AB844" i="26" s="1"/>
  <c r="AA554" i="26"/>
  <c r="AA844" i="26" s="1"/>
  <c r="Z554" i="26"/>
  <c r="Z844" i="26" s="1"/>
  <c r="Y554" i="26"/>
  <c r="Y844" i="26" s="1"/>
  <c r="X554" i="26"/>
  <c r="X844" i="26" s="1"/>
  <c r="W554" i="26"/>
  <c r="W844" i="26" s="1"/>
  <c r="V554" i="26"/>
  <c r="AJ553" i="26"/>
  <c r="AJ843" i="26" s="1"/>
  <c r="AI553" i="26"/>
  <c r="AI843" i="26" s="1"/>
  <c r="AH553" i="26"/>
  <c r="AH843" i="26" s="1"/>
  <c r="AG553" i="26"/>
  <c r="AG843" i="26" s="1"/>
  <c r="AF553" i="26"/>
  <c r="AF843" i="26" s="1"/>
  <c r="AE553" i="26"/>
  <c r="AE843" i="26" s="1"/>
  <c r="AD553" i="26"/>
  <c r="AD843" i="26" s="1"/>
  <c r="AC553" i="26"/>
  <c r="AC843" i="26" s="1"/>
  <c r="AB553" i="26"/>
  <c r="AB843" i="26" s="1"/>
  <c r="AA553" i="26"/>
  <c r="AA843" i="26" s="1"/>
  <c r="Z553" i="26"/>
  <c r="Z843" i="26" s="1"/>
  <c r="Y553" i="26"/>
  <c r="Y843" i="26" s="1"/>
  <c r="X553" i="26"/>
  <c r="X843" i="26" s="1"/>
  <c r="W553" i="26"/>
  <c r="W843" i="26" s="1"/>
  <c r="V553" i="26"/>
  <c r="AJ552" i="26"/>
  <c r="AJ842" i="26" s="1"/>
  <c r="AI552" i="26"/>
  <c r="AI842" i="26" s="1"/>
  <c r="AH552" i="26"/>
  <c r="AH842" i="26" s="1"/>
  <c r="AG552" i="26"/>
  <c r="AG842" i="26" s="1"/>
  <c r="AF552" i="26"/>
  <c r="AF842" i="26" s="1"/>
  <c r="AE552" i="26"/>
  <c r="AE842" i="26" s="1"/>
  <c r="AD552" i="26"/>
  <c r="AD842" i="26" s="1"/>
  <c r="AC552" i="26"/>
  <c r="AC842" i="26" s="1"/>
  <c r="AB552" i="26"/>
  <c r="AB842" i="26" s="1"/>
  <c r="AA552" i="26"/>
  <c r="AA842" i="26" s="1"/>
  <c r="Z552" i="26"/>
  <c r="Z842" i="26" s="1"/>
  <c r="Y552" i="26"/>
  <c r="Y842" i="26" s="1"/>
  <c r="X552" i="26"/>
  <c r="X842" i="26" s="1"/>
  <c r="W552" i="26"/>
  <c r="W842" i="26" s="1"/>
  <c r="V552" i="26"/>
  <c r="AJ551" i="26"/>
  <c r="AJ841" i="26" s="1"/>
  <c r="AI551" i="26"/>
  <c r="AI841" i="26" s="1"/>
  <c r="AH551" i="26"/>
  <c r="AH841" i="26" s="1"/>
  <c r="AG551" i="26"/>
  <c r="AG841" i="26" s="1"/>
  <c r="AF551" i="26"/>
  <c r="AF841" i="26" s="1"/>
  <c r="AE551" i="26"/>
  <c r="AE841" i="26" s="1"/>
  <c r="AD551" i="26"/>
  <c r="AD841" i="26" s="1"/>
  <c r="AC551" i="26"/>
  <c r="AC841" i="26" s="1"/>
  <c r="AB551" i="26"/>
  <c r="AB841" i="26" s="1"/>
  <c r="AA551" i="26"/>
  <c r="AA841" i="26" s="1"/>
  <c r="Z551" i="26"/>
  <c r="Z841" i="26" s="1"/>
  <c r="Y551" i="26"/>
  <c r="Y841" i="26" s="1"/>
  <c r="X551" i="26"/>
  <c r="X841" i="26" s="1"/>
  <c r="W551" i="26"/>
  <c r="W841" i="26" s="1"/>
  <c r="V551" i="26"/>
  <c r="AJ550" i="26"/>
  <c r="AJ840" i="26" s="1"/>
  <c r="AI550" i="26"/>
  <c r="AI840" i="26" s="1"/>
  <c r="AH550" i="26"/>
  <c r="AH840" i="26" s="1"/>
  <c r="AG550" i="26"/>
  <c r="AG840" i="26" s="1"/>
  <c r="AF550" i="26"/>
  <c r="AF840" i="26" s="1"/>
  <c r="AE550" i="26"/>
  <c r="AE840" i="26" s="1"/>
  <c r="AD550" i="26"/>
  <c r="AD840" i="26" s="1"/>
  <c r="AC550" i="26"/>
  <c r="AC840" i="26" s="1"/>
  <c r="AB550" i="26"/>
  <c r="AB840" i="26" s="1"/>
  <c r="AA550" i="26"/>
  <c r="AA840" i="26" s="1"/>
  <c r="Z550" i="26"/>
  <c r="Z840" i="26" s="1"/>
  <c r="Y550" i="26"/>
  <c r="Y840" i="26" s="1"/>
  <c r="X550" i="26"/>
  <c r="X840" i="26" s="1"/>
  <c r="W550" i="26"/>
  <c r="W840" i="26" s="1"/>
  <c r="V550" i="26"/>
  <c r="AJ549" i="26"/>
  <c r="AJ839" i="26" s="1"/>
  <c r="AI549" i="26"/>
  <c r="AI839" i="26" s="1"/>
  <c r="AH549" i="26"/>
  <c r="AH839" i="26" s="1"/>
  <c r="AG549" i="26"/>
  <c r="AG839" i="26" s="1"/>
  <c r="AF549" i="26"/>
  <c r="AF839" i="26" s="1"/>
  <c r="AE549" i="26"/>
  <c r="AE839" i="26" s="1"/>
  <c r="AD549" i="26"/>
  <c r="AD839" i="26" s="1"/>
  <c r="AC549" i="26"/>
  <c r="AC839" i="26" s="1"/>
  <c r="AB549" i="26"/>
  <c r="AB839" i="26" s="1"/>
  <c r="AA549" i="26"/>
  <c r="AA839" i="26" s="1"/>
  <c r="Z549" i="26"/>
  <c r="Z839" i="26" s="1"/>
  <c r="Y549" i="26"/>
  <c r="Y839" i="26" s="1"/>
  <c r="X549" i="26"/>
  <c r="X839" i="26" s="1"/>
  <c r="W549" i="26"/>
  <c r="W839" i="26" s="1"/>
  <c r="V549" i="26"/>
  <c r="AJ548" i="26"/>
  <c r="AJ838" i="26" s="1"/>
  <c r="AI548" i="26"/>
  <c r="AI838" i="26" s="1"/>
  <c r="AH548" i="26"/>
  <c r="AH838" i="26" s="1"/>
  <c r="AG548" i="26"/>
  <c r="AG838" i="26" s="1"/>
  <c r="AF548" i="26"/>
  <c r="AF838" i="26" s="1"/>
  <c r="AE548" i="26"/>
  <c r="AE838" i="26" s="1"/>
  <c r="AD548" i="26"/>
  <c r="AD838" i="26" s="1"/>
  <c r="AC548" i="26"/>
  <c r="AC838" i="26" s="1"/>
  <c r="AB548" i="26"/>
  <c r="AB838" i="26" s="1"/>
  <c r="AA548" i="26"/>
  <c r="AA838" i="26" s="1"/>
  <c r="Z548" i="26"/>
  <c r="Z838" i="26" s="1"/>
  <c r="Y548" i="26"/>
  <c r="Y838" i="26" s="1"/>
  <c r="X548" i="26"/>
  <c r="X838" i="26" s="1"/>
  <c r="W548" i="26"/>
  <c r="W838" i="26" s="1"/>
  <c r="V548" i="26"/>
  <c r="AJ547" i="26"/>
  <c r="AJ837" i="26" s="1"/>
  <c r="AI547" i="26"/>
  <c r="AI837" i="26" s="1"/>
  <c r="AH547" i="26"/>
  <c r="AH837" i="26" s="1"/>
  <c r="AG547" i="26"/>
  <c r="AG837" i="26" s="1"/>
  <c r="AF547" i="26"/>
  <c r="AF837" i="26" s="1"/>
  <c r="AE547" i="26"/>
  <c r="AE837" i="26" s="1"/>
  <c r="AD547" i="26"/>
  <c r="AD837" i="26" s="1"/>
  <c r="AC547" i="26"/>
  <c r="AC837" i="26" s="1"/>
  <c r="AB547" i="26"/>
  <c r="AB837" i="26" s="1"/>
  <c r="AA547" i="26"/>
  <c r="AA837" i="26" s="1"/>
  <c r="Z547" i="26"/>
  <c r="Z837" i="26" s="1"/>
  <c r="Y547" i="26"/>
  <c r="Y837" i="26" s="1"/>
  <c r="X547" i="26"/>
  <c r="X837" i="26" s="1"/>
  <c r="W547" i="26"/>
  <c r="W837" i="26" s="1"/>
  <c r="V547" i="26"/>
  <c r="AJ546" i="26"/>
  <c r="AJ836" i="26" s="1"/>
  <c r="AI546" i="26"/>
  <c r="AI836" i="26" s="1"/>
  <c r="AH546" i="26"/>
  <c r="AH836" i="26" s="1"/>
  <c r="AG546" i="26"/>
  <c r="AG836" i="26" s="1"/>
  <c r="AF546" i="26"/>
  <c r="AF836" i="26" s="1"/>
  <c r="AE546" i="26"/>
  <c r="AE836" i="26" s="1"/>
  <c r="AD546" i="26"/>
  <c r="AD836" i="26" s="1"/>
  <c r="AC546" i="26"/>
  <c r="AC836" i="26" s="1"/>
  <c r="AB546" i="26"/>
  <c r="AB836" i="26" s="1"/>
  <c r="AA546" i="26"/>
  <c r="AA836" i="26" s="1"/>
  <c r="Z546" i="26"/>
  <c r="Z836" i="26" s="1"/>
  <c r="Y546" i="26"/>
  <c r="Y836" i="26" s="1"/>
  <c r="X546" i="26"/>
  <c r="X836" i="26" s="1"/>
  <c r="W546" i="26"/>
  <c r="W836" i="26" s="1"/>
  <c r="V546" i="26"/>
  <c r="AJ545" i="26"/>
  <c r="AJ835" i="26" s="1"/>
  <c r="AI545" i="26"/>
  <c r="AI835" i="26" s="1"/>
  <c r="AH545" i="26"/>
  <c r="AH835" i="26" s="1"/>
  <c r="AG545" i="26"/>
  <c r="AG835" i="26" s="1"/>
  <c r="AF545" i="26"/>
  <c r="AF835" i="26" s="1"/>
  <c r="AE545" i="26"/>
  <c r="AE835" i="26" s="1"/>
  <c r="AD545" i="26"/>
  <c r="AD835" i="26" s="1"/>
  <c r="AC545" i="26"/>
  <c r="AC835" i="26" s="1"/>
  <c r="AB545" i="26"/>
  <c r="AB835" i="26" s="1"/>
  <c r="AA545" i="26"/>
  <c r="AA835" i="26" s="1"/>
  <c r="Z545" i="26"/>
  <c r="Z835" i="26" s="1"/>
  <c r="Y545" i="26"/>
  <c r="Y835" i="26" s="1"/>
  <c r="X545" i="26"/>
  <c r="X835" i="26" s="1"/>
  <c r="W545" i="26"/>
  <c r="W835" i="26" s="1"/>
  <c r="V545" i="26"/>
  <c r="AJ544" i="26"/>
  <c r="AJ834" i="26" s="1"/>
  <c r="AI544" i="26"/>
  <c r="AI834" i="26" s="1"/>
  <c r="AH544" i="26"/>
  <c r="AH834" i="26" s="1"/>
  <c r="AG544" i="26"/>
  <c r="AG834" i="26" s="1"/>
  <c r="AF544" i="26"/>
  <c r="AF834" i="26" s="1"/>
  <c r="AE544" i="26"/>
  <c r="AE834" i="26" s="1"/>
  <c r="AD544" i="26"/>
  <c r="AD834" i="26" s="1"/>
  <c r="AC544" i="26"/>
  <c r="AC834" i="26" s="1"/>
  <c r="AB544" i="26"/>
  <c r="AB834" i="26" s="1"/>
  <c r="AA544" i="26"/>
  <c r="AA834" i="26" s="1"/>
  <c r="Z544" i="26"/>
  <c r="Z834" i="26" s="1"/>
  <c r="Y544" i="26"/>
  <c r="Y834" i="26" s="1"/>
  <c r="X544" i="26"/>
  <c r="X834" i="26" s="1"/>
  <c r="W544" i="26"/>
  <c r="W834" i="26" s="1"/>
  <c r="V544" i="26"/>
  <c r="AJ543" i="26"/>
  <c r="AJ833" i="26" s="1"/>
  <c r="AI543" i="26"/>
  <c r="AI833" i="26" s="1"/>
  <c r="AH543" i="26"/>
  <c r="AH833" i="26" s="1"/>
  <c r="AG543" i="26"/>
  <c r="AG833" i="26" s="1"/>
  <c r="AF543" i="26"/>
  <c r="AF833" i="26" s="1"/>
  <c r="AE543" i="26"/>
  <c r="AE833" i="26" s="1"/>
  <c r="AD543" i="26"/>
  <c r="AD833" i="26" s="1"/>
  <c r="AC543" i="26"/>
  <c r="AC833" i="26" s="1"/>
  <c r="AB543" i="26"/>
  <c r="AB833" i="26" s="1"/>
  <c r="AA543" i="26"/>
  <c r="AA833" i="26" s="1"/>
  <c r="Z543" i="26"/>
  <c r="Z833" i="26" s="1"/>
  <c r="Y543" i="26"/>
  <c r="Y833" i="26" s="1"/>
  <c r="X543" i="26"/>
  <c r="X833" i="26" s="1"/>
  <c r="W543" i="26"/>
  <c r="W833" i="26" s="1"/>
  <c r="V543" i="26"/>
  <c r="AJ542" i="26"/>
  <c r="AJ832" i="26" s="1"/>
  <c r="AI542" i="26"/>
  <c r="AI832" i="26" s="1"/>
  <c r="AH542" i="26"/>
  <c r="AH832" i="26" s="1"/>
  <c r="AG542" i="26"/>
  <c r="AG832" i="26" s="1"/>
  <c r="AF542" i="26"/>
  <c r="AF832" i="26" s="1"/>
  <c r="AE542" i="26"/>
  <c r="AE832" i="26" s="1"/>
  <c r="AD542" i="26"/>
  <c r="AD832" i="26" s="1"/>
  <c r="AC542" i="26"/>
  <c r="AC832" i="26" s="1"/>
  <c r="AB542" i="26"/>
  <c r="AB832" i="26" s="1"/>
  <c r="AA542" i="26"/>
  <c r="AA832" i="26" s="1"/>
  <c r="Z542" i="26"/>
  <c r="Z832" i="26" s="1"/>
  <c r="Y542" i="26"/>
  <c r="Y832" i="26" s="1"/>
  <c r="X542" i="26"/>
  <c r="X832" i="26" s="1"/>
  <c r="W542" i="26"/>
  <c r="W832" i="26" s="1"/>
  <c r="V542" i="26"/>
  <c r="AJ541" i="26"/>
  <c r="AJ831" i="26" s="1"/>
  <c r="AI541" i="26"/>
  <c r="AI831" i="26" s="1"/>
  <c r="AH541" i="26"/>
  <c r="AH831" i="26" s="1"/>
  <c r="AG541" i="26"/>
  <c r="AG831" i="26" s="1"/>
  <c r="AF541" i="26"/>
  <c r="AF831" i="26" s="1"/>
  <c r="AE541" i="26"/>
  <c r="AE831" i="26" s="1"/>
  <c r="AD541" i="26"/>
  <c r="AD831" i="26" s="1"/>
  <c r="AC541" i="26"/>
  <c r="AC831" i="26" s="1"/>
  <c r="AB541" i="26"/>
  <c r="AB831" i="26" s="1"/>
  <c r="AA541" i="26"/>
  <c r="AA831" i="26" s="1"/>
  <c r="Z541" i="26"/>
  <c r="Z831" i="26" s="1"/>
  <c r="Y541" i="26"/>
  <c r="Y831" i="26" s="1"/>
  <c r="X541" i="26"/>
  <c r="X831" i="26" s="1"/>
  <c r="W541" i="26"/>
  <c r="W831" i="26" s="1"/>
  <c r="V541" i="26"/>
  <c r="AJ540" i="26"/>
  <c r="AJ830" i="26" s="1"/>
  <c r="AI540" i="26"/>
  <c r="AI830" i="26" s="1"/>
  <c r="AH540" i="26"/>
  <c r="AH830" i="26" s="1"/>
  <c r="AG540" i="26"/>
  <c r="AG830" i="26" s="1"/>
  <c r="AF540" i="26"/>
  <c r="AF830" i="26" s="1"/>
  <c r="AE540" i="26"/>
  <c r="AE830" i="26" s="1"/>
  <c r="AD540" i="26"/>
  <c r="AD830" i="26" s="1"/>
  <c r="AC540" i="26"/>
  <c r="AC830" i="26" s="1"/>
  <c r="AB540" i="26"/>
  <c r="AB830" i="26" s="1"/>
  <c r="AA540" i="26"/>
  <c r="AA830" i="26" s="1"/>
  <c r="Z540" i="26"/>
  <c r="Z830" i="26" s="1"/>
  <c r="Y540" i="26"/>
  <c r="Y830" i="26" s="1"/>
  <c r="X540" i="26"/>
  <c r="X830" i="26" s="1"/>
  <c r="W540" i="26"/>
  <c r="W830" i="26" s="1"/>
  <c r="V540" i="26"/>
  <c r="AJ539" i="26"/>
  <c r="AJ829" i="26" s="1"/>
  <c r="AI539" i="26"/>
  <c r="AI829" i="26" s="1"/>
  <c r="AH539" i="26"/>
  <c r="AH829" i="26" s="1"/>
  <c r="AG539" i="26"/>
  <c r="AG829" i="26" s="1"/>
  <c r="AF539" i="26"/>
  <c r="AF829" i="26" s="1"/>
  <c r="AE539" i="26"/>
  <c r="AE829" i="26" s="1"/>
  <c r="AD539" i="26"/>
  <c r="AD829" i="26" s="1"/>
  <c r="AC539" i="26"/>
  <c r="AC829" i="26" s="1"/>
  <c r="AB539" i="26"/>
  <c r="AB829" i="26" s="1"/>
  <c r="AA539" i="26"/>
  <c r="AA829" i="26" s="1"/>
  <c r="Z539" i="26"/>
  <c r="Z829" i="26" s="1"/>
  <c r="Y539" i="26"/>
  <c r="Y829" i="26" s="1"/>
  <c r="X539" i="26"/>
  <c r="X829" i="26" s="1"/>
  <c r="W539" i="26"/>
  <c r="W829" i="26" s="1"/>
  <c r="V539" i="26"/>
  <c r="AJ538" i="26"/>
  <c r="AJ828" i="26" s="1"/>
  <c r="AI538" i="26"/>
  <c r="AI828" i="26" s="1"/>
  <c r="AH538" i="26"/>
  <c r="AH828" i="26" s="1"/>
  <c r="AG538" i="26"/>
  <c r="AG828" i="26" s="1"/>
  <c r="AF538" i="26"/>
  <c r="AF828" i="26" s="1"/>
  <c r="AE538" i="26"/>
  <c r="AE828" i="26" s="1"/>
  <c r="AD538" i="26"/>
  <c r="AD828" i="26" s="1"/>
  <c r="AC538" i="26"/>
  <c r="AC828" i="26" s="1"/>
  <c r="AB538" i="26"/>
  <c r="AB828" i="26" s="1"/>
  <c r="AA538" i="26"/>
  <c r="AA828" i="26" s="1"/>
  <c r="Z538" i="26"/>
  <c r="Z828" i="26" s="1"/>
  <c r="Y538" i="26"/>
  <c r="Y828" i="26" s="1"/>
  <c r="X538" i="26"/>
  <c r="X828" i="26" s="1"/>
  <c r="W538" i="26"/>
  <c r="W828" i="26" s="1"/>
  <c r="V538" i="26"/>
  <c r="AJ537" i="26"/>
  <c r="AJ827" i="26" s="1"/>
  <c r="AI537" i="26"/>
  <c r="AI827" i="26" s="1"/>
  <c r="AH537" i="26"/>
  <c r="AH827" i="26" s="1"/>
  <c r="AG537" i="26"/>
  <c r="AG827" i="26" s="1"/>
  <c r="AF537" i="26"/>
  <c r="AF827" i="26" s="1"/>
  <c r="AE537" i="26"/>
  <c r="AE827" i="26" s="1"/>
  <c r="AD537" i="26"/>
  <c r="AD827" i="26" s="1"/>
  <c r="AC537" i="26"/>
  <c r="AC827" i="26" s="1"/>
  <c r="AB537" i="26"/>
  <c r="AB827" i="26" s="1"/>
  <c r="AA537" i="26"/>
  <c r="AA827" i="26" s="1"/>
  <c r="Z537" i="26"/>
  <c r="Z827" i="26" s="1"/>
  <c r="Y537" i="26"/>
  <c r="Y827" i="26" s="1"/>
  <c r="X537" i="26"/>
  <c r="X827" i="26" s="1"/>
  <c r="W537" i="26"/>
  <c r="W827" i="26" s="1"/>
  <c r="V537" i="26"/>
  <c r="AJ536" i="26"/>
  <c r="AJ826" i="26" s="1"/>
  <c r="AI536" i="26"/>
  <c r="AI826" i="26" s="1"/>
  <c r="AH536" i="26"/>
  <c r="AH826" i="26" s="1"/>
  <c r="AG536" i="26"/>
  <c r="AG826" i="26" s="1"/>
  <c r="AF536" i="26"/>
  <c r="AF826" i="26" s="1"/>
  <c r="AE536" i="26"/>
  <c r="AE826" i="26" s="1"/>
  <c r="AD536" i="26"/>
  <c r="AD826" i="26" s="1"/>
  <c r="AC536" i="26"/>
  <c r="AC826" i="26" s="1"/>
  <c r="AB536" i="26"/>
  <c r="AB826" i="26" s="1"/>
  <c r="AA536" i="26"/>
  <c r="AA826" i="26" s="1"/>
  <c r="Z536" i="26"/>
  <c r="Z826" i="26" s="1"/>
  <c r="Y536" i="26"/>
  <c r="Y826" i="26" s="1"/>
  <c r="X536" i="26"/>
  <c r="X826" i="26" s="1"/>
  <c r="W536" i="26"/>
  <c r="W826" i="26" s="1"/>
  <c r="V536" i="26"/>
  <c r="AJ535" i="26"/>
  <c r="AJ825" i="26" s="1"/>
  <c r="AI535" i="26"/>
  <c r="AI825" i="26" s="1"/>
  <c r="AH535" i="26"/>
  <c r="AH825" i="26" s="1"/>
  <c r="AG535" i="26"/>
  <c r="AG825" i="26" s="1"/>
  <c r="AF535" i="26"/>
  <c r="AF825" i="26" s="1"/>
  <c r="AE535" i="26"/>
  <c r="AE825" i="26" s="1"/>
  <c r="AD535" i="26"/>
  <c r="AD825" i="26" s="1"/>
  <c r="AC535" i="26"/>
  <c r="AC825" i="26" s="1"/>
  <c r="AB535" i="26"/>
  <c r="AB825" i="26" s="1"/>
  <c r="AA535" i="26"/>
  <c r="AA825" i="26" s="1"/>
  <c r="Z535" i="26"/>
  <c r="Z825" i="26" s="1"/>
  <c r="Y535" i="26"/>
  <c r="Y825" i="26" s="1"/>
  <c r="X535" i="26"/>
  <c r="X825" i="26" s="1"/>
  <c r="W535" i="26"/>
  <c r="W825" i="26" s="1"/>
  <c r="V535" i="26"/>
  <c r="AJ534" i="26"/>
  <c r="AJ824" i="26" s="1"/>
  <c r="AI534" i="26"/>
  <c r="AI824" i="26" s="1"/>
  <c r="AH534" i="26"/>
  <c r="AH824" i="26" s="1"/>
  <c r="AG534" i="26"/>
  <c r="AG824" i="26" s="1"/>
  <c r="AF534" i="26"/>
  <c r="AF824" i="26" s="1"/>
  <c r="AE534" i="26"/>
  <c r="AE824" i="26" s="1"/>
  <c r="AD534" i="26"/>
  <c r="AD824" i="26" s="1"/>
  <c r="AC534" i="26"/>
  <c r="AC824" i="26" s="1"/>
  <c r="AB534" i="26"/>
  <c r="AB824" i="26" s="1"/>
  <c r="AA534" i="26"/>
  <c r="AA824" i="26" s="1"/>
  <c r="Z534" i="26"/>
  <c r="Z824" i="26" s="1"/>
  <c r="Y534" i="26"/>
  <c r="Y824" i="26" s="1"/>
  <c r="X534" i="26"/>
  <c r="X824" i="26" s="1"/>
  <c r="W534" i="26"/>
  <c r="W824" i="26" s="1"/>
  <c r="V534" i="26"/>
  <c r="AJ533" i="26"/>
  <c r="AJ823" i="26" s="1"/>
  <c r="AI533" i="26"/>
  <c r="AI823" i="26" s="1"/>
  <c r="AH533" i="26"/>
  <c r="AH823" i="26" s="1"/>
  <c r="AG533" i="26"/>
  <c r="AG823" i="26" s="1"/>
  <c r="AF533" i="26"/>
  <c r="AF823" i="26" s="1"/>
  <c r="AE533" i="26"/>
  <c r="AE823" i="26" s="1"/>
  <c r="AD533" i="26"/>
  <c r="AD823" i="26" s="1"/>
  <c r="AC533" i="26"/>
  <c r="AC823" i="26" s="1"/>
  <c r="AB533" i="26"/>
  <c r="AB823" i="26" s="1"/>
  <c r="AA533" i="26"/>
  <c r="AA823" i="26" s="1"/>
  <c r="Z533" i="26"/>
  <c r="Z823" i="26" s="1"/>
  <c r="Y533" i="26"/>
  <c r="Y823" i="26" s="1"/>
  <c r="X533" i="26"/>
  <c r="X823" i="26" s="1"/>
  <c r="W533" i="26"/>
  <c r="W823" i="26" s="1"/>
  <c r="V533" i="26"/>
  <c r="AJ532" i="26"/>
  <c r="AJ822" i="26" s="1"/>
  <c r="AI532" i="26"/>
  <c r="AI822" i="26" s="1"/>
  <c r="AH532" i="26"/>
  <c r="AH822" i="26" s="1"/>
  <c r="AG532" i="26"/>
  <c r="AG822" i="26" s="1"/>
  <c r="AF532" i="26"/>
  <c r="AF822" i="26" s="1"/>
  <c r="AE532" i="26"/>
  <c r="AE822" i="26" s="1"/>
  <c r="AD532" i="26"/>
  <c r="AD822" i="26" s="1"/>
  <c r="AC532" i="26"/>
  <c r="AC822" i="26" s="1"/>
  <c r="AB532" i="26"/>
  <c r="AB822" i="26" s="1"/>
  <c r="AA532" i="26"/>
  <c r="AA822" i="26" s="1"/>
  <c r="Z532" i="26"/>
  <c r="Z822" i="26" s="1"/>
  <c r="Y532" i="26"/>
  <c r="Y822" i="26" s="1"/>
  <c r="X532" i="26"/>
  <c r="X822" i="26" s="1"/>
  <c r="W532" i="26"/>
  <c r="W822" i="26" s="1"/>
  <c r="V532" i="26"/>
  <c r="AJ531" i="26"/>
  <c r="AJ821" i="26" s="1"/>
  <c r="AI531" i="26"/>
  <c r="AI821" i="26" s="1"/>
  <c r="AH531" i="26"/>
  <c r="AH821" i="26" s="1"/>
  <c r="AG531" i="26"/>
  <c r="AG821" i="26" s="1"/>
  <c r="AF531" i="26"/>
  <c r="AF821" i="26" s="1"/>
  <c r="AE531" i="26"/>
  <c r="AE821" i="26" s="1"/>
  <c r="AD531" i="26"/>
  <c r="AD821" i="26" s="1"/>
  <c r="AC531" i="26"/>
  <c r="AC821" i="26" s="1"/>
  <c r="AB531" i="26"/>
  <c r="AB821" i="26" s="1"/>
  <c r="AA531" i="26"/>
  <c r="AA821" i="26" s="1"/>
  <c r="Z531" i="26"/>
  <c r="Z821" i="26" s="1"/>
  <c r="Y531" i="26"/>
  <c r="Y821" i="26" s="1"/>
  <c r="X531" i="26"/>
  <c r="X821" i="26" s="1"/>
  <c r="W531" i="26"/>
  <c r="W821" i="26" s="1"/>
  <c r="V531" i="26"/>
  <c r="AJ530" i="26"/>
  <c r="AJ820" i="26" s="1"/>
  <c r="AI530" i="26"/>
  <c r="AI820" i="26" s="1"/>
  <c r="AH530" i="26"/>
  <c r="AH820" i="26" s="1"/>
  <c r="AG530" i="26"/>
  <c r="AG820" i="26" s="1"/>
  <c r="AF530" i="26"/>
  <c r="AF820" i="26" s="1"/>
  <c r="AE530" i="26"/>
  <c r="AE820" i="26" s="1"/>
  <c r="AD530" i="26"/>
  <c r="AD820" i="26" s="1"/>
  <c r="AC530" i="26"/>
  <c r="AC820" i="26" s="1"/>
  <c r="AB530" i="26"/>
  <c r="AB820" i="26" s="1"/>
  <c r="AA530" i="26"/>
  <c r="AA820" i="26" s="1"/>
  <c r="Z530" i="26"/>
  <c r="Z820" i="26" s="1"/>
  <c r="Y530" i="26"/>
  <c r="Y820" i="26" s="1"/>
  <c r="X530" i="26"/>
  <c r="X820" i="26" s="1"/>
  <c r="W530" i="26"/>
  <c r="W820" i="26" s="1"/>
  <c r="V530" i="26"/>
  <c r="AJ529" i="26"/>
  <c r="AJ819" i="26" s="1"/>
  <c r="AI529" i="26"/>
  <c r="AI819" i="26" s="1"/>
  <c r="AH529" i="26"/>
  <c r="AH819" i="26" s="1"/>
  <c r="AG529" i="26"/>
  <c r="AG819" i="26" s="1"/>
  <c r="AF529" i="26"/>
  <c r="AF819" i="26" s="1"/>
  <c r="AE529" i="26"/>
  <c r="AE819" i="26" s="1"/>
  <c r="AD529" i="26"/>
  <c r="AD819" i="26" s="1"/>
  <c r="AC529" i="26"/>
  <c r="AC819" i="26" s="1"/>
  <c r="AB529" i="26"/>
  <c r="AB819" i="26" s="1"/>
  <c r="AA529" i="26"/>
  <c r="AA819" i="26" s="1"/>
  <c r="Z529" i="26"/>
  <c r="Z819" i="26" s="1"/>
  <c r="Y529" i="26"/>
  <c r="Y819" i="26" s="1"/>
  <c r="X529" i="26"/>
  <c r="X819" i="26" s="1"/>
  <c r="W529" i="26"/>
  <c r="W819" i="26" s="1"/>
  <c r="V529" i="26"/>
  <c r="AJ528" i="26"/>
  <c r="AJ818" i="26" s="1"/>
  <c r="AI528" i="26"/>
  <c r="AI818" i="26" s="1"/>
  <c r="AH528" i="26"/>
  <c r="AH818" i="26" s="1"/>
  <c r="AG528" i="26"/>
  <c r="AG818" i="26" s="1"/>
  <c r="AF528" i="26"/>
  <c r="AF818" i="26" s="1"/>
  <c r="AE528" i="26"/>
  <c r="AE818" i="26" s="1"/>
  <c r="AD528" i="26"/>
  <c r="AD818" i="26" s="1"/>
  <c r="AC528" i="26"/>
  <c r="AC818" i="26" s="1"/>
  <c r="AB528" i="26"/>
  <c r="AB818" i="26" s="1"/>
  <c r="AA528" i="26"/>
  <c r="AA818" i="26" s="1"/>
  <c r="Z528" i="26"/>
  <c r="Z818" i="26" s="1"/>
  <c r="Y528" i="26"/>
  <c r="Y818" i="26" s="1"/>
  <c r="X528" i="26"/>
  <c r="X818" i="26" s="1"/>
  <c r="W528" i="26"/>
  <c r="W818" i="26" s="1"/>
  <c r="V528" i="26"/>
  <c r="AJ527" i="26"/>
  <c r="AJ817" i="26" s="1"/>
  <c r="AI527" i="26"/>
  <c r="AI817" i="26" s="1"/>
  <c r="AH527" i="26"/>
  <c r="AH817" i="26" s="1"/>
  <c r="AG527" i="26"/>
  <c r="AG817" i="26" s="1"/>
  <c r="AF527" i="26"/>
  <c r="AF817" i="26" s="1"/>
  <c r="AE527" i="26"/>
  <c r="AE817" i="26" s="1"/>
  <c r="AD527" i="26"/>
  <c r="AD817" i="26" s="1"/>
  <c r="AC527" i="26"/>
  <c r="AC817" i="26" s="1"/>
  <c r="AB527" i="26"/>
  <c r="AB817" i="26" s="1"/>
  <c r="AA527" i="26"/>
  <c r="AA817" i="26" s="1"/>
  <c r="Z527" i="26"/>
  <c r="Z817" i="26" s="1"/>
  <c r="Y527" i="26"/>
  <c r="Y817" i="26" s="1"/>
  <c r="X527" i="26"/>
  <c r="X817" i="26" s="1"/>
  <c r="W527" i="26"/>
  <c r="W817" i="26" s="1"/>
  <c r="V527" i="26"/>
  <c r="AJ526" i="26"/>
  <c r="AJ816" i="26" s="1"/>
  <c r="AI526" i="26"/>
  <c r="AI816" i="26" s="1"/>
  <c r="AH526" i="26"/>
  <c r="AH816" i="26" s="1"/>
  <c r="AG526" i="26"/>
  <c r="AG816" i="26" s="1"/>
  <c r="AF526" i="26"/>
  <c r="AF816" i="26" s="1"/>
  <c r="AE526" i="26"/>
  <c r="AE816" i="26" s="1"/>
  <c r="AD526" i="26"/>
  <c r="AD816" i="26" s="1"/>
  <c r="AC526" i="26"/>
  <c r="AC816" i="26" s="1"/>
  <c r="AB526" i="26"/>
  <c r="AB816" i="26" s="1"/>
  <c r="AA526" i="26"/>
  <c r="AA816" i="26" s="1"/>
  <c r="Z526" i="26"/>
  <c r="Z816" i="26" s="1"/>
  <c r="Y526" i="26"/>
  <c r="Y816" i="26" s="1"/>
  <c r="X526" i="26"/>
  <c r="X816" i="26" s="1"/>
  <c r="W526" i="26"/>
  <c r="W816" i="26" s="1"/>
  <c r="V526" i="26"/>
  <c r="AJ525" i="26"/>
  <c r="AJ815" i="26" s="1"/>
  <c r="AI525" i="26"/>
  <c r="AI815" i="26" s="1"/>
  <c r="AH525" i="26"/>
  <c r="AH815" i="26" s="1"/>
  <c r="AG525" i="26"/>
  <c r="AG815" i="26" s="1"/>
  <c r="AF525" i="26"/>
  <c r="AF815" i="26" s="1"/>
  <c r="AE525" i="26"/>
  <c r="AE815" i="26" s="1"/>
  <c r="AD525" i="26"/>
  <c r="AD815" i="26" s="1"/>
  <c r="AC525" i="26"/>
  <c r="AC815" i="26" s="1"/>
  <c r="AB525" i="26"/>
  <c r="AB815" i="26" s="1"/>
  <c r="AA525" i="26"/>
  <c r="AA815" i="26" s="1"/>
  <c r="Z525" i="26"/>
  <c r="Z815" i="26" s="1"/>
  <c r="Y525" i="26"/>
  <c r="Y815" i="26" s="1"/>
  <c r="X525" i="26"/>
  <c r="X815" i="26" s="1"/>
  <c r="W525" i="26"/>
  <c r="W815" i="26" s="1"/>
  <c r="V525" i="26"/>
  <c r="AJ524" i="26"/>
  <c r="AJ814" i="26" s="1"/>
  <c r="AI524" i="26"/>
  <c r="AI814" i="26" s="1"/>
  <c r="AH524" i="26"/>
  <c r="AH814" i="26" s="1"/>
  <c r="AG524" i="26"/>
  <c r="AG814" i="26" s="1"/>
  <c r="AF524" i="26"/>
  <c r="AF814" i="26" s="1"/>
  <c r="AE524" i="26"/>
  <c r="AE814" i="26" s="1"/>
  <c r="AD524" i="26"/>
  <c r="AD814" i="26" s="1"/>
  <c r="AC524" i="26"/>
  <c r="AC814" i="26" s="1"/>
  <c r="AB524" i="26"/>
  <c r="AB814" i="26" s="1"/>
  <c r="AA524" i="26"/>
  <c r="AA814" i="26" s="1"/>
  <c r="Z524" i="26"/>
  <c r="Z814" i="26" s="1"/>
  <c r="Y524" i="26"/>
  <c r="Y814" i="26" s="1"/>
  <c r="X524" i="26"/>
  <c r="X814" i="26" s="1"/>
  <c r="W524" i="26"/>
  <c r="W814" i="26" s="1"/>
  <c r="V524" i="26"/>
  <c r="AJ523" i="26"/>
  <c r="AJ813" i="26" s="1"/>
  <c r="AI523" i="26"/>
  <c r="AI813" i="26" s="1"/>
  <c r="AH523" i="26"/>
  <c r="AH813" i="26" s="1"/>
  <c r="AG523" i="26"/>
  <c r="AG813" i="26" s="1"/>
  <c r="AF523" i="26"/>
  <c r="AF813" i="26" s="1"/>
  <c r="AE523" i="26"/>
  <c r="AE813" i="26" s="1"/>
  <c r="AD523" i="26"/>
  <c r="AD813" i="26" s="1"/>
  <c r="AC523" i="26"/>
  <c r="AC813" i="26" s="1"/>
  <c r="AB523" i="26"/>
  <c r="AB813" i="26" s="1"/>
  <c r="AA523" i="26"/>
  <c r="AA813" i="26" s="1"/>
  <c r="Z523" i="26"/>
  <c r="Z813" i="26" s="1"/>
  <c r="Y523" i="26"/>
  <c r="Y813" i="26" s="1"/>
  <c r="X523" i="26"/>
  <c r="X813" i="26" s="1"/>
  <c r="W523" i="26"/>
  <c r="W813" i="26" s="1"/>
  <c r="V523" i="26"/>
  <c r="AJ522" i="26"/>
  <c r="AJ812" i="26" s="1"/>
  <c r="AI522" i="26"/>
  <c r="AI812" i="26" s="1"/>
  <c r="AH522" i="26"/>
  <c r="AH812" i="26" s="1"/>
  <c r="AG522" i="26"/>
  <c r="AG812" i="26" s="1"/>
  <c r="AF522" i="26"/>
  <c r="AF812" i="26" s="1"/>
  <c r="AE522" i="26"/>
  <c r="AE812" i="26" s="1"/>
  <c r="AD522" i="26"/>
  <c r="AD812" i="26" s="1"/>
  <c r="AC522" i="26"/>
  <c r="AC812" i="26" s="1"/>
  <c r="AB522" i="26"/>
  <c r="AB812" i="26" s="1"/>
  <c r="AA522" i="26"/>
  <c r="AA812" i="26" s="1"/>
  <c r="Z522" i="26"/>
  <c r="Z812" i="26" s="1"/>
  <c r="Y522" i="26"/>
  <c r="Y812" i="26" s="1"/>
  <c r="X522" i="26"/>
  <c r="X812" i="26" s="1"/>
  <c r="W522" i="26"/>
  <c r="W812" i="26" s="1"/>
  <c r="V522" i="26"/>
  <c r="AJ521" i="26"/>
  <c r="AJ811" i="26" s="1"/>
  <c r="AI521" i="26"/>
  <c r="AI811" i="26" s="1"/>
  <c r="AH521" i="26"/>
  <c r="AH811" i="26" s="1"/>
  <c r="AG521" i="26"/>
  <c r="AG811" i="26" s="1"/>
  <c r="AF521" i="26"/>
  <c r="AF811" i="26" s="1"/>
  <c r="AE521" i="26"/>
  <c r="AE811" i="26" s="1"/>
  <c r="AD521" i="26"/>
  <c r="AD811" i="26" s="1"/>
  <c r="AC521" i="26"/>
  <c r="AC811" i="26" s="1"/>
  <c r="AB521" i="26"/>
  <c r="AB811" i="26" s="1"/>
  <c r="AA521" i="26"/>
  <c r="AA811" i="26" s="1"/>
  <c r="Z521" i="26"/>
  <c r="Z811" i="26" s="1"/>
  <c r="Y521" i="26"/>
  <c r="Y811" i="26" s="1"/>
  <c r="X521" i="26"/>
  <c r="X811" i="26" s="1"/>
  <c r="W521" i="26"/>
  <c r="W811" i="26" s="1"/>
  <c r="V521" i="26"/>
  <c r="AJ520" i="26"/>
  <c r="AJ810" i="26" s="1"/>
  <c r="AI520" i="26"/>
  <c r="AI810" i="26" s="1"/>
  <c r="AH520" i="26"/>
  <c r="AH810" i="26" s="1"/>
  <c r="AG520" i="26"/>
  <c r="AG810" i="26" s="1"/>
  <c r="AF520" i="26"/>
  <c r="AF810" i="26" s="1"/>
  <c r="AE520" i="26"/>
  <c r="AE810" i="26" s="1"/>
  <c r="AD520" i="26"/>
  <c r="AD810" i="26" s="1"/>
  <c r="AC520" i="26"/>
  <c r="AC810" i="26" s="1"/>
  <c r="AB520" i="26"/>
  <c r="AB810" i="26" s="1"/>
  <c r="AA520" i="26"/>
  <c r="AA810" i="26" s="1"/>
  <c r="Z520" i="26"/>
  <c r="Z810" i="26" s="1"/>
  <c r="Y520" i="26"/>
  <c r="Y810" i="26" s="1"/>
  <c r="X520" i="26"/>
  <c r="X810" i="26" s="1"/>
  <c r="W520" i="26"/>
  <c r="W810" i="26" s="1"/>
  <c r="V520" i="26"/>
  <c r="AJ519" i="26"/>
  <c r="AJ809" i="26" s="1"/>
  <c r="AI519" i="26"/>
  <c r="AI809" i="26" s="1"/>
  <c r="AH519" i="26"/>
  <c r="AH809" i="26" s="1"/>
  <c r="AG519" i="26"/>
  <c r="AG809" i="26" s="1"/>
  <c r="AF519" i="26"/>
  <c r="AF809" i="26" s="1"/>
  <c r="AE519" i="26"/>
  <c r="AE809" i="26" s="1"/>
  <c r="AD519" i="26"/>
  <c r="AD809" i="26" s="1"/>
  <c r="AC519" i="26"/>
  <c r="AC809" i="26" s="1"/>
  <c r="AB519" i="26"/>
  <c r="AB809" i="26" s="1"/>
  <c r="AA519" i="26"/>
  <c r="AA809" i="26" s="1"/>
  <c r="Z519" i="26"/>
  <c r="Z809" i="26" s="1"/>
  <c r="Y519" i="26"/>
  <c r="Y809" i="26" s="1"/>
  <c r="X519" i="26"/>
  <c r="X809" i="26" s="1"/>
  <c r="W519" i="26"/>
  <c r="W809" i="26" s="1"/>
  <c r="V519" i="26"/>
  <c r="AJ518" i="26"/>
  <c r="AJ808" i="26" s="1"/>
  <c r="AI518" i="26"/>
  <c r="AI808" i="26" s="1"/>
  <c r="AH518" i="26"/>
  <c r="AH808" i="26" s="1"/>
  <c r="AG518" i="26"/>
  <c r="AG808" i="26" s="1"/>
  <c r="AF518" i="26"/>
  <c r="AF808" i="26" s="1"/>
  <c r="AE518" i="26"/>
  <c r="AE808" i="26" s="1"/>
  <c r="AD518" i="26"/>
  <c r="AD808" i="26" s="1"/>
  <c r="AC518" i="26"/>
  <c r="AC808" i="26" s="1"/>
  <c r="AB518" i="26"/>
  <c r="AB808" i="26" s="1"/>
  <c r="AA518" i="26"/>
  <c r="AA808" i="26" s="1"/>
  <c r="Z518" i="26"/>
  <c r="Z808" i="26" s="1"/>
  <c r="Y518" i="26"/>
  <c r="Y808" i="26" s="1"/>
  <c r="X518" i="26"/>
  <c r="X808" i="26" s="1"/>
  <c r="W518" i="26"/>
  <c r="W808" i="26" s="1"/>
  <c r="V518" i="26"/>
  <c r="AJ517" i="26"/>
  <c r="AJ807" i="26" s="1"/>
  <c r="AI517" i="26"/>
  <c r="AI807" i="26" s="1"/>
  <c r="AH517" i="26"/>
  <c r="AH807" i="26" s="1"/>
  <c r="AG517" i="26"/>
  <c r="AG807" i="26" s="1"/>
  <c r="AF517" i="26"/>
  <c r="AF807" i="26" s="1"/>
  <c r="AE517" i="26"/>
  <c r="AE807" i="26" s="1"/>
  <c r="AD517" i="26"/>
  <c r="AD807" i="26" s="1"/>
  <c r="AC517" i="26"/>
  <c r="AC807" i="26" s="1"/>
  <c r="AB517" i="26"/>
  <c r="AB807" i="26" s="1"/>
  <c r="AA517" i="26"/>
  <c r="AA807" i="26" s="1"/>
  <c r="Z517" i="26"/>
  <c r="Z807" i="26" s="1"/>
  <c r="Y517" i="26"/>
  <c r="Y807" i="26" s="1"/>
  <c r="X517" i="26"/>
  <c r="X807" i="26" s="1"/>
  <c r="W517" i="26"/>
  <c r="W807" i="26" s="1"/>
  <c r="V517" i="26"/>
  <c r="AJ516" i="26"/>
  <c r="AJ806" i="26" s="1"/>
  <c r="AI516" i="26"/>
  <c r="AI806" i="26" s="1"/>
  <c r="AH516" i="26"/>
  <c r="AH806" i="26" s="1"/>
  <c r="AG516" i="26"/>
  <c r="AG806" i="26" s="1"/>
  <c r="AF516" i="26"/>
  <c r="AF806" i="26" s="1"/>
  <c r="AE516" i="26"/>
  <c r="AE806" i="26" s="1"/>
  <c r="AD516" i="26"/>
  <c r="AD806" i="26" s="1"/>
  <c r="AC516" i="26"/>
  <c r="AC806" i="26" s="1"/>
  <c r="AB516" i="26"/>
  <c r="AB806" i="26" s="1"/>
  <c r="AA516" i="26"/>
  <c r="AA806" i="26" s="1"/>
  <c r="Z516" i="26"/>
  <c r="Z806" i="26" s="1"/>
  <c r="Y516" i="26"/>
  <c r="Y806" i="26" s="1"/>
  <c r="X516" i="26"/>
  <c r="X806" i="26" s="1"/>
  <c r="W516" i="26"/>
  <c r="W806" i="26" s="1"/>
  <c r="V516" i="26"/>
  <c r="AJ515" i="26"/>
  <c r="AJ805" i="26" s="1"/>
  <c r="AI515" i="26"/>
  <c r="AI805" i="26" s="1"/>
  <c r="AH515" i="26"/>
  <c r="AH805" i="26" s="1"/>
  <c r="AG515" i="26"/>
  <c r="AG805" i="26" s="1"/>
  <c r="AF515" i="26"/>
  <c r="AF805" i="26" s="1"/>
  <c r="AE515" i="26"/>
  <c r="AE805" i="26" s="1"/>
  <c r="AD515" i="26"/>
  <c r="AD805" i="26" s="1"/>
  <c r="AC515" i="26"/>
  <c r="AC805" i="26" s="1"/>
  <c r="AB515" i="26"/>
  <c r="AB805" i="26" s="1"/>
  <c r="AA515" i="26"/>
  <c r="AA805" i="26" s="1"/>
  <c r="Z515" i="26"/>
  <c r="Z805" i="26" s="1"/>
  <c r="Y515" i="26"/>
  <c r="Y805" i="26" s="1"/>
  <c r="X515" i="26"/>
  <c r="X805" i="26" s="1"/>
  <c r="W515" i="26"/>
  <c r="W805" i="26" s="1"/>
  <c r="V515" i="26"/>
  <c r="AJ514" i="26"/>
  <c r="AJ804" i="26" s="1"/>
  <c r="AI514" i="26"/>
  <c r="AI804" i="26" s="1"/>
  <c r="AH514" i="26"/>
  <c r="AH804" i="26" s="1"/>
  <c r="AG514" i="26"/>
  <c r="AG804" i="26" s="1"/>
  <c r="AF514" i="26"/>
  <c r="AF804" i="26" s="1"/>
  <c r="AE514" i="26"/>
  <c r="AE804" i="26" s="1"/>
  <c r="AD514" i="26"/>
  <c r="AD804" i="26" s="1"/>
  <c r="AC514" i="26"/>
  <c r="AC804" i="26" s="1"/>
  <c r="AB514" i="26"/>
  <c r="AB804" i="26" s="1"/>
  <c r="AA514" i="26"/>
  <c r="AA804" i="26" s="1"/>
  <c r="Z514" i="26"/>
  <c r="Z804" i="26" s="1"/>
  <c r="Y514" i="26"/>
  <c r="Y804" i="26" s="1"/>
  <c r="X514" i="26"/>
  <c r="X804" i="26" s="1"/>
  <c r="W514" i="26"/>
  <c r="W804" i="26" s="1"/>
  <c r="V514" i="26"/>
  <c r="AJ513" i="26"/>
  <c r="AJ803" i="26" s="1"/>
  <c r="AI513" i="26"/>
  <c r="AI803" i="26" s="1"/>
  <c r="AH513" i="26"/>
  <c r="AH803" i="26" s="1"/>
  <c r="AG513" i="26"/>
  <c r="AG803" i="26" s="1"/>
  <c r="AF513" i="26"/>
  <c r="AF803" i="26" s="1"/>
  <c r="AE513" i="26"/>
  <c r="AE803" i="26" s="1"/>
  <c r="AD513" i="26"/>
  <c r="AD803" i="26" s="1"/>
  <c r="AC513" i="26"/>
  <c r="AC803" i="26" s="1"/>
  <c r="AB513" i="26"/>
  <c r="AB803" i="26" s="1"/>
  <c r="AA513" i="26"/>
  <c r="AA803" i="26" s="1"/>
  <c r="Z513" i="26"/>
  <c r="Z803" i="26" s="1"/>
  <c r="Y513" i="26"/>
  <c r="Y803" i="26" s="1"/>
  <c r="X513" i="26"/>
  <c r="X803" i="26" s="1"/>
  <c r="W513" i="26"/>
  <c r="W803" i="26" s="1"/>
  <c r="V513" i="26"/>
  <c r="AJ512" i="26"/>
  <c r="AJ802" i="26" s="1"/>
  <c r="AI512" i="26"/>
  <c r="AI802" i="26" s="1"/>
  <c r="AH512" i="26"/>
  <c r="AH802" i="26" s="1"/>
  <c r="AG512" i="26"/>
  <c r="AG802" i="26" s="1"/>
  <c r="AF512" i="26"/>
  <c r="AF802" i="26" s="1"/>
  <c r="AE512" i="26"/>
  <c r="AE802" i="26" s="1"/>
  <c r="AD512" i="26"/>
  <c r="AD802" i="26" s="1"/>
  <c r="AC512" i="26"/>
  <c r="AC802" i="26" s="1"/>
  <c r="AB512" i="26"/>
  <c r="AB802" i="26" s="1"/>
  <c r="AA512" i="26"/>
  <c r="AA802" i="26" s="1"/>
  <c r="Z512" i="26"/>
  <c r="Z802" i="26" s="1"/>
  <c r="Y512" i="26"/>
  <c r="Y802" i="26" s="1"/>
  <c r="X512" i="26"/>
  <c r="X802" i="26" s="1"/>
  <c r="W512" i="26"/>
  <c r="W802" i="26" s="1"/>
  <c r="V512" i="26"/>
  <c r="AJ511" i="26"/>
  <c r="AJ801" i="26" s="1"/>
  <c r="AI511" i="26"/>
  <c r="AI801" i="26" s="1"/>
  <c r="AH511" i="26"/>
  <c r="AH801" i="26" s="1"/>
  <c r="AG511" i="26"/>
  <c r="AG801" i="26" s="1"/>
  <c r="AF511" i="26"/>
  <c r="AF801" i="26" s="1"/>
  <c r="AE511" i="26"/>
  <c r="AE801" i="26" s="1"/>
  <c r="AD511" i="26"/>
  <c r="AD801" i="26" s="1"/>
  <c r="AC511" i="26"/>
  <c r="AC801" i="26" s="1"/>
  <c r="AB511" i="26"/>
  <c r="AB801" i="26" s="1"/>
  <c r="AA511" i="26"/>
  <c r="AA801" i="26" s="1"/>
  <c r="Z511" i="26"/>
  <c r="Z801" i="26" s="1"/>
  <c r="Y511" i="26"/>
  <c r="Y801" i="26" s="1"/>
  <c r="X511" i="26"/>
  <c r="X801" i="26" s="1"/>
  <c r="W511" i="26"/>
  <c r="W801" i="26" s="1"/>
  <c r="V511" i="26"/>
  <c r="AJ510" i="26"/>
  <c r="AJ800" i="26" s="1"/>
  <c r="AI510" i="26"/>
  <c r="AI800" i="26" s="1"/>
  <c r="AH510" i="26"/>
  <c r="AH800" i="26" s="1"/>
  <c r="AG510" i="26"/>
  <c r="AG800" i="26" s="1"/>
  <c r="AF510" i="26"/>
  <c r="AF800" i="26" s="1"/>
  <c r="AE510" i="26"/>
  <c r="AE800" i="26" s="1"/>
  <c r="AD510" i="26"/>
  <c r="AD800" i="26" s="1"/>
  <c r="AC510" i="26"/>
  <c r="AC800" i="26" s="1"/>
  <c r="AB510" i="26"/>
  <c r="AB800" i="26" s="1"/>
  <c r="AA510" i="26"/>
  <c r="AA800" i="26" s="1"/>
  <c r="Z510" i="26"/>
  <c r="Z800" i="26" s="1"/>
  <c r="Y510" i="26"/>
  <c r="Y800" i="26" s="1"/>
  <c r="X510" i="26"/>
  <c r="X800" i="26" s="1"/>
  <c r="W510" i="26"/>
  <c r="W800" i="26" s="1"/>
  <c r="V510" i="26"/>
  <c r="AJ509" i="26"/>
  <c r="AJ799" i="26" s="1"/>
  <c r="AI509" i="26"/>
  <c r="AI799" i="26" s="1"/>
  <c r="AH509" i="26"/>
  <c r="AH799" i="26" s="1"/>
  <c r="AG509" i="26"/>
  <c r="AG799" i="26" s="1"/>
  <c r="AF509" i="26"/>
  <c r="AF799" i="26" s="1"/>
  <c r="AE509" i="26"/>
  <c r="AE799" i="26" s="1"/>
  <c r="AD509" i="26"/>
  <c r="AD799" i="26" s="1"/>
  <c r="AC509" i="26"/>
  <c r="AC799" i="26" s="1"/>
  <c r="AB509" i="26"/>
  <c r="AB799" i="26" s="1"/>
  <c r="AA509" i="26"/>
  <c r="AA799" i="26" s="1"/>
  <c r="Z509" i="26"/>
  <c r="Z799" i="26" s="1"/>
  <c r="Y509" i="26"/>
  <c r="Y799" i="26" s="1"/>
  <c r="X509" i="26"/>
  <c r="X799" i="26" s="1"/>
  <c r="W509" i="26"/>
  <c r="W799" i="26" s="1"/>
  <c r="V509" i="26"/>
  <c r="AJ508" i="26"/>
  <c r="AJ798" i="26" s="1"/>
  <c r="AI508" i="26"/>
  <c r="AI798" i="26" s="1"/>
  <c r="AH508" i="26"/>
  <c r="AH798" i="26" s="1"/>
  <c r="AG508" i="26"/>
  <c r="AG798" i="26" s="1"/>
  <c r="AF508" i="26"/>
  <c r="AF798" i="26" s="1"/>
  <c r="AE508" i="26"/>
  <c r="AE798" i="26" s="1"/>
  <c r="AD508" i="26"/>
  <c r="AD798" i="26" s="1"/>
  <c r="AC508" i="26"/>
  <c r="AC798" i="26" s="1"/>
  <c r="AB508" i="26"/>
  <c r="AB798" i="26" s="1"/>
  <c r="AA508" i="26"/>
  <c r="AA798" i="26" s="1"/>
  <c r="Z508" i="26"/>
  <c r="Z798" i="26" s="1"/>
  <c r="Y508" i="26"/>
  <c r="Y798" i="26" s="1"/>
  <c r="X508" i="26"/>
  <c r="X798" i="26" s="1"/>
  <c r="W508" i="26"/>
  <c r="W798" i="26" s="1"/>
  <c r="V508" i="26"/>
  <c r="AJ507" i="26"/>
  <c r="AJ797" i="26" s="1"/>
  <c r="AI507" i="26"/>
  <c r="AI797" i="26" s="1"/>
  <c r="AH507" i="26"/>
  <c r="AH797" i="26" s="1"/>
  <c r="AG507" i="26"/>
  <c r="AG797" i="26" s="1"/>
  <c r="AF507" i="26"/>
  <c r="AF797" i="26" s="1"/>
  <c r="AE507" i="26"/>
  <c r="AE797" i="26" s="1"/>
  <c r="AD507" i="26"/>
  <c r="AD797" i="26" s="1"/>
  <c r="AC507" i="26"/>
  <c r="AC797" i="26" s="1"/>
  <c r="AB507" i="26"/>
  <c r="AB797" i="26" s="1"/>
  <c r="AA507" i="26"/>
  <c r="AA797" i="26" s="1"/>
  <c r="Z507" i="26"/>
  <c r="Z797" i="26" s="1"/>
  <c r="Y507" i="26"/>
  <c r="Y797" i="26" s="1"/>
  <c r="X507" i="26"/>
  <c r="X797" i="26" s="1"/>
  <c r="W507" i="26"/>
  <c r="W797" i="26" s="1"/>
  <c r="V507" i="26"/>
  <c r="AJ506" i="26"/>
  <c r="AJ796" i="26" s="1"/>
  <c r="AI506" i="26"/>
  <c r="AI796" i="26" s="1"/>
  <c r="AH506" i="26"/>
  <c r="AH796" i="26" s="1"/>
  <c r="AG506" i="26"/>
  <c r="AG796" i="26" s="1"/>
  <c r="AF506" i="26"/>
  <c r="AF796" i="26" s="1"/>
  <c r="AE506" i="26"/>
  <c r="AE796" i="26" s="1"/>
  <c r="AD506" i="26"/>
  <c r="AD796" i="26" s="1"/>
  <c r="AC506" i="26"/>
  <c r="AC796" i="26" s="1"/>
  <c r="AB506" i="26"/>
  <c r="AB796" i="26" s="1"/>
  <c r="AA506" i="26"/>
  <c r="AA796" i="26" s="1"/>
  <c r="Z506" i="26"/>
  <c r="Z796" i="26" s="1"/>
  <c r="Y506" i="26"/>
  <c r="Y796" i="26" s="1"/>
  <c r="X506" i="26"/>
  <c r="X796" i="26" s="1"/>
  <c r="W506" i="26"/>
  <c r="W796" i="26" s="1"/>
  <c r="V506" i="26"/>
  <c r="AJ505" i="26"/>
  <c r="AJ795" i="26" s="1"/>
  <c r="AI505" i="26"/>
  <c r="AI795" i="26" s="1"/>
  <c r="AH505" i="26"/>
  <c r="AH795" i="26" s="1"/>
  <c r="AG505" i="26"/>
  <c r="AG795" i="26" s="1"/>
  <c r="AF505" i="26"/>
  <c r="AF795" i="26" s="1"/>
  <c r="AE505" i="26"/>
  <c r="AE795" i="26" s="1"/>
  <c r="AD505" i="26"/>
  <c r="AD795" i="26" s="1"/>
  <c r="AC505" i="26"/>
  <c r="AC795" i="26" s="1"/>
  <c r="AB505" i="26"/>
  <c r="AB795" i="26" s="1"/>
  <c r="AA505" i="26"/>
  <c r="AA795" i="26" s="1"/>
  <c r="Z505" i="26"/>
  <c r="Z795" i="26" s="1"/>
  <c r="Y505" i="26"/>
  <c r="Y795" i="26" s="1"/>
  <c r="X505" i="26"/>
  <c r="X795" i="26" s="1"/>
  <c r="W505" i="26"/>
  <c r="W795" i="26" s="1"/>
  <c r="V505" i="26"/>
  <c r="AJ504" i="26"/>
  <c r="AJ794" i="26" s="1"/>
  <c r="AI504" i="26"/>
  <c r="AI794" i="26" s="1"/>
  <c r="AH504" i="26"/>
  <c r="AH794" i="26" s="1"/>
  <c r="AG504" i="26"/>
  <c r="AG794" i="26" s="1"/>
  <c r="AF504" i="26"/>
  <c r="AF794" i="26" s="1"/>
  <c r="AE504" i="26"/>
  <c r="AE794" i="26" s="1"/>
  <c r="AD504" i="26"/>
  <c r="AD794" i="26" s="1"/>
  <c r="AC504" i="26"/>
  <c r="AC794" i="26" s="1"/>
  <c r="AB504" i="26"/>
  <c r="AB794" i="26" s="1"/>
  <c r="AA504" i="26"/>
  <c r="AA794" i="26" s="1"/>
  <c r="Z504" i="26"/>
  <c r="Z794" i="26" s="1"/>
  <c r="Y504" i="26"/>
  <c r="Y794" i="26" s="1"/>
  <c r="X504" i="26"/>
  <c r="X794" i="26" s="1"/>
  <c r="W504" i="26"/>
  <c r="W794" i="26" s="1"/>
  <c r="V504" i="26"/>
  <c r="AJ503" i="26"/>
  <c r="AJ793" i="26" s="1"/>
  <c r="AI503" i="26"/>
  <c r="AI793" i="26" s="1"/>
  <c r="AH503" i="26"/>
  <c r="AH793" i="26" s="1"/>
  <c r="AG503" i="26"/>
  <c r="AG793" i="26" s="1"/>
  <c r="AF503" i="26"/>
  <c r="AF793" i="26" s="1"/>
  <c r="AE503" i="26"/>
  <c r="AE793" i="26" s="1"/>
  <c r="AD503" i="26"/>
  <c r="AD793" i="26" s="1"/>
  <c r="AC503" i="26"/>
  <c r="AC793" i="26" s="1"/>
  <c r="AB503" i="26"/>
  <c r="AB793" i="26" s="1"/>
  <c r="AA503" i="26"/>
  <c r="AA793" i="26" s="1"/>
  <c r="Z503" i="26"/>
  <c r="Z793" i="26" s="1"/>
  <c r="Y503" i="26"/>
  <c r="Y793" i="26" s="1"/>
  <c r="X503" i="26"/>
  <c r="X793" i="26" s="1"/>
  <c r="W503" i="26"/>
  <c r="W793" i="26" s="1"/>
  <c r="V503" i="26"/>
  <c r="AJ502" i="26"/>
  <c r="AJ792" i="26" s="1"/>
  <c r="AI502" i="26"/>
  <c r="AI792" i="26" s="1"/>
  <c r="AH502" i="26"/>
  <c r="AH792" i="26" s="1"/>
  <c r="AG502" i="26"/>
  <c r="AG792" i="26" s="1"/>
  <c r="AF502" i="26"/>
  <c r="AF792" i="26" s="1"/>
  <c r="AE502" i="26"/>
  <c r="AE792" i="26" s="1"/>
  <c r="AD502" i="26"/>
  <c r="AD792" i="26" s="1"/>
  <c r="AC502" i="26"/>
  <c r="AC792" i="26" s="1"/>
  <c r="AB502" i="26"/>
  <c r="AB792" i="26" s="1"/>
  <c r="AA502" i="26"/>
  <c r="AA792" i="26" s="1"/>
  <c r="Z502" i="26"/>
  <c r="Z792" i="26" s="1"/>
  <c r="Y502" i="26"/>
  <c r="Y792" i="26" s="1"/>
  <c r="X502" i="26"/>
  <c r="X792" i="26" s="1"/>
  <c r="W502" i="26"/>
  <c r="W792" i="26" s="1"/>
  <c r="V502" i="26"/>
  <c r="AJ501" i="26"/>
  <c r="AJ791" i="26" s="1"/>
  <c r="AI501" i="26"/>
  <c r="AI791" i="26" s="1"/>
  <c r="AH501" i="26"/>
  <c r="AH791" i="26" s="1"/>
  <c r="AG501" i="26"/>
  <c r="AG791" i="26" s="1"/>
  <c r="AF501" i="26"/>
  <c r="AF791" i="26" s="1"/>
  <c r="AE501" i="26"/>
  <c r="AE791" i="26" s="1"/>
  <c r="AD501" i="26"/>
  <c r="AD791" i="26" s="1"/>
  <c r="AC501" i="26"/>
  <c r="AC791" i="26" s="1"/>
  <c r="AB501" i="26"/>
  <c r="AB791" i="26" s="1"/>
  <c r="AA501" i="26"/>
  <c r="AA791" i="26" s="1"/>
  <c r="Z501" i="26"/>
  <c r="Z791" i="26" s="1"/>
  <c r="Y501" i="26"/>
  <c r="Y791" i="26" s="1"/>
  <c r="X501" i="26"/>
  <c r="X791" i="26" s="1"/>
  <c r="W501" i="26"/>
  <c r="W791" i="26" s="1"/>
  <c r="V501" i="26"/>
  <c r="AJ500" i="26"/>
  <c r="AJ790" i="26" s="1"/>
  <c r="AI500" i="26"/>
  <c r="AI790" i="26" s="1"/>
  <c r="AH500" i="26"/>
  <c r="AH790" i="26" s="1"/>
  <c r="AG500" i="26"/>
  <c r="AG790" i="26" s="1"/>
  <c r="AF500" i="26"/>
  <c r="AF790" i="26" s="1"/>
  <c r="AE500" i="26"/>
  <c r="AE790" i="26" s="1"/>
  <c r="AD500" i="26"/>
  <c r="AD790" i="26" s="1"/>
  <c r="AC500" i="26"/>
  <c r="AC790" i="26" s="1"/>
  <c r="AB500" i="26"/>
  <c r="AB790" i="26" s="1"/>
  <c r="AA500" i="26"/>
  <c r="AA790" i="26" s="1"/>
  <c r="Z500" i="26"/>
  <c r="Z790" i="26" s="1"/>
  <c r="Y500" i="26"/>
  <c r="Y790" i="26" s="1"/>
  <c r="X500" i="26"/>
  <c r="X790" i="26" s="1"/>
  <c r="W500" i="26"/>
  <c r="W790" i="26" s="1"/>
  <c r="V500" i="26"/>
  <c r="AJ499" i="26"/>
  <c r="AJ789" i="26" s="1"/>
  <c r="AI499" i="26"/>
  <c r="AI789" i="26" s="1"/>
  <c r="AH499" i="26"/>
  <c r="AH789" i="26" s="1"/>
  <c r="AG499" i="26"/>
  <c r="AG789" i="26" s="1"/>
  <c r="AF499" i="26"/>
  <c r="AF789" i="26" s="1"/>
  <c r="AE499" i="26"/>
  <c r="AE789" i="26" s="1"/>
  <c r="AD499" i="26"/>
  <c r="AD789" i="26" s="1"/>
  <c r="AC499" i="26"/>
  <c r="AC789" i="26" s="1"/>
  <c r="AB499" i="26"/>
  <c r="AB789" i="26" s="1"/>
  <c r="AA499" i="26"/>
  <c r="AA789" i="26" s="1"/>
  <c r="Z499" i="26"/>
  <c r="Z789" i="26" s="1"/>
  <c r="Y499" i="26"/>
  <c r="Y789" i="26" s="1"/>
  <c r="X499" i="26"/>
  <c r="X789" i="26" s="1"/>
  <c r="W499" i="26"/>
  <c r="W789" i="26" s="1"/>
  <c r="V499" i="26"/>
  <c r="AJ498" i="26"/>
  <c r="AJ788" i="26" s="1"/>
  <c r="AI498" i="26"/>
  <c r="AI788" i="26" s="1"/>
  <c r="AH498" i="26"/>
  <c r="AH788" i="26" s="1"/>
  <c r="AG498" i="26"/>
  <c r="AG788" i="26" s="1"/>
  <c r="AF498" i="26"/>
  <c r="AF788" i="26" s="1"/>
  <c r="AE498" i="26"/>
  <c r="AE788" i="26" s="1"/>
  <c r="AD498" i="26"/>
  <c r="AD788" i="26" s="1"/>
  <c r="AC498" i="26"/>
  <c r="AC788" i="26" s="1"/>
  <c r="AB498" i="26"/>
  <c r="AB788" i="26" s="1"/>
  <c r="AA498" i="26"/>
  <c r="AA788" i="26" s="1"/>
  <c r="Z498" i="26"/>
  <c r="Z788" i="26" s="1"/>
  <c r="Y498" i="26"/>
  <c r="Y788" i="26" s="1"/>
  <c r="X498" i="26"/>
  <c r="X788" i="26" s="1"/>
  <c r="W498" i="26"/>
  <c r="W788" i="26" s="1"/>
  <c r="V498" i="26"/>
  <c r="AJ497" i="26"/>
  <c r="AJ787" i="26" s="1"/>
  <c r="AI497" i="26"/>
  <c r="AI787" i="26" s="1"/>
  <c r="AH497" i="26"/>
  <c r="AH787" i="26" s="1"/>
  <c r="AG497" i="26"/>
  <c r="AG787" i="26" s="1"/>
  <c r="AF497" i="26"/>
  <c r="AF787" i="26" s="1"/>
  <c r="AE497" i="26"/>
  <c r="AE787" i="26" s="1"/>
  <c r="AD497" i="26"/>
  <c r="AD787" i="26" s="1"/>
  <c r="AC497" i="26"/>
  <c r="AC787" i="26" s="1"/>
  <c r="AB497" i="26"/>
  <c r="AB787" i="26" s="1"/>
  <c r="AA497" i="26"/>
  <c r="AA787" i="26" s="1"/>
  <c r="Z497" i="26"/>
  <c r="Z787" i="26" s="1"/>
  <c r="Y497" i="26"/>
  <c r="Y787" i="26" s="1"/>
  <c r="X497" i="26"/>
  <c r="X787" i="26" s="1"/>
  <c r="W497" i="26"/>
  <c r="W787" i="26" s="1"/>
  <c r="V497" i="26"/>
  <c r="AJ496" i="26"/>
  <c r="AJ786" i="26" s="1"/>
  <c r="AI496" i="26"/>
  <c r="AI786" i="26" s="1"/>
  <c r="AH496" i="26"/>
  <c r="AH786" i="26" s="1"/>
  <c r="AG496" i="26"/>
  <c r="AG786" i="26" s="1"/>
  <c r="AF496" i="26"/>
  <c r="AF786" i="26" s="1"/>
  <c r="AE496" i="26"/>
  <c r="AE786" i="26" s="1"/>
  <c r="AD496" i="26"/>
  <c r="AD786" i="26" s="1"/>
  <c r="AC496" i="26"/>
  <c r="AC786" i="26" s="1"/>
  <c r="AB496" i="26"/>
  <c r="AB786" i="26" s="1"/>
  <c r="AA496" i="26"/>
  <c r="AA786" i="26" s="1"/>
  <c r="Z496" i="26"/>
  <c r="Z786" i="26" s="1"/>
  <c r="Y496" i="26"/>
  <c r="Y786" i="26" s="1"/>
  <c r="X496" i="26"/>
  <c r="X786" i="26" s="1"/>
  <c r="W496" i="26"/>
  <c r="W786" i="26" s="1"/>
  <c r="V496" i="26"/>
  <c r="AJ495" i="26"/>
  <c r="AJ785" i="26" s="1"/>
  <c r="AI495" i="26"/>
  <c r="AI785" i="26" s="1"/>
  <c r="AH495" i="26"/>
  <c r="AH785" i="26" s="1"/>
  <c r="AG495" i="26"/>
  <c r="AG785" i="26" s="1"/>
  <c r="AF495" i="26"/>
  <c r="AF785" i="26" s="1"/>
  <c r="AE495" i="26"/>
  <c r="AE785" i="26" s="1"/>
  <c r="AD495" i="26"/>
  <c r="AD785" i="26" s="1"/>
  <c r="AC495" i="26"/>
  <c r="AC785" i="26" s="1"/>
  <c r="AB495" i="26"/>
  <c r="AB785" i="26" s="1"/>
  <c r="AA495" i="26"/>
  <c r="AA785" i="26" s="1"/>
  <c r="Z495" i="26"/>
  <c r="Z785" i="26" s="1"/>
  <c r="Y495" i="26"/>
  <c r="Y785" i="26" s="1"/>
  <c r="X495" i="26"/>
  <c r="X785" i="26" s="1"/>
  <c r="W495" i="26"/>
  <c r="W785" i="26" s="1"/>
  <c r="V495" i="26"/>
  <c r="AJ494" i="26"/>
  <c r="AJ784" i="26" s="1"/>
  <c r="AI494" i="26"/>
  <c r="AI784" i="26" s="1"/>
  <c r="AH494" i="26"/>
  <c r="AH784" i="26" s="1"/>
  <c r="AG494" i="26"/>
  <c r="AG784" i="26" s="1"/>
  <c r="AF494" i="26"/>
  <c r="AF784" i="26" s="1"/>
  <c r="AE494" i="26"/>
  <c r="AE784" i="26" s="1"/>
  <c r="AD494" i="26"/>
  <c r="AD784" i="26" s="1"/>
  <c r="AC494" i="26"/>
  <c r="AC784" i="26" s="1"/>
  <c r="AB494" i="26"/>
  <c r="AB784" i="26" s="1"/>
  <c r="AA494" i="26"/>
  <c r="AA784" i="26" s="1"/>
  <c r="Z494" i="26"/>
  <c r="Z784" i="26" s="1"/>
  <c r="Y494" i="26"/>
  <c r="Y784" i="26" s="1"/>
  <c r="X494" i="26"/>
  <c r="X784" i="26" s="1"/>
  <c r="W494" i="26"/>
  <c r="W784" i="26" s="1"/>
  <c r="V494" i="26"/>
  <c r="AJ493" i="26"/>
  <c r="AJ783" i="26" s="1"/>
  <c r="AI493" i="26"/>
  <c r="AI783" i="26" s="1"/>
  <c r="AH493" i="26"/>
  <c r="AH783" i="26" s="1"/>
  <c r="AG493" i="26"/>
  <c r="AG783" i="26" s="1"/>
  <c r="AF493" i="26"/>
  <c r="AF783" i="26" s="1"/>
  <c r="AE493" i="26"/>
  <c r="AE783" i="26" s="1"/>
  <c r="AD493" i="26"/>
  <c r="AD783" i="26" s="1"/>
  <c r="AC493" i="26"/>
  <c r="AC783" i="26" s="1"/>
  <c r="AB493" i="26"/>
  <c r="AB783" i="26" s="1"/>
  <c r="AA493" i="26"/>
  <c r="AA783" i="26" s="1"/>
  <c r="Z493" i="26"/>
  <c r="Z783" i="26" s="1"/>
  <c r="Y493" i="26"/>
  <c r="Y783" i="26" s="1"/>
  <c r="X493" i="26"/>
  <c r="X783" i="26" s="1"/>
  <c r="W493" i="26"/>
  <c r="W783" i="26" s="1"/>
  <c r="V493" i="26"/>
  <c r="AJ492" i="26"/>
  <c r="AJ782" i="26" s="1"/>
  <c r="AI492" i="26"/>
  <c r="AI782" i="26" s="1"/>
  <c r="AH492" i="26"/>
  <c r="AH782" i="26" s="1"/>
  <c r="AG492" i="26"/>
  <c r="AG782" i="26" s="1"/>
  <c r="AF492" i="26"/>
  <c r="AF782" i="26" s="1"/>
  <c r="AE492" i="26"/>
  <c r="AE782" i="26" s="1"/>
  <c r="AD492" i="26"/>
  <c r="AD782" i="26" s="1"/>
  <c r="AC492" i="26"/>
  <c r="AC782" i="26" s="1"/>
  <c r="AB492" i="26"/>
  <c r="AB782" i="26" s="1"/>
  <c r="AA492" i="26"/>
  <c r="AA782" i="26" s="1"/>
  <c r="Z492" i="26"/>
  <c r="Z782" i="26" s="1"/>
  <c r="Y492" i="26"/>
  <c r="Y782" i="26" s="1"/>
  <c r="X492" i="26"/>
  <c r="X782" i="26" s="1"/>
  <c r="W492" i="26"/>
  <c r="W782" i="26" s="1"/>
  <c r="V492" i="26"/>
  <c r="AJ491" i="26"/>
  <c r="AJ781" i="26" s="1"/>
  <c r="AI491" i="26"/>
  <c r="AI781" i="26" s="1"/>
  <c r="AH491" i="26"/>
  <c r="AH781" i="26" s="1"/>
  <c r="AG491" i="26"/>
  <c r="AG781" i="26" s="1"/>
  <c r="AF491" i="26"/>
  <c r="AF781" i="26" s="1"/>
  <c r="AE491" i="26"/>
  <c r="AE781" i="26" s="1"/>
  <c r="AD491" i="26"/>
  <c r="AD781" i="26" s="1"/>
  <c r="AC491" i="26"/>
  <c r="AC781" i="26" s="1"/>
  <c r="AB491" i="26"/>
  <c r="AB781" i="26" s="1"/>
  <c r="AA491" i="26"/>
  <c r="AA781" i="26" s="1"/>
  <c r="Z491" i="26"/>
  <c r="Z781" i="26" s="1"/>
  <c r="Y491" i="26"/>
  <c r="Y781" i="26" s="1"/>
  <c r="X491" i="26"/>
  <c r="X781" i="26" s="1"/>
  <c r="W491" i="26"/>
  <c r="W781" i="26" s="1"/>
  <c r="V491" i="26"/>
  <c r="AJ490" i="26"/>
  <c r="AJ780" i="26" s="1"/>
  <c r="AI490" i="26"/>
  <c r="AI780" i="26" s="1"/>
  <c r="AH490" i="26"/>
  <c r="AH780" i="26" s="1"/>
  <c r="AG490" i="26"/>
  <c r="AG780" i="26" s="1"/>
  <c r="AF490" i="26"/>
  <c r="AF780" i="26" s="1"/>
  <c r="AE490" i="26"/>
  <c r="AE780" i="26" s="1"/>
  <c r="AD490" i="26"/>
  <c r="AD780" i="26" s="1"/>
  <c r="AC490" i="26"/>
  <c r="AC780" i="26" s="1"/>
  <c r="AB490" i="26"/>
  <c r="AB780" i="26" s="1"/>
  <c r="AA490" i="26"/>
  <c r="AA780" i="26" s="1"/>
  <c r="Z490" i="26"/>
  <c r="Z780" i="26" s="1"/>
  <c r="Y490" i="26"/>
  <c r="Y780" i="26" s="1"/>
  <c r="X490" i="26"/>
  <c r="X780" i="26" s="1"/>
  <c r="W490" i="26"/>
  <c r="W780" i="26" s="1"/>
  <c r="V490" i="26"/>
  <c r="AJ489" i="26"/>
  <c r="AJ779" i="26" s="1"/>
  <c r="AI489" i="26"/>
  <c r="AI779" i="26" s="1"/>
  <c r="AH489" i="26"/>
  <c r="AH779" i="26" s="1"/>
  <c r="AG489" i="26"/>
  <c r="AG779" i="26" s="1"/>
  <c r="AF489" i="26"/>
  <c r="AF779" i="26" s="1"/>
  <c r="AE489" i="26"/>
  <c r="AE779" i="26" s="1"/>
  <c r="AD489" i="26"/>
  <c r="AD779" i="26" s="1"/>
  <c r="AC489" i="26"/>
  <c r="AC779" i="26" s="1"/>
  <c r="AB489" i="26"/>
  <c r="AB779" i="26" s="1"/>
  <c r="AA489" i="26"/>
  <c r="AA779" i="26" s="1"/>
  <c r="Z489" i="26"/>
  <c r="Z779" i="26" s="1"/>
  <c r="Y489" i="26"/>
  <c r="Y779" i="26" s="1"/>
  <c r="X489" i="26"/>
  <c r="X779" i="26" s="1"/>
  <c r="W489" i="26"/>
  <c r="W779" i="26" s="1"/>
  <c r="V489" i="26"/>
  <c r="AJ488" i="26"/>
  <c r="AJ778" i="26" s="1"/>
  <c r="AI488" i="26"/>
  <c r="AI778" i="26" s="1"/>
  <c r="AH488" i="26"/>
  <c r="AH778" i="26" s="1"/>
  <c r="AG488" i="26"/>
  <c r="AG778" i="26" s="1"/>
  <c r="AF488" i="26"/>
  <c r="AF778" i="26" s="1"/>
  <c r="AE488" i="26"/>
  <c r="AE778" i="26" s="1"/>
  <c r="AD488" i="26"/>
  <c r="AD778" i="26" s="1"/>
  <c r="AC488" i="26"/>
  <c r="AC778" i="26" s="1"/>
  <c r="AB488" i="26"/>
  <c r="AB778" i="26" s="1"/>
  <c r="AA488" i="26"/>
  <c r="AA778" i="26" s="1"/>
  <c r="Z488" i="26"/>
  <c r="Z778" i="26" s="1"/>
  <c r="Y488" i="26"/>
  <c r="Y778" i="26" s="1"/>
  <c r="X488" i="26"/>
  <c r="X778" i="26" s="1"/>
  <c r="W488" i="26"/>
  <c r="W778" i="26" s="1"/>
  <c r="V488" i="26"/>
  <c r="AJ487" i="26"/>
  <c r="AJ777" i="26" s="1"/>
  <c r="AI487" i="26"/>
  <c r="AI777" i="26" s="1"/>
  <c r="AH487" i="26"/>
  <c r="AH777" i="26" s="1"/>
  <c r="AG487" i="26"/>
  <c r="AG777" i="26" s="1"/>
  <c r="AF487" i="26"/>
  <c r="AF777" i="26" s="1"/>
  <c r="AE487" i="26"/>
  <c r="AE777" i="26" s="1"/>
  <c r="AD487" i="26"/>
  <c r="AD777" i="26" s="1"/>
  <c r="AC487" i="26"/>
  <c r="AC777" i="26" s="1"/>
  <c r="AB487" i="26"/>
  <c r="AB777" i="26" s="1"/>
  <c r="AA487" i="26"/>
  <c r="AA777" i="26" s="1"/>
  <c r="Z487" i="26"/>
  <c r="Z777" i="26" s="1"/>
  <c r="Y487" i="26"/>
  <c r="Y777" i="26" s="1"/>
  <c r="X487" i="26"/>
  <c r="X777" i="26" s="1"/>
  <c r="W487" i="26"/>
  <c r="W777" i="26" s="1"/>
  <c r="V487" i="26"/>
  <c r="AJ486" i="26"/>
  <c r="AJ776" i="26" s="1"/>
  <c r="AI486" i="26"/>
  <c r="AI776" i="26" s="1"/>
  <c r="AH486" i="26"/>
  <c r="AH776" i="26" s="1"/>
  <c r="AG486" i="26"/>
  <c r="AG776" i="26" s="1"/>
  <c r="AF486" i="26"/>
  <c r="AF776" i="26" s="1"/>
  <c r="AE486" i="26"/>
  <c r="AE776" i="26" s="1"/>
  <c r="AD486" i="26"/>
  <c r="AD776" i="26" s="1"/>
  <c r="AC486" i="26"/>
  <c r="AC776" i="26" s="1"/>
  <c r="AB486" i="26"/>
  <c r="AB776" i="26" s="1"/>
  <c r="AA486" i="26"/>
  <c r="AA776" i="26" s="1"/>
  <c r="Z486" i="26"/>
  <c r="Z776" i="26" s="1"/>
  <c r="Y486" i="26"/>
  <c r="Y776" i="26" s="1"/>
  <c r="X486" i="26"/>
  <c r="X776" i="26" s="1"/>
  <c r="W486" i="26"/>
  <c r="W776" i="26" s="1"/>
  <c r="V486" i="26"/>
  <c r="AJ485" i="26"/>
  <c r="AJ775" i="26" s="1"/>
  <c r="AI485" i="26"/>
  <c r="AI775" i="26" s="1"/>
  <c r="AH485" i="26"/>
  <c r="AH775" i="26" s="1"/>
  <c r="AG485" i="26"/>
  <c r="AG775" i="26" s="1"/>
  <c r="AF485" i="26"/>
  <c r="AF775" i="26" s="1"/>
  <c r="AE485" i="26"/>
  <c r="AE775" i="26" s="1"/>
  <c r="AD485" i="26"/>
  <c r="AD775" i="26" s="1"/>
  <c r="AC485" i="26"/>
  <c r="AC775" i="26" s="1"/>
  <c r="AB485" i="26"/>
  <c r="AB775" i="26" s="1"/>
  <c r="AA485" i="26"/>
  <c r="AA775" i="26" s="1"/>
  <c r="Z485" i="26"/>
  <c r="Z775" i="26" s="1"/>
  <c r="Y485" i="26"/>
  <c r="Y775" i="26" s="1"/>
  <c r="X485" i="26"/>
  <c r="X775" i="26" s="1"/>
  <c r="W485" i="26"/>
  <c r="W775" i="26" s="1"/>
  <c r="V485" i="26"/>
  <c r="AJ484" i="26"/>
  <c r="AJ774" i="26" s="1"/>
  <c r="AI484" i="26"/>
  <c r="AI774" i="26" s="1"/>
  <c r="AH484" i="26"/>
  <c r="AH774" i="26" s="1"/>
  <c r="AG484" i="26"/>
  <c r="AG774" i="26" s="1"/>
  <c r="AF484" i="26"/>
  <c r="AF774" i="26" s="1"/>
  <c r="AE484" i="26"/>
  <c r="AE774" i="26" s="1"/>
  <c r="AD484" i="26"/>
  <c r="AD774" i="26" s="1"/>
  <c r="AC484" i="26"/>
  <c r="AC774" i="26" s="1"/>
  <c r="AB484" i="26"/>
  <c r="AB774" i="26" s="1"/>
  <c r="AA484" i="26"/>
  <c r="AA774" i="26" s="1"/>
  <c r="Z484" i="26"/>
  <c r="Z774" i="26" s="1"/>
  <c r="Y484" i="26"/>
  <c r="Y774" i="26" s="1"/>
  <c r="X484" i="26"/>
  <c r="X774" i="26" s="1"/>
  <c r="W484" i="26"/>
  <c r="W774" i="26" s="1"/>
  <c r="V484" i="26"/>
  <c r="AJ483" i="26"/>
  <c r="AJ773" i="26" s="1"/>
  <c r="AI483" i="26"/>
  <c r="AI773" i="26" s="1"/>
  <c r="AH483" i="26"/>
  <c r="AH773" i="26" s="1"/>
  <c r="AG483" i="26"/>
  <c r="AG773" i="26" s="1"/>
  <c r="AF483" i="26"/>
  <c r="AF773" i="26" s="1"/>
  <c r="AE483" i="26"/>
  <c r="AE773" i="26" s="1"/>
  <c r="AD483" i="26"/>
  <c r="AD773" i="26" s="1"/>
  <c r="AC483" i="26"/>
  <c r="AC773" i="26" s="1"/>
  <c r="AB483" i="26"/>
  <c r="AB773" i="26" s="1"/>
  <c r="AA483" i="26"/>
  <c r="AA773" i="26" s="1"/>
  <c r="Z483" i="26"/>
  <c r="Z773" i="26" s="1"/>
  <c r="Y483" i="26"/>
  <c r="Y773" i="26" s="1"/>
  <c r="X483" i="26"/>
  <c r="X773" i="26" s="1"/>
  <c r="W483" i="26"/>
  <c r="W773" i="26" s="1"/>
  <c r="V483" i="26"/>
  <c r="AJ482" i="26"/>
  <c r="AJ772" i="26" s="1"/>
  <c r="AI482" i="26"/>
  <c r="AI772" i="26" s="1"/>
  <c r="AH482" i="26"/>
  <c r="AH772" i="26" s="1"/>
  <c r="AG482" i="26"/>
  <c r="AG772" i="26" s="1"/>
  <c r="AF482" i="26"/>
  <c r="AF772" i="26" s="1"/>
  <c r="AE482" i="26"/>
  <c r="AE772" i="26" s="1"/>
  <c r="AD482" i="26"/>
  <c r="AD772" i="26" s="1"/>
  <c r="AC482" i="26"/>
  <c r="AC772" i="26" s="1"/>
  <c r="AB482" i="26"/>
  <c r="AB772" i="26" s="1"/>
  <c r="AA482" i="26"/>
  <c r="AA772" i="26" s="1"/>
  <c r="Z482" i="26"/>
  <c r="Z772" i="26" s="1"/>
  <c r="Y482" i="26"/>
  <c r="Y772" i="26" s="1"/>
  <c r="X482" i="26"/>
  <c r="X772" i="26" s="1"/>
  <c r="W482" i="26"/>
  <c r="W772" i="26" s="1"/>
  <c r="V482" i="26"/>
  <c r="AJ481" i="26"/>
  <c r="AJ771" i="26" s="1"/>
  <c r="AI481" i="26"/>
  <c r="AI771" i="26" s="1"/>
  <c r="AH481" i="26"/>
  <c r="AH771" i="26" s="1"/>
  <c r="AG481" i="26"/>
  <c r="AG771" i="26" s="1"/>
  <c r="AF481" i="26"/>
  <c r="AF771" i="26" s="1"/>
  <c r="AE481" i="26"/>
  <c r="AE771" i="26" s="1"/>
  <c r="AD481" i="26"/>
  <c r="AD771" i="26" s="1"/>
  <c r="AC481" i="26"/>
  <c r="AC771" i="26" s="1"/>
  <c r="AB481" i="26"/>
  <c r="AB771" i="26" s="1"/>
  <c r="AA481" i="26"/>
  <c r="AA771" i="26" s="1"/>
  <c r="Z481" i="26"/>
  <c r="Z771" i="26" s="1"/>
  <c r="Y481" i="26"/>
  <c r="Y771" i="26" s="1"/>
  <c r="X481" i="26"/>
  <c r="X771" i="26" s="1"/>
  <c r="W481" i="26"/>
  <c r="W771" i="26" s="1"/>
  <c r="V481" i="26"/>
  <c r="AJ480" i="26"/>
  <c r="AJ770" i="26" s="1"/>
  <c r="AI480" i="26"/>
  <c r="AI770" i="26" s="1"/>
  <c r="AH480" i="26"/>
  <c r="AH770" i="26" s="1"/>
  <c r="AG480" i="26"/>
  <c r="AG770" i="26" s="1"/>
  <c r="AF480" i="26"/>
  <c r="AF770" i="26" s="1"/>
  <c r="AE480" i="26"/>
  <c r="AE770" i="26" s="1"/>
  <c r="AD480" i="26"/>
  <c r="AD770" i="26" s="1"/>
  <c r="AC480" i="26"/>
  <c r="AC770" i="26" s="1"/>
  <c r="AB480" i="26"/>
  <c r="AB770" i="26" s="1"/>
  <c r="AA480" i="26"/>
  <c r="AA770" i="26" s="1"/>
  <c r="Z480" i="26"/>
  <c r="Z770" i="26" s="1"/>
  <c r="Y480" i="26"/>
  <c r="Y770" i="26" s="1"/>
  <c r="X480" i="26"/>
  <c r="X770" i="26" s="1"/>
  <c r="W480" i="26"/>
  <c r="W770" i="26" s="1"/>
  <c r="V480" i="26"/>
  <c r="AJ479" i="26"/>
  <c r="AJ769" i="26" s="1"/>
  <c r="AI479" i="26"/>
  <c r="AI769" i="26" s="1"/>
  <c r="AH479" i="26"/>
  <c r="AH769" i="26" s="1"/>
  <c r="AG479" i="26"/>
  <c r="AG769" i="26" s="1"/>
  <c r="AF479" i="26"/>
  <c r="AF769" i="26" s="1"/>
  <c r="AE479" i="26"/>
  <c r="AE769" i="26" s="1"/>
  <c r="AD479" i="26"/>
  <c r="AD769" i="26" s="1"/>
  <c r="AC479" i="26"/>
  <c r="AC769" i="26" s="1"/>
  <c r="AB479" i="26"/>
  <c r="AB769" i="26" s="1"/>
  <c r="AA479" i="26"/>
  <c r="AA769" i="26" s="1"/>
  <c r="Z479" i="26"/>
  <c r="Z769" i="26" s="1"/>
  <c r="Y479" i="26"/>
  <c r="Y769" i="26" s="1"/>
  <c r="X479" i="26"/>
  <c r="X769" i="26" s="1"/>
  <c r="W479" i="26"/>
  <c r="W769" i="26" s="1"/>
  <c r="V479" i="26"/>
  <c r="AJ478" i="26"/>
  <c r="AJ768" i="26" s="1"/>
  <c r="AI478" i="26"/>
  <c r="AI768" i="26" s="1"/>
  <c r="AH478" i="26"/>
  <c r="AH768" i="26" s="1"/>
  <c r="AG478" i="26"/>
  <c r="AG768" i="26" s="1"/>
  <c r="AF478" i="26"/>
  <c r="AF768" i="26" s="1"/>
  <c r="AE478" i="26"/>
  <c r="AE768" i="26" s="1"/>
  <c r="AD478" i="26"/>
  <c r="AD768" i="26" s="1"/>
  <c r="AC478" i="26"/>
  <c r="AC768" i="26" s="1"/>
  <c r="AB478" i="26"/>
  <c r="AB768" i="26" s="1"/>
  <c r="AA478" i="26"/>
  <c r="AA768" i="26" s="1"/>
  <c r="Z478" i="26"/>
  <c r="Z768" i="26" s="1"/>
  <c r="Y478" i="26"/>
  <c r="Y768" i="26" s="1"/>
  <c r="X478" i="26"/>
  <c r="X768" i="26" s="1"/>
  <c r="W478" i="26"/>
  <c r="W768" i="26" s="1"/>
  <c r="V478" i="26"/>
  <c r="AJ477" i="26"/>
  <c r="AJ767" i="26" s="1"/>
  <c r="AI477" i="26"/>
  <c r="AI767" i="26" s="1"/>
  <c r="AH477" i="26"/>
  <c r="AH767" i="26" s="1"/>
  <c r="AG477" i="26"/>
  <c r="AG767" i="26" s="1"/>
  <c r="AF477" i="26"/>
  <c r="AF767" i="26" s="1"/>
  <c r="AE477" i="26"/>
  <c r="AE767" i="26" s="1"/>
  <c r="AD477" i="26"/>
  <c r="AD767" i="26" s="1"/>
  <c r="AC477" i="26"/>
  <c r="AC767" i="26" s="1"/>
  <c r="AB477" i="26"/>
  <c r="AB767" i="26" s="1"/>
  <c r="AA477" i="26"/>
  <c r="AA767" i="26" s="1"/>
  <c r="Z477" i="26"/>
  <c r="Z767" i="26" s="1"/>
  <c r="Y477" i="26"/>
  <c r="Y767" i="26" s="1"/>
  <c r="X477" i="26"/>
  <c r="X767" i="26" s="1"/>
  <c r="W477" i="26"/>
  <c r="W767" i="26" s="1"/>
  <c r="V477" i="26"/>
  <c r="AJ476" i="26"/>
  <c r="AJ766" i="26" s="1"/>
  <c r="AI476" i="26"/>
  <c r="AI766" i="26" s="1"/>
  <c r="AH476" i="26"/>
  <c r="AH766" i="26" s="1"/>
  <c r="AG476" i="26"/>
  <c r="AG766" i="26" s="1"/>
  <c r="AF476" i="26"/>
  <c r="AF766" i="26" s="1"/>
  <c r="AE476" i="26"/>
  <c r="AE766" i="26" s="1"/>
  <c r="AD476" i="26"/>
  <c r="AD766" i="26" s="1"/>
  <c r="AC476" i="26"/>
  <c r="AC766" i="26" s="1"/>
  <c r="AB476" i="26"/>
  <c r="AB766" i="26" s="1"/>
  <c r="AA476" i="26"/>
  <c r="AA766" i="26" s="1"/>
  <c r="Z476" i="26"/>
  <c r="Z766" i="26" s="1"/>
  <c r="Y476" i="26"/>
  <c r="Y766" i="26" s="1"/>
  <c r="X476" i="26"/>
  <c r="X766" i="26" s="1"/>
  <c r="W476" i="26"/>
  <c r="W766" i="26" s="1"/>
  <c r="V476" i="26"/>
  <c r="AJ475" i="26"/>
  <c r="AJ765" i="26" s="1"/>
  <c r="AI475" i="26"/>
  <c r="AI765" i="26" s="1"/>
  <c r="AH475" i="26"/>
  <c r="AH765" i="26" s="1"/>
  <c r="AG475" i="26"/>
  <c r="AG765" i="26" s="1"/>
  <c r="AF475" i="26"/>
  <c r="AF765" i="26" s="1"/>
  <c r="AE475" i="26"/>
  <c r="AE765" i="26" s="1"/>
  <c r="AD475" i="26"/>
  <c r="AD765" i="26" s="1"/>
  <c r="AC475" i="26"/>
  <c r="AC765" i="26" s="1"/>
  <c r="AB475" i="26"/>
  <c r="AB765" i="26" s="1"/>
  <c r="AA475" i="26"/>
  <c r="AA765" i="26" s="1"/>
  <c r="Z475" i="26"/>
  <c r="Z765" i="26" s="1"/>
  <c r="Y475" i="26"/>
  <c r="Y765" i="26" s="1"/>
  <c r="X475" i="26"/>
  <c r="X765" i="26" s="1"/>
  <c r="W475" i="26"/>
  <c r="W765" i="26" s="1"/>
  <c r="V475" i="26"/>
  <c r="AJ474" i="26"/>
  <c r="AJ764" i="26" s="1"/>
  <c r="AI474" i="26"/>
  <c r="AI764" i="26" s="1"/>
  <c r="AH474" i="26"/>
  <c r="AH764" i="26" s="1"/>
  <c r="AG474" i="26"/>
  <c r="AG764" i="26" s="1"/>
  <c r="AF474" i="26"/>
  <c r="AF764" i="26" s="1"/>
  <c r="AE474" i="26"/>
  <c r="AE764" i="26" s="1"/>
  <c r="AD474" i="26"/>
  <c r="AD764" i="26" s="1"/>
  <c r="AC474" i="26"/>
  <c r="AC764" i="26" s="1"/>
  <c r="AB474" i="26"/>
  <c r="AB764" i="26" s="1"/>
  <c r="AA474" i="26"/>
  <c r="AA764" i="26" s="1"/>
  <c r="Z474" i="26"/>
  <c r="Z764" i="26" s="1"/>
  <c r="Y474" i="26"/>
  <c r="Y764" i="26" s="1"/>
  <c r="X474" i="26"/>
  <c r="X764" i="26" s="1"/>
  <c r="W474" i="26"/>
  <c r="W764" i="26" s="1"/>
  <c r="V474" i="26"/>
  <c r="AJ473" i="26"/>
  <c r="AJ763" i="26" s="1"/>
  <c r="AI473" i="26"/>
  <c r="AI763" i="26" s="1"/>
  <c r="AH473" i="26"/>
  <c r="AH763" i="26" s="1"/>
  <c r="AG473" i="26"/>
  <c r="AG763" i="26" s="1"/>
  <c r="AF473" i="26"/>
  <c r="AF763" i="26" s="1"/>
  <c r="AE473" i="26"/>
  <c r="AE763" i="26" s="1"/>
  <c r="AD473" i="26"/>
  <c r="AD763" i="26" s="1"/>
  <c r="AC473" i="26"/>
  <c r="AC763" i="26" s="1"/>
  <c r="AB473" i="26"/>
  <c r="AB763" i="26" s="1"/>
  <c r="AA473" i="26"/>
  <c r="AA763" i="26" s="1"/>
  <c r="Z473" i="26"/>
  <c r="Z763" i="26" s="1"/>
  <c r="Y473" i="26"/>
  <c r="Y763" i="26" s="1"/>
  <c r="X473" i="26"/>
  <c r="X763" i="26" s="1"/>
  <c r="W473" i="26"/>
  <c r="W763" i="26" s="1"/>
  <c r="V473" i="26"/>
  <c r="AJ472" i="26"/>
  <c r="AJ762" i="26" s="1"/>
  <c r="AI472" i="26"/>
  <c r="AI762" i="26" s="1"/>
  <c r="AH472" i="26"/>
  <c r="AH762" i="26" s="1"/>
  <c r="AG472" i="26"/>
  <c r="AG762" i="26" s="1"/>
  <c r="AF472" i="26"/>
  <c r="AF762" i="26" s="1"/>
  <c r="AE472" i="26"/>
  <c r="AE762" i="26" s="1"/>
  <c r="AD472" i="26"/>
  <c r="AD762" i="26" s="1"/>
  <c r="AC472" i="26"/>
  <c r="AC762" i="26" s="1"/>
  <c r="AB472" i="26"/>
  <c r="AB762" i="26" s="1"/>
  <c r="AA472" i="26"/>
  <c r="AA762" i="26" s="1"/>
  <c r="Z472" i="26"/>
  <c r="Z762" i="26" s="1"/>
  <c r="Y472" i="26"/>
  <c r="Y762" i="26" s="1"/>
  <c r="X472" i="26"/>
  <c r="X762" i="26" s="1"/>
  <c r="W472" i="26"/>
  <c r="W762" i="26" s="1"/>
  <c r="V472" i="26"/>
  <c r="AJ471" i="26"/>
  <c r="AJ761" i="26" s="1"/>
  <c r="AI471" i="26"/>
  <c r="AI761" i="26" s="1"/>
  <c r="AH471" i="26"/>
  <c r="AH761" i="26" s="1"/>
  <c r="AG471" i="26"/>
  <c r="AG761" i="26" s="1"/>
  <c r="AF471" i="26"/>
  <c r="AF761" i="26" s="1"/>
  <c r="AE471" i="26"/>
  <c r="AE761" i="26" s="1"/>
  <c r="AD471" i="26"/>
  <c r="AD761" i="26" s="1"/>
  <c r="AC471" i="26"/>
  <c r="AC761" i="26" s="1"/>
  <c r="AB471" i="26"/>
  <c r="AB761" i="26" s="1"/>
  <c r="AA471" i="26"/>
  <c r="AA761" i="26" s="1"/>
  <c r="Z471" i="26"/>
  <c r="Z761" i="26" s="1"/>
  <c r="Y471" i="26"/>
  <c r="Y761" i="26" s="1"/>
  <c r="X471" i="26"/>
  <c r="X761" i="26" s="1"/>
  <c r="W471" i="26"/>
  <c r="W761" i="26" s="1"/>
  <c r="V471" i="26"/>
  <c r="AJ470" i="26"/>
  <c r="AJ760" i="26" s="1"/>
  <c r="AI470" i="26"/>
  <c r="AI760" i="26" s="1"/>
  <c r="AH470" i="26"/>
  <c r="AH760" i="26" s="1"/>
  <c r="AG470" i="26"/>
  <c r="AG760" i="26" s="1"/>
  <c r="AF470" i="26"/>
  <c r="AF760" i="26" s="1"/>
  <c r="AE470" i="26"/>
  <c r="AE760" i="26" s="1"/>
  <c r="AD470" i="26"/>
  <c r="AD760" i="26" s="1"/>
  <c r="AC470" i="26"/>
  <c r="AC760" i="26" s="1"/>
  <c r="AB470" i="26"/>
  <c r="AB760" i="26" s="1"/>
  <c r="AA470" i="26"/>
  <c r="AA760" i="26" s="1"/>
  <c r="Z470" i="26"/>
  <c r="Z760" i="26" s="1"/>
  <c r="Y470" i="26"/>
  <c r="Y760" i="26" s="1"/>
  <c r="X470" i="26"/>
  <c r="X760" i="26" s="1"/>
  <c r="W470" i="26"/>
  <c r="W760" i="26" s="1"/>
  <c r="V470" i="26"/>
  <c r="AJ469" i="26"/>
  <c r="AJ759" i="26" s="1"/>
  <c r="AI469" i="26"/>
  <c r="AI759" i="26" s="1"/>
  <c r="AH469" i="26"/>
  <c r="AH759" i="26" s="1"/>
  <c r="AG469" i="26"/>
  <c r="AG759" i="26" s="1"/>
  <c r="AF469" i="26"/>
  <c r="AF759" i="26" s="1"/>
  <c r="AE469" i="26"/>
  <c r="AE759" i="26" s="1"/>
  <c r="AD469" i="26"/>
  <c r="AD759" i="26" s="1"/>
  <c r="AC469" i="26"/>
  <c r="AC759" i="26" s="1"/>
  <c r="AB469" i="26"/>
  <c r="AB759" i="26" s="1"/>
  <c r="AA469" i="26"/>
  <c r="AA759" i="26" s="1"/>
  <c r="Z469" i="26"/>
  <c r="Z759" i="26" s="1"/>
  <c r="Y469" i="26"/>
  <c r="Y759" i="26" s="1"/>
  <c r="X469" i="26"/>
  <c r="X759" i="26" s="1"/>
  <c r="W469" i="26"/>
  <c r="W759" i="26" s="1"/>
  <c r="V469" i="26"/>
  <c r="AJ468" i="26"/>
  <c r="AJ758" i="26" s="1"/>
  <c r="AI468" i="26"/>
  <c r="AI758" i="26" s="1"/>
  <c r="AH468" i="26"/>
  <c r="AH758" i="26" s="1"/>
  <c r="AG468" i="26"/>
  <c r="AG758" i="26" s="1"/>
  <c r="AF468" i="26"/>
  <c r="AF758" i="26" s="1"/>
  <c r="AE468" i="26"/>
  <c r="AE758" i="26" s="1"/>
  <c r="AD468" i="26"/>
  <c r="AD758" i="26" s="1"/>
  <c r="AC468" i="26"/>
  <c r="AC758" i="26" s="1"/>
  <c r="AB468" i="26"/>
  <c r="AB758" i="26" s="1"/>
  <c r="AA468" i="26"/>
  <c r="AA758" i="26" s="1"/>
  <c r="Z468" i="26"/>
  <c r="Z758" i="26" s="1"/>
  <c r="Y468" i="26"/>
  <c r="Y758" i="26" s="1"/>
  <c r="X468" i="26"/>
  <c r="X758" i="26" s="1"/>
  <c r="W468" i="26"/>
  <c r="W758" i="26" s="1"/>
  <c r="V468" i="26"/>
  <c r="AJ467" i="26"/>
  <c r="AJ757" i="26" s="1"/>
  <c r="AI467" i="26"/>
  <c r="AI757" i="26" s="1"/>
  <c r="AH467" i="26"/>
  <c r="AH757" i="26" s="1"/>
  <c r="AG467" i="26"/>
  <c r="AG757" i="26" s="1"/>
  <c r="AF467" i="26"/>
  <c r="AF757" i="26" s="1"/>
  <c r="AE467" i="26"/>
  <c r="AE757" i="26" s="1"/>
  <c r="AD467" i="26"/>
  <c r="AD757" i="26" s="1"/>
  <c r="AC467" i="26"/>
  <c r="AC757" i="26" s="1"/>
  <c r="AB467" i="26"/>
  <c r="AB757" i="26" s="1"/>
  <c r="AA467" i="26"/>
  <c r="AA757" i="26" s="1"/>
  <c r="Z467" i="26"/>
  <c r="Z757" i="26" s="1"/>
  <c r="Y467" i="26"/>
  <c r="Y757" i="26" s="1"/>
  <c r="X467" i="26"/>
  <c r="X757" i="26" s="1"/>
  <c r="W467" i="26"/>
  <c r="W757" i="26" s="1"/>
  <c r="V467" i="26"/>
  <c r="AJ466" i="26"/>
  <c r="AJ756" i="26" s="1"/>
  <c r="AI466" i="26"/>
  <c r="AI756" i="26" s="1"/>
  <c r="AH466" i="26"/>
  <c r="AH756" i="26" s="1"/>
  <c r="AG466" i="26"/>
  <c r="AG756" i="26" s="1"/>
  <c r="AF466" i="26"/>
  <c r="AF756" i="26" s="1"/>
  <c r="AE466" i="26"/>
  <c r="AE756" i="26" s="1"/>
  <c r="AD466" i="26"/>
  <c r="AD756" i="26" s="1"/>
  <c r="AC466" i="26"/>
  <c r="AC756" i="26" s="1"/>
  <c r="AB466" i="26"/>
  <c r="AB756" i="26" s="1"/>
  <c r="AA466" i="26"/>
  <c r="AA756" i="26" s="1"/>
  <c r="Z466" i="26"/>
  <c r="Z756" i="26" s="1"/>
  <c r="Y466" i="26"/>
  <c r="Y756" i="26" s="1"/>
  <c r="X466" i="26"/>
  <c r="X756" i="26" s="1"/>
  <c r="W466" i="26"/>
  <c r="W756" i="26" s="1"/>
  <c r="V466" i="26"/>
  <c r="AJ465" i="26"/>
  <c r="AJ755" i="26" s="1"/>
  <c r="AI465" i="26"/>
  <c r="AI755" i="26" s="1"/>
  <c r="AH465" i="26"/>
  <c r="AH755" i="26" s="1"/>
  <c r="AG465" i="26"/>
  <c r="AG755" i="26" s="1"/>
  <c r="AF465" i="26"/>
  <c r="AF755" i="26" s="1"/>
  <c r="AE465" i="26"/>
  <c r="AE755" i="26" s="1"/>
  <c r="AD465" i="26"/>
  <c r="AD755" i="26" s="1"/>
  <c r="AC465" i="26"/>
  <c r="AC755" i="26" s="1"/>
  <c r="AB465" i="26"/>
  <c r="AB755" i="26" s="1"/>
  <c r="AA465" i="26"/>
  <c r="AA755" i="26" s="1"/>
  <c r="Z465" i="26"/>
  <c r="Z755" i="26" s="1"/>
  <c r="Y465" i="26"/>
  <c r="Y755" i="26" s="1"/>
  <c r="X465" i="26"/>
  <c r="X755" i="26" s="1"/>
  <c r="W465" i="26"/>
  <c r="W755" i="26" s="1"/>
  <c r="V465" i="26"/>
  <c r="AJ464" i="26"/>
  <c r="AJ754" i="26" s="1"/>
  <c r="AI464" i="26"/>
  <c r="AI754" i="26" s="1"/>
  <c r="AH464" i="26"/>
  <c r="AH754" i="26" s="1"/>
  <c r="AG464" i="26"/>
  <c r="AG754" i="26" s="1"/>
  <c r="AF464" i="26"/>
  <c r="AF754" i="26" s="1"/>
  <c r="AE464" i="26"/>
  <c r="AE754" i="26" s="1"/>
  <c r="AD464" i="26"/>
  <c r="AD754" i="26" s="1"/>
  <c r="AC464" i="26"/>
  <c r="AC754" i="26" s="1"/>
  <c r="AB464" i="26"/>
  <c r="AB754" i="26" s="1"/>
  <c r="AA464" i="26"/>
  <c r="AA754" i="26" s="1"/>
  <c r="Z464" i="26"/>
  <c r="Z754" i="26" s="1"/>
  <c r="Y464" i="26"/>
  <c r="Y754" i="26" s="1"/>
  <c r="X464" i="26"/>
  <c r="X754" i="26" s="1"/>
  <c r="W464" i="26"/>
  <c r="W754" i="26" s="1"/>
  <c r="V464" i="26"/>
  <c r="AJ463" i="26"/>
  <c r="AJ753" i="26" s="1"/>
  <c r="AI463" i="26"/>
  <c r="AI753" i="26" s="1"/>
  <c r="AH463" i="26"/>
  <c r="AH753" i="26" s="1"/>
  <c r="AG463" i="26"/>
  <c r="AG753" i="26" s="1"/>
  <c r="AF463" i="26"/>
  <c r="AF753" i="26" s="1"/>
  <c r="AE463" i="26"/>
  <c r="AE753" i="26" s="1"/>
  <c r="AD463" i="26"/>
  <c r="AD753" i="26" s="1"/>
  <c r="AC463" i="26"/>
  <c r="AC753" i="26" s="1"/>
  <c r="AB463" i="26"/>
  <c r="AB753" i="26" s="1"/>
  <c r="AA463" i="26"/>
  <c r="AA753" i="26" s="1"/>
  <c r="Z463" i="26"/>
  <c r="Z753" i="26" s="1"/>
  <c r="Y463" i="26"/>
  <c r="Y753" i="26" s="1"/>
  <c r="X463" i="26"/>
  <c r="X753" i="26" s="1"/>
  <c r="W463" i="26"/>
  <c r="W753" i="26" s="1"/>
  <c r="V463" i="26"/>
  <c r="AJ462" i="26"/>
  <c r="AJ752" i="26" s="1"/>
  <c r="AI462" i="26"/>
  <c r="AI752" i="26" s="1"/>
  <c r="AH462" i="26"/>
  <c r="AH752" i="26" s="1"/>
  <c r="AG462" i="26"/>
  <c r="AG752" i="26" s="1"/>
  <c r="AF462" i="26"/>
  <c r="AF752" i="26" s="1"/>
  <c r="AE462" i="26"/>
  <c r="AE752" i="26" s="1"/>
  <c r="AD462" i="26"/>
  <c r="AD752" i="26" s="1"/>
  <c r="AC462" i="26"/>
  <c r="AC752" i="26" s="1"/>
  <c r="AB462" i="26"/>
  <c r="AB752" i="26" s="1"/>
  <c r="AA462" i="26"/>
  <c r="AA752" i="26" s="1"/>
  <c r="Z462" i="26"/>
  <c r="Z752" i="26" s="1"/>
  <c r="Y462" i="26"/>
  <c r="Y752" i="26" s="1"/>
  <c r="X462" i="26"/>
  <c r="X752" i="26" s="1"/>
  <c r="W462" i="26"/>
  <c r="W752" i="26" s="1"/>
  <c r="V462" i="26"/>
  <c r="AJ461" i="26"/>
  <c r="AJ751" i="26" s="1"/>
  <c r="AI461" i="26"/>
  <c r="AI751" i="26" s="1"/>
  <c r="AH461" i="26"/>
  <c r="AH751" i="26" s="1"/>
  <c r="AG461" i="26"/>
  <c r="AG751" i="26" s="1"/>
  <c r="AF461" i="26"/>
  <c r="AF751" i="26" s="1"/>
  <c r="AE461" i="26"/>
  <c r="AE751" i="26" s="1"/>
  <c r="AD461" i="26"/>
  <c r="AD751" i="26" s="1"/>
  <c r="AC461" i="26"/>
  <c r="AC751" i="26" s="1"/>
  <c r="AB461" i="26"/>
  <c r="AB751" i="26" s="1"/>
  <c r="AA461" i="26"/>
  <c r="AA751" i="26" s="1"/>
  <c r="Z461" i="26"/>
  <c r="Z751" i="26" s="1"/>
  <c r="Y461" i="26"/>
  <c r="Y751" i="26" s="1"/>
  <c r="X461" i="26"/>
  <c r="X751" i="26" s="1"/>
  <c r="W461" i="26"/>
  <c r="W751" i="26" s="1"/>
  <c r="V461" i="26"/>
  <c r="AJ460" i="26"/>
  <c r="AJ750" i="26" s="1"/>
  <c r="AI460" i="26"/>
  <c r="AI750" i="26" s="1"/>
  <c r="AH460" i="26"/>
  <c r="AH750" i="26" s="1"/>
  <c r="AG460" i="26"/>
  <c r="AG750" i="26" s="1"/>
  <c r="AF460" i="26"/>
  <c r="AF750" i="26" s="1"/>
  <c r="AE460" i="26"/>
  <c r="AE750" i="26" s="1"/>
  <c r="AD460" i="26"/>
  <c r="AD750" i="26" s="1"/>
  <c r="AC460" i="26"/>
  <c r="AC750" i="26" s="1"/>
  <c r="AB460" i="26"/>
  <c r="AB750" i="26" s="1"/>
  <c r="AA460" i="26"/>
  <c r="AA750" i="26" s="1"/>
  <c r="Z460" i="26"/>
  <c r="Z750" i="26" s="1"/>
  <c r="Y460" i="26"/>
  <c r="Y750" i="26" s="1"/>
  <c r="X460" i="26"/>
  <c r="X750" i="26" s="1"/>
  <c r="W460" i="26"/>
  <c r="W750" i="26" s="1"/>
  <c r="V460" i="26"/>
  <c r="AJ459" i="26"/>
  <c r="AJ749" i="26" s="1"/>
  <c r="AI459" i="26"/>
  <c r="AI749" i="26" s="1"/>
  <c r="AH459" i="26"/>
  <c r="AH749" i="26" s="1"/>
  <c r="AG459" i="26"/>
  <c r="AG749" i="26" s="1"/>
  <c r="AF459" i="26"/>
  <c r="AF749" i="26" s="1"/>
  <c r="AE459" i="26"/>
  <c r="AE749" i="26" s="1"/>
  <c r="AD459" i="26"/>
  <c r="AD749" i="26" s="1"/>
  <c r="AC459" i="26"/>
  <c r="AC749" i="26" s="1"/>
  <c r="AB459" i="26"/>
  <c r="AB749" i="26" s="1"/>
  <c r="AA459" i="26"/>
  <c r="AA749" i="26" s="1"/>
  <c r="Z459" i="26"/>
  <c r="Z749" i="26" s="1"/>
  <c r="Y459" i="26"/>
  <c r="Y749" i="26" s="1"/>
  <c r="X459" i="26"/>
  <c r="X749" i="26" s="1"/>
  <c r="W459" i="26"/>
  <c r="W749" i="26" s="1"/>
  <c r="V459" i="26"/>
  <c r="AJ458" i="26"/>
  <c r="AJ748" i="26" s="1"/>
  <c r="AI458" i="26"/>
  <c r="AI748" i="26" s="1"/>
  <c r="AH458" i="26"/>
  <c r="AH748" i="26" s="1"/>
  <c r="AG458" i="26"/>
  <c r="AG748" i="26" s="1"/>
  <c r="AF458" i="26"/>
  <c r="AF748" i="26" s="1"/>
  <c r="AE458" i="26"/>
  <c r="AE748" i="26" s="1"/>
  <c r="AD458" i="26"/>
  <c r="AD748" i="26" s="1"/>
  <c r="AC458" i="26"/>
  <c r="AC748" i="26" s="1"/>
  <c r="AB458" i="26"/>
  <c r="AB748" i="26" s="1"/>
  <c r="AA458" i="26"/>
  <c r="AA748" i="26" s="1"/>
  <c r="Z458" i="26"/>
  <c r="Z748" i="26" s="1"/>
  <c r="Y458" i="26"/>
  <c r="Y748" i="26" s="1"/>
  <c r="X458" i="26"/>
  <c r="X748" i="26" s="1"/>
  <c r="W458" i="26"/>
  <c r="W748" i="26" s="1"/>
  <c r="V458" i="26"/>
  <c r="AJ457" i="26"/>
  <c r="AJ747" i="26" s="1"/>
  <c r="AI457" i="26"/>
  <c r="AI747" i="26" s="1"/>
  <c r="AH457" i="26"/>
  <c r="AH747" i="26" s="1"/>
  <c r="AG457" i="26"/>
  <c r="AG747" i="26" s="1"/>
  <c r="AF457" i="26"/>
  <c r="AF747" i="26" s="1"/>
  <c r="AE457" i="26"/>
  <c r="AE747" i="26" s="1"/>
  <c r="AD457" i="26"/>
  <c r="AD747" i="26" s="1"/>
  <c r="AC457" i="26"/>
  <c r="AC747" i="26" s="1"/>
  <c r="AB457" i="26"/>
  <c r="AB747" i="26" s="1"/>
  <c r="AA457" i="26"/>
  <c r="AA747" i="26" s="1"/>
  <c r="Z457" i="26"/>
  <c r="Z747" i="26" s="1"/>
  <c r="Y457" i="26"/>
  <c r="Y747" i="26" s="1"/>
  <c r="X457" i="26"/>
  <c r="X747" i="26" s="1"/>
  <c r="W457" i="26"/>
  <c r="W747" i="26" s="1"/>
  <c r="V457" i="26"/>
  <c r="AJ456" i="26"/>
  <c r="AJ746" i="26" s="1"/>
  <c r="AI456" i="26"/>
  <c r="AI746" i="26" s="1"/>
  <c r="AH456" i="26"/>
  <c r="AH746" i="26" s="1"/>
  <c r="AG456" i="26"/>
  <c r="AG746" i="26" s="1"/>
  <c r="AF456" i="26"/>
  <c r="AF746" i="26" s="1"/>
  <c r="AE456" i="26"/>
  <c r="AE746" i="26" s="1"/>
  <c r="AD456" i="26"/>
  <c r="AD746" i="26" s="1"/>
  <c r="AC456" i="26"/>
  <c r="AC746" i="26" s="1"/>
  <c r="AB456" i="26"/>
  <c r="AB746" i="26" s="1"/>
  <c r="AA456" i="26"/>
  <c r="AA746" i="26" s="1"/>
  <c r="Z456" i="26"/>
  <c r="Z746" i="26" s="1"/>
  <c r="Y456" i="26"/>
  <c r="Y746" i="26" s="1"/>
  <c r="X456" i="26"/>
  <c r="X746" i="26" s="1"/>
  <c r="W456" i="26"/>
  <c r="W746" i="26" s="1"/>
  <c r="V456" i="26"/>
  <c r="AJ455" i="26"/>
  <c r="AJ745" i="26" s="1"/>
  <c r="AI455" i="26"/>
  <c r="AI745" i="26" s="1"/>
  <c r="AH455" i="26"/>
  <c r="AH745" i="26" s="1"/>
  <c r="AG455" i="26"/>
  <c r="AG745" i="26" s="1"/>
  <c r="AF455" i="26"/>
  <c r="AF745" i="26" s="1"/>
  <c r="AE455" i="26"/>
  <c r="AE745" i="26" s="1"/>
  <c r="AD455" i="26"/>
  <c r="AD745" i="26" s="1"/>
  <c r="AC455" i="26"/>
  <c r="AC745" i="26" s="1"/>
  <c r="AB455" i="26"/>
  <c r="AB745" i="26" s="1"/>
  <c r="AA455" i="26"/>
  <c r="AA745" i="26" s="1"/>
  <c r="Z455" i="26"/>
  <c r="Z745" i="26" s="1"/>
  <c r="Y455" i="26"/>
  <c r="Y745" i="26" s="1"/>
  <c r="X455" i="26"/>
  <c r="X745" i="26" s="1"/>
  <c r="W455" i="26"/>
  <c r="W745" i="26" s="1"/>
  <c r="V455" i="26"/>
  <c r="AJ454" i="26"/>
  <c r="AJ744" i="26" s="1"/>
  <c r="AI454" i="26"/>
  <c r="AI744" i="26" s="1"/>
  <c r="AH454" i="26"/>
  <c r="AH744" i="26" s="1"/>
  <c r="AG454" i="26"/>
  <c r="AG744" i="26" s="1"/>
  <c r="AF454" i="26"/>
  <c r="AF744" i="26" s="1"/>
  <c r="AE454" i="26"/>
  <c r="AE744" i="26" s="1"/>
  <c r="AD454" i="26"/>
  <c r="AD744" i="26" s="1"/>
  <c r="AC454" i="26"/>
  <c r="AC744" i="26" s="1"/>
  <c r="AB454" i="26"/>
  <c r="AB744" i="26" s="1"/>
  <c r="AA454" i="26"/>
  <c r="AA744" i="26" s="1"/>
  <c r="Z454" i="26"/>
  <c r="Z744" i="26" s="1"/>
  <c r="Y454" i="26"/>
  <c r="Y744" i="26" s="1"/>
  <c r="X454" i="26"/>
  <c r="X744" i="26" s="1"/>
  <c r="W454" i="26"/>
  <c r="W744" i="26" s="1"/>
  <c r="V454" i="26"/>
  <c r="AJ453" i="26"/>
  <c r="AJ743" i="26" s="1"/>
  <c r="AI453" i="26"/>
  <c r="AI743" i="26" s="1"/>
  <c r="AH453" i="26"/>
  <c r="AH743" i="26" s="1"/>
  <c r="AG453" i="26"/>
  <c r="AG743" i="26" s="1"/>
  <c r="AF453" i="26"/>
  <c r="AF743" i="26" s="1"/>
  <c r="AE453" i="26"/>
  <c r="AE743" i="26" s="1"/>
  <c r="AD453" i="26"/>
  <c r="AD743" i="26" s="1"/>
  <c r="AC453" i="26"/>
  <c r="AC743" i="26" s="1"/>
  <c r="AB453" i="26"/>
  <c r="AB743" i="26" s="1"/>
  <c r="AA453" i="26"/>
  <c r="AA743" i="26" s="1"/>
  <c r="Z453" i="26"/>
  <c r="Z743" i="26" s="1"/>
  <c r="Y453" i="26"/>
  <c r="Y743" i="26" s="1"/>
  <c r="X453" i="26"/>
  <c r="X743" i="26" s="1"/>
  <c r="W453" i="26"/>
  <c r="W743" i="26" s="1"/>
  <c r="V453" i="26"/>
  <c r="AJ452" i="26"/>
  <c r="AJ742" i="26" s="1"/>
  <c r="AI452" i="26"/>
  <c r="AI742" i="26" s="1"/>
  <c r="AH452" i="26"/>
  <c r="AH742" i="26" s="1"/>
  <c r="AG452" i="26"/>
  <c r="AG742" i="26" s="1"/>
  <c r="AF452" i="26"/>
  <c r="AF742" i="26" s="1"/>
  <c r="AE452" i="26"/>
  <c r="AE742" i="26" s="1"/>
  <c r="AD452" i="26"/>
  <c r="AD742" i="26" s="1"/>
  <c r="AC452" i="26"/>
  <c r="AC742" i="26" s="1"/>
  <c r="AB452" i="26"/>
  <c r="AB742" i="26" s="1"/>
  <c r="AA452" i="26"/>
  <c r="AA742" i="26" s="1"/>
  <c r="Z452" i="26"/>
  <c r="Z742" i="26" s="1"/>
  <c r="Y452" i="26"/>
  <c r="Y742" i="26" s="1"/>
  <c r="X452" i="26"/>
  <c r="X742" i="26" s="1"/>
  <c r="W452" i="26"/>
  <c r="W742" i="26" s="1"/>
  <c r="V452" i="26"/>
  <c r="AJ451" i="26"/>
  <c r="AJ741" i="26" s="1"/>
  <c r="AI451" i="26"/>
  <c r="AI741" i="26" s="1"/>
  <c r="AH451" i="26"/>
  <c r="AH741" i="26" s="1"/>
  <c r="AG451" i="26"/>
  <c r="AG741" i="26" s="1"/>
  <c r="AF451" i="26"/>
  <c r="AF741" i="26" s="1"/>
  <c r="AE451" i="26"/>
  <c r="AE741" i="26" s="1"/>
  <c r="AD451" i="26"/>
  <c r="AD741" i="26" s="1"/>
  <c r="AC451" i="26"/>
  <c r="AC741" i="26" s="1"/>
  <c r="AB451" i="26"/>
  <c r="AB741" i="26" s="1"/>
  <c r="AA451" i="26"/>
  <c r="AA741" i="26" s="1"/>
  <c r="Z451" i="26"/>
  <c r="Z741" i="26" s="1"/>
  <c r="Y451" i="26"/>
  <c r="Y741" i="26" s="1"/>
  <c r="X451" i="26"/>
  <c r="X741" i="26" s="1"/>
  <c r="W451" i="26"/>
  <c r="W741" i="26" s="1"/>
  <c r="V451" i="26"/>
  <c r="AJ450" i="26"/>
  <c r="AJ740" i="26" s="1"/>
  <c r="AI450" i="26"/>
  <c r="AI740" i="26" s="1"/>
  <c r="AH450" i="26"/>
  <c r="AH740" i="26" s="1"/>
  <c r="AG450" i="26"/>
  <c r="AG740" i="26" s="1"/>
  <c r="AF450" i="26"/>
  <c r="AF740" i="26" s="1"/>
  <c r="AE450" i="26"/>
  <c r="AE740" i="26" s="1"/>
  <c r="AD450" i="26"/>
  <c r="AD740" i="26" s="1"/>
  <c r="AC450" i="26"/>
  <c r="AC740" i="26" s="1"/>
  <c r="AB450" i="26"/>
  <c r="AB740" i="26" s="1"/>
  <c r="AA450" i="26"/>
  <c r="AA740" i="26" s="1"/>
  <c r="Z450" i="26"/>
  <c r="Z740" i="26" s="1"/>
  <c r="Y450" i="26"/>
  <c r="Y740" i="26" s="1"/>
  <c r="X450" i="26"/>
  <c r="X740" i="26" s="1"/>
  <c r="W450" i="26"/>
  <c r="W740" i="26" s="1"/>
  <c r="V450" i="26"/>
  <c r="AJ449" i="26"/>
  <c r="AJ739" i="26" s="1"/>
  <c r="AI449" i="26"/>
  <c r="AI739" i="26" s="1"/>
  <c r="AH449" i="26"/>
  <c r="AH739" i="26" s="1"/>
  <c r="AG449" i="26"/>
  <c r="AG739" i="26" s="1"/>
  <c r="AF449" i="26"/>
  <c r="AF739" i="26" s="1"/>
  <c r="AE449" i="26"/>
  <c r="AE739" i="26" s="1"/>
  <c r="AD449" i="26"/>
  <c r="AD739" i="26" s="1"/>
  <c r="AC449" i="26"/>
  <c r="AC739" i="26" s="1"/>
  <c r="AB449" i="26"/>
  <c r="AB739" i="26" s="1"/>
  <c r="AA449" i="26"/>
  <c r="AA739" i="26" s="1"/>
  <c r="Z449" i="26"/>
  <c r="Z739" i="26" s="1"/>
  <c r="Y449" i="26"/>
  <c r="Y739" i="26" s="1"/>
  <c r="X449" i="26"/>
  <c r="X739" i="26" s="1"/>
  <c r="W449" i="26"/>
  <c r="W739" i="26" s="1"/>
  <c r="V449" i="26"/>
  <c r="AJ448" i="26"/>
  <c r="AJ738" i="26" s="1"/>
  <c r="AI448" i="26"/>
  <c r="AI738" i="26" s="1"/>
  <c r="AH448" i="26"/>
  <c r="AH738" i="26" s="1"/>
  <c r="AG448" i="26"/>
  <c r="AG738" i="26" s="1"/>
  <c r="AF448" i="26"/>
  <c r="AF738" i="26" s="1"/>
  <c r="AE448" i="26"/>
  <c r="AE738" i="26" s="1"/>
  <c r="AD448" i="26"/>
  <c r="AD738" i="26" s="1"/>
  <c r="AC448" i="26"/>
  <c r="AC738" i="26" s="1"/>
  <c r="AB448" i="26"/>
  <c r="AB738" i="26" s="1"/>
  <c r="AA448" i="26"/>
  <c r="AA738" i="26" s="1"/>
  <c r="Z448" i="26"/>
  <c r="Z738" i="26" s="1"/>
  <c r="Y448" i="26"/>
  <c r="Y738" i="26" s="1"/>
  <c r="X448" i="26"/>
  <c r="X738" i="26" s="1"/>
  <c r="W448" i="26"/>
  <c r="W738" i="26" s="1"/>
  <c r="V448" i="26"/>
  <c r="AJ447" i="26"/>
  <c r="AJ737" i="26" s="1"/>
  <c r="AI447" i="26"/>
  <c r="AI737" i="26" s="1"/>
  <c r="AH447" i="26"/>
  <c r="AH737" i="26" s="1"/>
  <c r="AG447" i="26"/>
  <c r="AG737" i="26" s="1"/>
  <c r="AF447" i="26"/>
  <c r="AF737" i="26" s="1"/>
  <c r="AE447" i="26"/>
  <c r="AE737" i="26" s="1"/>
  <c r="AD447" i="26"/>
  <c r="AD737" i="26" s="1"/>
  <c r="AC447" i="26"/>
  <c r="AC737" i="26" s="1"/>
  <c r="AB447" i="26"/>
  <c r="AB737" i="26" s="1"/>
  <c r="AA447" i="26"/>
  <c r="AA737" i="26" s="1"/>
  <c r="Z447" i="26"/>
  <c r="Z737" i="26" s="1"/>
  <c r="Y447" i="26"/>
  <c r="Y737" i="26" s="1"/>
  <c r="X447" i="26"/>
  <c r="X737" i="26" s="1"/>
  <c r="W447" i="26"/>
  <c r="W737" i="26" s="1"/>
  <c r="V447" i="26"/>
  <c r="AJ446" i="26"/>
  <c r="AJ736" i="26" s="1"/>
  <c r="AI446" i="26"/>
  <c r="AI736" i="26" s="1"/>
  <c r="AH446" i="26"/>
  <c r="AH736" i="26" s="1"/>
  <c r="AG446" i="26"/>
  <c r="AG736" i="26" s="1"/>
  <c r="AF446" i="26"/>
  <c r="AF736" i="26" s="1"/>
  <c r="AE446" i="26"/>
  <c r="AE736" i="26" s="1"/>
  <c r="AD446" i="26"/>
  <c r="AD736" i="26" s="1"/>
  <c r="AC446" i="26"/>
  <c r="AC736" i="26" s="1"/>
  <c r="AB446" i="26"/>
  <c r="AB736" i="26" s="1"/>
  <c r="AA446" i="26"/>
  <c r="AA736" i="26" s="1"/>
  <c r="Z446" i="26"/>
  <c r="Z736" i="26" s="1"/>
  <c r="Y446" i="26"/>
  <c r="Y736" i="26" s="1"/>
  <c r="X446" i="26"/>
  <c r="X736" i="26" s="1"/>
  <c r="W446" i="26"/>
  <c r="W736" i="26" s="1"/>
  <c r="V446" i="26"/>
  <c r="AJ445" i="26"/>
  <c r="AJ735" i="26" s="1"/>
  <c r="AI445" i="26"/>
  <c r="AI735" i="26" s="1"/>
  <c r="AH445" i="26"/>
  <c r="AH735" i="26" s="1"/>
  <c r="AG445" i="26"/>
  <c r="AG735" i="26" s="1"/>
  <c r="AF445" i="26"/>
  <c r="AF735" i="26" s="1"/>
  <c r="AE445" i="26"/>
  <c r="AE735" i="26" s="1"/>
  <c r="AD445" i="26"/>
  <c r="AD735" i="26" s="1"/>
  <c r="AC445" i="26"/>
  <c r="AC735" i="26" s="1"/>
  <c r="AB445" i="26"/>
  <c r="AB735" i="26" s="1"/>
  <c r="AA445" i="26"/>
  <c r="AA735" i="26" s="1"/>
  <c r="Z445" i="26"/>
  <c r="Z735" i="26" s="1"/>
  <c r="Y445" i="26"/>
  <c r="Y735" i="26" s="1"/>
  <c r="X445" i="26"/>
  <c r="X735" i="26" s="1"/>
  <c r="W445" i="26"/>
  <c r="W735" i="26" s="1"/>
  <c r="V445" i="26"/>
  <c r="AJ444" i="26"/>
  <c r="AJ734" i="26" s="1"/>
  <c r="AI444" i="26"/>
  <c r="AI734" i="26" s="1"/>
  <c r="AH444" i="26"/>
  <c r="AH734" i="26" s="1"/>
  <c r="AG444" i="26"/>
  <c r="AG734" i="26" s="1"/>
  <c r="AF444" i="26"/>
  <c r="AF734" i="26" s="1"/>
  <c r="AE444" i="26"/>
  <c r="AE734" i="26" s="1"/>
  <c r="AD444" i="26"/>
  <c r="AD734" i="26" s="1"/>
  <c r="AC444" i="26"/>
  <c r="AC734" i="26" s="1"/>
  <c r="AB444" i="26"/>
  <c r="AB734" i="26" s="1"/>
  <c r="AA444" i="26"/>
  <c r="AA734" i="26" s="1"/>
  <c r="Z444" i="26"/>
  <c r="Z734" i="26" s="1"/>
  <c r="Y444" i="26"/>
  <c r="Y734" i="26" s="1"/>
  <c r="X444" i="26"/>
  <c r="X734" i="26" s="1"/>
  <c r="W444" i="26"/>
  <c r="W734" i="26" s="1"/>
  <c r="V444" i="26"/>
  <c r="AJ443" i="26"/>
  <c r="AJ733" i="26" s="1"/>
  <c r="AI443" i="26"/>
  <c r="AI733" i="26" s="1"/>
  <c r="AH443" i="26"/>
  <c r="AH733" i="26" s="1"/>
  <c r="AG443" i="26"/>
  <c r="AG733" i="26" s="1"/>
  <c r="AF443" i="26"/>
  <c r="AF733" i="26" s="1"/>
  <c r="AE443" i="26"/>
  <c r="AE733" i="26" s="1"/>
  <c r="AD443" i="26"/>
  <c r="AD733" i="26" s="1"/>
  <c r="AC443" i="26"/>
  <c r="AC733" i="26" s="1"/>
  <c r="AB443" i="26"/>
  <c r="AB733" i="26" s="1"/>
  <c r="AA443" i="26"/>
  <c r="AA733" i="26" s="1"/>
  <c r="Z443" i="26"/>
  <c r="Z733" i="26" s="1"/>
  <c r="Y443" i="26"/>
  <c r="Y733" i="26" s="1"/>
  <c r="X443" i="26"/>
  <c r="X733" i="26" s="1"/>
  <c r="W443" i="26"/>
  <c r="W733" i="26" s="1"/>
  <c r="V443" i="26"/>
  <c r="AJ442" i="26"/>
  <c r="AJ732" i="26" s="1"/>
  <c r="AI442" i="26"/>
  <c r="AI732" i="26" s="1"/>
  <c r="AH442" i="26"/>
  <c r="AH732" i="26" s="1"/>
  <c r="AG442" i="26"/>
  <c r="AG732" i="26" s="1"/>
  <c r="AF442" i="26"/>
  <c r="AF732" i="26" s="1"/>
  <c r="AE442" i="26"/>
  <c r="AE732" i="26" s="1"/>
  <c r="AD442" i="26"/>
  <c r="AD732" i="26" s="1"/>
  <c r="AC442" i="26"/>
  <c r="AC732" i="26" s="1"/>
  <c r="AB442" i="26"/>
  <c r="AB732" i="26" s="1"/>
  <c r="AA442" i="26"/>
  <c r="AA732" i="26" s="1"/>
  <c r="Z442" i="26"/>
  <c r="Z732" i="26" s="1"/>
  <c r="Y442" i="26"/>
  <c r="Y732" i="26" s="1"/>
  <c r="X442" i="26"/>
  <c r="X732" i="26" s="1"/>
  <c r="W442" i="26"/>
  <c r="W732" i="26" s="1"/>
  <c r="V442" i="26"/>
  <c r="AJ441" i="26"/>
  <c r="AJ731" i="26" s="1"/>
  <c r="AI441" i="26"/>
  <c r="AI731" i="26" s="1"/>
  <c r="AH441" i="26"/>
  <c r="AH731" i="26" s="1"/>
  <c r="AG441" i="26"/>
  <c r="AG731" i="26" s="1"/>
  <c r="AF441" i="26"/>
  <c r="AF731" i="26" s="1"/>
  <c r="AE441" i="26"/>
  <c r="AE731" i="26" s="1"/>
  <c r="AD441" i="26"/>
  <c r="AD731" i="26" s="1"/>
  <c r="AC441" i="26"/>
  <c r="AC731" i="26" s="1"/>
  <c r="AB441" i="26"/>
  <c r="AB731" i="26" s="1"/>
  <c r="AA441" i="26"/>
  <c r="AA731" i="26" s="1"/>
  <c r="Z441" i="26"/>
  <c r="Z731" i="26" s="1"/>
  <c r="Y441" i="26"/>
  <c r="Y731" i="26" s="1"/>
  <c r="X441" i="26"/>
  <c r="X731" i="26" s="1"/>
  <c r="W441" i="26"/>
  <c r="W731" i="26" s="1"/>
  <c r="V441" i="26"/>
  <c r="AJ440" i="26"/>
  <c r="AJ730" i="26" s="1"/>
  <c r="AI440" i="26"/>
  <c r="AI730" i="26" s="1"/>
  <c r="AH440" i="26"/>
  <c r="AH730" i="26" s="1"/>
  <c r="AG440" i="26"/>
  <c r="AG730" i="26" s="1"/>
  <c r="AF440" i="26"/>
  <c r="AF730" i="26" s="1"/>
  <c r="AE440" i="26"/>
  <c r="AE730" i="26" s="1"/>
  <c r="AD440" i="26"/>
  <c r="AD730" i="26" s="1"/>
  <c r="AC440" i="26"/>
  <c r="AC730" i="26" s="1"/>
  <c r="AB440" i="26"/>
  <c r="AB730" i="26" s="1"/>
  <c r="AA440" i="26"/>
  <c r="AA730" i="26" s="1"/>
  <c r="Z440" i="26"/>
  <c r="Z730" i="26" s="1"/>
  <c r="Y440" i="26"/>
  <c r="Y730" i="26" s="1"/>
  <c r="X440" i="26"/>
  <c r="X730" i="26" s="1"/>
  <c r="W440" i="26"/>
  <c r="W730" i="26" s="1"/>
  <c r="V440" i="26"/>
  <c r="AJ439" i="26"/>
  <c r="AJ729" i="26" s="1"/>
  <c r="AI439" i="26"/>
  <c r="AI729" i="26" s="1"/>
  <c r="AH439" i="26"/>
  <c r="AH729" i="26" s="1"/>
  <c r="AG439" i="26"/>
  <c r="AG729" i="26" s="1"/>
  <c r="AF439" i="26"/>
  <c r="AF729" i="26" s="1"/>
  <c r="AE439" i="26"/>
  <c r="AE729" i="26" s="1"/>
  <c r="AD439" i="26"/>
  <c r="AD729" i="26" s="1"/>
  <c r="AC439" i="26"/>
  <c r="AC729" i="26" s="1"/>
  <c r="AB439" i="26"/>
  <c r="AB729" i="26" s="1"/>
  <c r="AA439" i="26"/>
  <c r="AA729" i="26" s="1"/>
  <c r="Z439" i="26"/>
  <c r="Z729" i="26" s="1"/>
  <c r="Y439" i="26"/>
  <c r="Y729" i="26" s="1"/>
  <c r="X439" i="26"/>
  <c r="X729" i="26" s="1"/>
  <c r="W439" i="26"/>
  <c r="W729" i="26" s="1"/>
  <c r="V439" i="26"/>
  <c r="AJ438" i="26"/>
  <c r="AJ728" i="26" s="1"/>
  <c r="AI438" i="26"/>
  <c r="AI728" i="26" s="1"/>
  <c r="AH438" i="26"/>
  <c r="AH728" i="26" s="1"/>
  <c r="AG438" i="26"/>
  <c r="AG728" i="26" s="1"/>
  <c r="AF438" i="26"/>
  <c r="AF728" i="26" s="1"/>
  <c r="AE438" i="26"/>
  <c r="AE728" i="26" s="1"/>
  <c r="AD438" i="26"/>
  <c r="AD728" i="26" s="1"/>
  <c r="AC438" i="26"/>
  <c r="AC728" i="26" s="1"/>
  <c r="AB438" i="26"/>
  <c r="AB728" i="26" s="1"/>
  <c r="AA438" i="26"/>
  <c r="AA728" i="26" s="1"/>
  <c r="Z438" i="26"/>
  <c r="Z728" i="26" s="1"/>
  <c r="Y438" i="26"/>
  <c r="Y728" i="26" s="1"/>
  <c r="X438" i="26"/>
  <c r="X728" i="26" s="1"/>
  <c r="W438" i="26"/>
  <c r="W728" i="26" s="1"/>
  <c r="V438" i="26"/>
  <c r="AJ437" i="26"/>
  <c r="AJ727" i="26" s="1"/>
  <c r="AI437" i="26"/>
  <c r="AI727" i="26" s="1"/>
  <c r="AH437" i="26"/>
  <c r="AH727" i="26" s="1"/>
  <c r="AG437" i="26"/>
  <c r="AG727" i="26" s="1"/>
  <c r="AF437" i="26"/>
  <c r="AF727" i="26" s="1"/>
  <c r="AE437" i="26"/>
  <c r="AE727" i="26" s="1"/>
  <c r="AD437" i="26"/>
  <c r="AD727" i="26" s="1"/>
  <c r="AC437" i="26"/>
  <c r="AC727" i="26" s="1"/>
  <c r="AB437" i="26"/>
  <c r="AB727" i="26" s="1"/>
  <c r="AA437" i="26"/>
  <c r="AA727" i="26" s="1"/>
  <c r="Z437" i="26"/>
  <c r="Z727" i="26" s="1"/>
  <c r="Y437" i="26"/>
  <c r="Y727" i="26" s="1"/>
  <c r="X437" i="26"/>
  <c r="X727" i="26" s="1"/>
  <c r="W437" i="26"/>
  <c r="W727" i="26" s="1"/>
  <c r="V437" i="26"/>
  <c r="AJ436" i="26"/>
  <c r="AJ726" i="26" s="1"/>
  <c r="AI436" i="26"/>
  <c r="AI726" i="26" s="1"/>
  <c r="AH436" i="26"/>
  <c r="AH726" i="26" s="1"/>
  <c r="AG436" i="26"/>
  <c r="AG726" i="26" s="1"/>
  <c r="AF436" i="26"/>
  <c r="AF726" i="26" s="1"/>
  <c r="AE436" i="26"/>
  <c r="AE726" i="26" s="1"/>
  <c r="AD436" i="26"/>
  <c r="AD726" i="26" s="1"/>
  <c r="AC436" i="26"/>
  <c r="AC726" i="26" s="1"/>
  <c r="AB436" i="26"/>
  <c r="AB726" i="26" s="1"/>
  <c r="AA436" i="26"/>
  <c r="AA726" i="26" s="1"/>
  <c r="Z436" i="26"/>
  <c r="Z726" i="26" s="1"/>
  <c r="Y436" i="26"/>
  <c r="Y726" i="26" s="1"/>
  <c r="X436" i="26"/>
  <c r="X726" i="26" s="1"/>
  <c r="W436" i="26"/>
  <c r="W726" i="26" s="1"/>
  <c r="V436" i="26"/>
  <c r="AJ435" i="26"/>
  <c r="AJ725" i="26" s="1"/>
  <c r="AI435" i="26"/>
  <c r="AI725" i="26" s="1"/>
  <c r="AH435" i="26"/>
  <c r="AH725" i="26" s="1"/>
  <c r="AG435" i="26"/>
  <c r="AG725" i="26" s="1"/>
  <c r="AF435" i="26"/>
  <c r="AF725" i="26" s="1"/>
  <c r="AE435" i="26"/>
  <c r="AE725" i="26" s="1"/>
  <c r="AD435" i="26"/>
  <c r="AD725" i="26" s="1"/>
  <c r="AC435" i="26"/>
  <c r="AC725" i="26" s="1"/>
  <c r="AB435" i="26"/>
  <c r="AB725" i="26" s="1"/>
  <c r="AA435" i="26"/>
  <c r="AA725" i="26" s="1"/>
  <c r="Z435" i="26"/>
  <c r="Z725" i="26" s="1"/>
  <c r="Y435" i="26"/>
  <c r="Y725" i="26" s="1"/>
  <c r="X435" i="26"/>
  <c r="X725" i="26" s="1"/>
  <c r="W435" i="26"/>
  <c r="W725" i="26" s="1"/>
  <c r="V435" i="26"/>
  <c r="AJ434" i="26"/>
  <c r="AJ724" i="26" s="1"/>
  <c r="AI434" i="26"/>
  <c r="AI724" i="26" s="1"/>
  <c r="AH434" i="26"/>
  <c r="AH724" i="26" s="1"/>
  <c r="AG434" i="26"/>
  <c r="AG724" i="26" s="1"/>
  <c r="AF434" i="26"/>
  <c r="AF724" i="26" s="1"/>
  <c r="AE434" i="26"/>
  <c r="AE724" i="26" s="1"/>
  <c r="AD434" i="26"/>
  <c r="AD724" i="26" s="1"/>
  <c r="AC434" i="26"/>
  <c r="AC724" i="26" s="1"/>
  <c r="AB434" i="26"/>
  <c r="AB724" i="26" s="1"/>
  <c r="AA434" i="26"/>
  <c r="AA724" i="26" s="1"/>
  <c r="Z434" i="26"/>
  <c r="Z724" i="26" s="1"/>
  <c r="Y434" i="26"/>
  <c r="Y724" i="26" s="1"/>
  <c r="X434" i="26"/>
  <c r="X724" i="26" s="1"/>
  <c r="W434" i="26"/>
  <c r="W724" i="26" s="1"/>
  <c r="V434" i="26"/>
  <c r="AJ433" i="26"/>
  <c r="AJ723" i="26" s="1"/>
  <c r="AI433" i="26"/>
  <c r="AI723" i="26" s="1"/>
  <c r="AH433" i="26"/>
  <c r="AH723" i="26" s="1"/>
  <c r="AG433" i="26"/>
  <c r="AG723" i="26" s="1"/>
  <c r="AF433" i="26"/>
  <c r="AF723" i="26" s="1"/>
  <c r="AE433" i="26"/>
  <c r="AE723" i="26" s="1"/>
  <c r="AD433" i="26"/>
  <c r="AD723" i="26" s="1"/>
  <c r="AC433" i="26"/>
  <c r="AC723" i="26" s="1"/>
  <c r="AB433" i="26"/>
  <c r="AB723" i="26" s="1"/>
  <c r="AA433" i="26"/>
  <c r="AA723" i="26" s="1"/>
  <c r="Z433" i="26"/>
  <c r="Z723" i="26" s="1"/>
  <c r="Y433" i="26"/>
  <c r="Y723" i="26" s="1"/>
  <c r="X433" i="26"/>
  <c r="X723" i="26" s="1"/>
  <c r="W433" i="26"/>
  <c r="W723" i="26" s="1"/>
  <c r="V433" i="26"/>
  <c r="AJ432" i="26"/>
  <c r="AJ722" i="26" s="1"/>
  <c r="AI432" i="26"/>
  <c r="AI722" i="26" s="1"/>
  <c r="AH432" i="26"/>
  <c r="AH722" i="26" s="1"/>
  <c r="AG432" i="26"/>
  <c r="AG722" i="26" s="1"/>
  <c r="AF432" i="26"/>
  <c r="AF722" i="26" s="1"/>
  <c r="AE432" i="26"/>
  <c r="AE722" i="26" s="1"/>
  <c r="AD432" i="26"/>
  <c r="AD722" i="26" s="1"/>
  <c r="AC432" i="26"/>
  <c r="AC722" i="26" s="1"/>
  <c r="AB432" i="26"/>
  <c r="AB722" i="26" s="1"/>
  <c r="AA432" i="26"/>
  <c r="AA722" i="26" s="1"/>
  <c r="Z432" i="26"/>
  <c r="Z722" i="26" s="1"/>
  <c r="Y432" i="26"/>
  <c r="Y722" i="26" s="1"/>
  <c r="X432" i="26"/>
  <c r="X722" i="26" s="1"/>
  <c r="W432" i="26"/>
  <c r="W722" i="26" s="1"/>
  <c r="V432" i="26"/>
  <c r="AJ431" i="26"/>
  <c r="AJ721" i="26" s="1"/>
  <c r="AI431" i="26"/>
  <c r="AI721" i="26" s="1"/>
  <c r="AH431" i="26"/>
  <c r="AH721" i="26" s="1"/>
  <c r="AG431" i="26"/>
  <c r="AG721" i="26" s="1"/>
  <c r="AF431" i="26"/>
  <c r="AF721" i="26" s="1"/>
  <c r="AE431" i="26"/>
  <c r="AE721" i="26" s="1"/>
  <c r="AD431" i="26"/>
  <c r="AD721" i="26" s="1"/>
  <c r="AC431" i="26"/>
  <c r="AC721" i="26" s="1"/>
  <c r="AB431" i="26"/>
  <c r="AB721" i="26" s="1"/>
  <c r="AA431" i="26"/>
  <c r="AA721" i="26" s="1"/>
  <c r="Z431" i="26"/>
  <c r="Z721" i="26" s="1"/>
  <c r="Y431" i="26"/>
  <c r="Y721" i="26" s="1"/>
  <c r="X431" i="26"/>
  <c r="X721" i="26" s="1"/>
  <c r="W431" i="26"/>
  <c r="W721" i="26" s="1"/>
  <c r="V431" i="26"/>
  <c r="AJ430" i="26"/>
  <c r="AJ720" i="26" s="1"/>
  <c r="AI430" i="26"/>
  <c r="AI720" i="26" s="1"/>
  <c r="AH430" i="26"/>
  <c r="AH720" i="26" s="1"/>
  <c r="AG430" i="26"/>
  <c r="AG720" i="26" s="1"/>
  <c r="AF430" i="26"/>
  <c r="AF720" i="26" s="1"/>
  <c r="AE430" i="26"/>
  <c r="AE720" i="26" s="1"/>
  <c r="AD430" i="26"/>
  <c r="AD720" i="26" s="1"/>
  <c r="AC430" i="26"/>
  <c r="AC720" i="26" s="1"/>
  <c r="AB430" i="26"/>
  <c r="AB720" i="26" s="1"/>
  <c r="AA430" i="26"/>
  <c r="AA720" i="26" s="1"/>
  <c r="Z430" i="26"/>
  <c r="Z720" i="26" s="1"/>
  <c r="Y430" i="26"/>
  <c r="Y720" i="26" s="1"/>
  <c r="X430" i="26"/>
  <c r="X720" i="26" s="1"/>
  <c r="W430" i="26"/>
  <c r="W720" i="26" s="1"/>
  <c r="V430" i="26"/>
  <c r="AJ429" i="26"/>
  <c r="AJ719" i="26" s="1"/>
  <c r="AI429" i="26"/>
  <c r="AI719" i="26" s="1"/>
  <c r="AH429" i="26"/>
  <c r="AH719" i="26" s="1"/>
  <c r="AG429" i="26"/>
  <c r="AG719" i="26" s="1"/>
  <c r="AF429" i="26"/>
  <c r="AF719" i="26" s="1"/>
  <c r="AE429" i="26"/>
  <c r="AE719" i="26" s="1"/>
  <c r="AD429" i="26"/>
  <c r="AD719" i="26" s="1"/>
  <c r="AC429" i="26"/>
  <c r="AC719" i="26" s="1"/>
  <c r="AB429" i="26"/>
  <c r="AB719" i="26" s="1"/>
  <c r="AA429" i="26"/>
  <c r="AA719" i="26" s="1"/>
  <c r="Z429" i="26"/>
  <c r="Z719" i="26" s="1"/>
  <c r="Y429" i="26"/>
  <c r="Y719" i="26" s="1"/>
  <c r="X429" i="26"/>
  <c r="X719" i="26" s="1"/>
  <c r="W429" i="26"/>
  <c r="W719" i="26" s="1"/>
  <c r="V429" i="26"/>
  <c r="AJ428" i="26"/>
  <c r="AJ718" i="26" s="1"/>
  <c r="AI428" i="26"/>
  <c r="AI718" i="26" s="1"/>
  <c r="AH428" i="26"/>
  <c r="AH718" i="26" s="1"/>
  <c r="AG428" i="26"/>
  <c r="AG718" i="26" s="1"/>
  <c r="AF428" i="26"/>
  <c r="AF718" i="26" s="1"/>
  <c r="AE428" i="26"/>
  <c r="AE718" i="26" s="1"/>
  <c r="AD428" i="26"/>
  <c r="AD718" i="26" s="1"/>
  <c r="AC428" i="26"/>
  <c r="AC718" i="26" s="1"/>
  <c r="AB428" i="26"/>
  <c r="AB718" i="26" s="1"/>
  <c r="AA428" i="26"/>
  <c r="AA718" i="26" s="1"/>
  <c r="Z428" i="26"/>
  <c r="Z718" i="26" s="1"/>
  <c r="Y428" i="26"/>
  <c r="Y718" i="26" s="1"/>
  <c r="X428" i="26"/>
  <c r="X718" i="26" s="1"/>
  <c r="W428" i="26"/>
  <c r="W718" i="26" s="1"/>
  <c r="V428" i="26"/>
  <c r="AJ427" i="26"/>
  <c r="AJ717" i="26" s="1"/>
  <c r="AI427" i="26"/>
  <c r="AI717" i="26" s="1"/>
  <c r="AH427" i="26"/>
  <c r="AH717" i="26" s="1"/>
  <c r="AG427" i="26"/>
  <c r="AG717" i="26" s="1"/>
  <c r="AF427" i="26"/>
  <c r="AF717" i="26" s="1"/>
  <c r="AE427" i="26"/>
  <c r="AE717" i="26" s="1"/>
  <c r="AD427" i="26"/>
  <c r="AD717" i="26" s="1"/>
  <c r="AC427" i="26"/>
  <c r="AC717" i="26" s="1"/>
  <c r="AB427" i="26"/>
  <c r="AB717" i="26" s="1"/>
  <c r="AA427" i="26"/>
  <c r="AA717" i="26" s="1"/>
  <c r="Z427" i="26"/>
  <c r="Z717" i="26" s="1"/>
  <c r="Y427" i="26"/>
  <c r="Y717" i="26" s="1"/>
  <c r="X427" i="26"/>
  <c r="X717" i="26" s="1"/>
  <c r="W427" i="26"/>
  <c r="W717" i="26" s="1"/>
  <c r="V427" i="26"/>
  <c r="AJ426" i="26"/>
  <c r="AJ716" i="26" s="1"/>
  <c r="AI426" i="26"/>
  <c r="AI716" i="26" s="1"/>
  <c r="AH426" i="26"/>
  <c r="AH716" i="26" s="1"/>
  <c r="AG426" i="26"/>
  <c r="AG716" i="26" s="1"/>
  <c r="AF426" i="26"/>
  <c r="AF716" i="26" s="1"/>
  <c r="AE426" i="26"/>
  <c r="AE716" i="26" s="1"/>
  <c r="AD426" i="26"/>
  <c r="AD716" i="26" s="1"/>
  <c r="AC426" i="26"/>
  <c r="AC716" i="26" s="1"/>
  <c r="AB426" i="26"/>
  <c r="AB716" i="26" s="1"/>
  <c r="AA426" i="26"/>
  <c r="AA716" i="26" s="1"/>
  <c r="Z426" i="26"/>
  <c r="Z716" i="26" s="1"/>
  <c r="Y426" i="26"/>
  <c r="Y716" i="26" s="1"/>
  <c r="X426" i="26"/>
  <c r="X716" i="26" s="1"/>
  <c r="W426" i="26"/>
  <c r="W716" i="26" s="1"/>
  <c r="V426" i="26"/>
  <c r="AJ425" i="26"/>
  <c r="AJ715" i="26" s="1"/>
  <c r="AI425" i="26"/>
  <c r="AI715" i="26" s="1"/>
  <c r="AH425" i="26"/>
  <c r="AH715" i="26" s="1"/>
  <c r="AG425" i="26"/>
  <c r="AG715" i="26" s="1"/>
  <c r="AF425" i="26"/>
  <c r="AF715" i="26" s="1"/>
  <c r="AE425" i="26"/>
  <c r="AE715" i="26" s="1"/>
  <c r="AD425" i="26"/>
  <c r="AD715" i="26" s="1"/>
  <c r="AC425" i="26"/>
  <c r="AC715" i="26" s="1"/>
  <c r="AB425" i="26"/>
  <c r="AB715" i="26" s="1"/>
  <c r="AA425" i="26"/>
  <c r="AA715" i="26" s="1"/>
  <c r="Z425" i="26"/>
  <c r="Z715" i="26" s="1"/>
  <c r="Y425" i="26"/>
  <c r="Y715" i="26" s="1"/>
  <c r="X425" i="26"/>
  <c r="X715" i="26" s="1"/>
  <c r="W425" i="26"/>
  <c r="W715" i="26" s="1"/>
  <c r="V425" i="26"/>
  <c r="AJ424" i="26"/>
  <c r="AJ714" i="26" s="1"/>
  <c r="AI424" i="26"/>
  <c r="AI714" i="26" s="1"/>
  <c r="AH424" i="26"/>
  <c r="AH714" i="26" s="1"/>
  <c r="AG424" i="26"/>
  <c r="AG714" i="26" s="1"/>
  <c r="AF424" i="26"/>
  <c r="AF714" i="26" s="1"/>
  <c r="AE424" i="26"/>
  <c r="AE714" i="26" s="1"/>
  <c r="AD424" i="26"/>
  <c r="AD714" i="26" s="1"/>
  <c r="AC424" i="26"/>
  <c r="AC714" i="26" s="1"/>
  <c r="AB424" i="26"/>
  <c r="AB714" i="26" s="1"/>
  <c r="AA424" i="26"/>
  <c r="AA714" i="26" s="1"/>
  <c r="Z424" i="26"/>
  <c r="Z714" i="26" s="1"/>
  <c r="Y424" i="26"/>
  <c r="Y714" i="26" s="1"/>
  <c r="X424" i="26"/>
  <c r="X714" i="26" s="1"/>
  <c r="W424" i="26"/>
  <c r="W714" i="26" s="1"/>
  <c r="V424" i="26"/>
  <c r="AJ423" i="26"/>
  <c r="AJ713" i="26" s="1"/>
  <c r="AI423" i="26"/>
  <c r="AI713" i="26" s="1"/>
  <c r="AH423" i="26"/>
  <c r="AH713" i="26" s="1"/>
  <c r="AG423" i="26"/>
  <c r="AG713" i="26" s="1"/>
  <c r="AF423" i="26"/>
  <c r="AF713" i="26" s="1"/>
  <c r="AE423" i="26"/>
  <c r="AE713" i="26" s="1"/>
  <c r="AD423" i="26"/>
  <c r="AD713" i="26" s="1"/>
  <c r="AC423" i="26"/>
  <c r="AC713" i="26" s="1"/>
  <c r="AB423" i="26"/>
  <c r="AB713" i="26" s="1"/>
  <c r="AA423" i="26"/>
  <c r="AA713" i="26" s="1"/>
  <c r="Z423" i="26"/>
  <c r="Z713" i="26" s="1"/>
  <c r="Y423" i="26"/>
  <c r="Y713" i="26" s="1"/>
  <c r="X423" i="26"/>
  <c r="X713" i="26" s="1"/>
  <c r="W423" i="26"/>
  <c r="W713" i="26" s="1"/>
  <c r="V423" i="26"/>
  <c r="AJ422" i="26"/>
  <c r="AJ712" i="26" s="1"/>
  <c r="AI422" i="26"/>
  <c r="AI712" i="26" s="1"/>
  <c r="AH422" i="26"/>
  <c r="AH712" i="26" s="1"/>
  <c r="AG422" i="26"/>
  <c r="AG712" i="26" s="1"/>
  <c r="AF422" i="26"/>
  <c r="AF712" i="26" s="1"/>
  <c r="AE422" i="26"/>
  <c r="AE712" i="26" s="1"/>
  <c r="AD422" i="26"/>
  <c r="AD712" i="26" s="1"/>
  <c r="AC422" i="26"/>
  <c r="AC712" i="26" s="1"/>
  <c r="AB422" i="26"/>
  <c r="AB712" i="26" s="1"/>
  <c r="AA422" i="26"/>
  <c r="AA712" i="26" s="1"/>
  <c r="Z422" i="26"/>
  <c r="Z712" i="26" s="1"/>
  <c r="Y422" i="26"/>
  <c r="Y712" i="26" s="1"/>
  <c r="X422" i="26"/>
  <c r="X712" i="26" s="1"/>
  <c r="W422" i="26"/>
  <c r="W712" i="26" s="1"/>
  <c r="V422" i="26"/>
  <c r="AJ421" i="26"/>
  <c r="AJ711" i="26" s="1"/>
  <c r="AI421" i="26"/>
  <c r="AI711" i="26" s="1"/>
  <c r="AH421" i="26"/>
  <c r="AH711" i="26" s="1"/>
  <c r="AG421" i="26"/>
  <c r="AG711" i="26" s="1"/>
  <c r="AF421" i="26"/>
  <c r="AF711" i="26" s="1"/>
  <c r="AE421" i="26"/>
  <c r="AE711" i="26" s="1"/>
  <c r="AD421" i="26"/>
  <c r="AD711" i="26" s="1"/>
  <c r="AC421" i="26"/>
  <c r="AC711" i="26" s="1"/>
  <c r="AB421" i="26"/>
  <c r="AB711" i="26" s="1"/>
  <c r="AA421" i="26"/>
  <c r="AA711" i="26" s="1"/>
  <c r="Z421" i="26"/>
  <c r="Z711" i="26" s="1"/>
  <c r="Y421" i="26"/>
  <c r="Y711" i="26" s="1"/>
  <c r="X421" i="26"/>
  <c r="X711" i="26" s="1"/>
  <c r="W421" i="26"/>
  <c r="W711" i="26" s="1"/>
  <c r="V421" i="26"/>
  <c r="AJ420" i="26"/>
  <c r="AJ710" i="26" s="1"/>
  <c r="AI420" i="26"/>
  <c r="AI710" i="26" s="1"/>
  <c r="AH420" i="26"/>
  <c r="AH710" i="26" s="1"/>
  <c r="AG420" i="26"/>
  <c r="AG710" i="26" s="1"/>
  <c r="AF420" i="26"/>
  <c r="AF710" i="26" s="1"/>
  <c r="AE420" i="26"/>
  <c r="AE710" i="26" s="1"/>
  <c r="AD420" i="26"/>
  <c r="AD710" i="26" s="1"/>
  <c r="AC420" i="26"/>
  <c r="AC710" i="26" s="1"/>
  <c r="AB420" i="26"/>
  <c r="AB710" i="26" s="1"/>
  <c r="AA420" i="26"/>
  <c r="AA710" i="26" s="1"/>
  <c r="Z420" i="26"/>
  <c r="Z710" i="26" s="1"/>
  <c r="Y420" i="26"/>
  <c r="Y710" i="26" s="1"/>
  <c r="X420" i="26"/>
  <c r="X710" i="26" s="1"/>
  <c r="W420" i="26"/>
  <c r="W710" i="26" s="1"/>
  <c r="V420" i="26"/>
  <c r="AJ419" i="26"/>
  <c r="AJ709" i="26" s="1"/>
  <c r="AI419" i="26"/>
  <c r="AI709" i="26" s="1"/>
  <c r="AH419" i="26"/>
  <c r="AH709" i="26" s="1"/>
  <c r="AG419" i="26"/>
  <c r="AG709" i="26" s="1"/>
  <c r="AF419" i="26"/>
  <c r="AF709" i="26" s="1"/>
  <c r="AE419" i="26"/>
  <c r="AE709" i="26" s="1"/>
  <c r="AD419" i="26"/>
  <c r="AD709" i="26" s="1"/>
  <c r="AC419" i="26"/>
  <c r="AC709" i="26" s="1"/>
  <c r="AB419" i="26"/>
  <c r="AB709" i="26" s="1"/>
  <c r="AA419" i="26"/>
  <c r="AA709" i="26" s="1"/>
  <c r="Z419" i="26"/>
  <c r="Z709" i="26" s="1"/>
  <c r="Y419" i="26"/>
  <c r="Y709" i="26" s="1"/>
  <c r="X419" i="26"/>
  <c r="X709" i="26" s="1"/>
  <c r="W419" i="26"/>
  <c r="W709" i="26" s="1"/>
  <c r="V419" i="26"/>
  <c r="AJ418" i="26"/>
  <c r="AJ708" i="26" s="1"/>
  <c r="AI418" i="26"/>
  <c r="AI708" i="26" s="1"/>
  <c r="AH418" i="26"/>
  <c r="AH708" i="26" s="1"/>
  <c r="AG418" i="26"/>
  <c r="AG708" i="26" s="1"/>
  <c r="AF418" i="26"/>
  <c r="AF708" i="26" s="1"/>
  <c r="AE418" i="26"/>
  <c r="AE708" i="26" s="1"/>
  <c r="AD418" i="26"/>
  <c r="AD708" i="26" s="1"/>
  <c r="AC418" i="26"/>
  <c r="AC708" i="26" s="1"/>
  <c r="AB418" i="26"/>
  <c r="AB708" i="26" s="1"/>
  <c r="AA418" i="26"/>
  <c r="AA708" i="26" s="1"/>
  <c r="Z418" i="26"/>
  <c r="Z708" i="26" s="1"/>
  <c r="Y418" i="26"/>
  <c r="Y708" i="26" s="1"/>
  <c r="X418" i="26"/>
  <c r="X708" i="26" s="1"/>
  <c r="W418" i="26"/>
  <c r="W708" i="26" s="1"/>
  <c r="V418" i="26"/>
  <c r="AJ417" i="26"/>
  <c r="AJ707" i="26" s="1"/>
  <c r="AI417" i="26"/>
  <c r="AI707" i="26" s="1"/>
  <c r="AH417" i="26"/>
  <c r="AH707" i="26" s="1"/>
  <c r="AG417" i="26"/>
  <c r="AG707" i="26" s="1"/>
  <c r="AF417" i="26"/>
  <c r="AF707" i="26" s="1"/>
  <c r="AE417" i="26"/>
  <c r="AE707" i="26" s="1"/>
  <c r="AD417" i="26"/>
  <c r="AD707" i="26" s="1"/>
  <c r="AC417" i="26"/>
  <c r="AC707" i="26" s="1"/>
  <c r="AB417" i="26"/>
  <c r="AB707" i="26" s="1"/>
  <c r="AA417" i="26"/>
  <c r="AA707" i="26" s="1"/>
  <c r="Z417" i="26"/>
  <c r="Z707" i="26" s="1"/>
  <c r="Y417" i="26"/>
  <c r="Y707" i="26" s="1"/>
  <c r="X417" i="26"/>
  <c r="X707" i="26" s="1"/>
  <c r="W417" i="26"/>
  <c r="W707" i="26" s="1"/>
  <c r="V417" i="26"/>
  <c r="AJ416" i="26"/>
  <c r="AJ706" i="26" s="1"/>
  <c r="AI416" i="26"/>
  <c r="AI706" i="26" s="1"/>
  <c r="AH416" i="26"/>
  <c r="AH706" i="26" s="1"/>
  <c r="AG416" i="26"/>
  <c r="AG706" i="26" s="1"/>
  <c r="AF416" i="26"/>
  <c r="AF706" i="26" s="1"/>
  <c r="AE416" i="26"/>
  <c r="AE706" i="26" s="1"/>
  <c r="AD416" i="26"/>
  <c r="AD706" i="26" s="1"/>
  <c r="AC416" i="26"/>
  <c r="AC706" i="26" s="1"/>
  <c r="AB416" i="26"/>
  <c r="AB706" i="26" s="1"/>
  <c r="AA416" i="26"/>
  <c r="AA706" i="26" s="1"/>
  <c r="Z416" i="26"/>
  <c r="Z706" i="26" s="1"/>
  <c r="Y416" i="26"/>
  <c r="Y706" i="26" s="1"/>
  <c r="X416" i="26"/>
  <c r="X706" i="26" s="1"/>
  <c r="W416" i="26"/>
  <c r="W706" i="26" s="1"/>
  <c r="V416" i="26"/>
  <c r="AJ415" i="26"/>
  <c r="AJ705" i="26" s="1"/>
  <c r="AI415" i="26"/>
  <c r="AI705" i="26" s="1"/>
  <c r="AH415" i="26"/>
  <c r="AH705" i="26" s="1"/>
  <c r="AG415" i="26"/>
  <c r="AG705" i="26" s="1"/>
  <c r="AF415" i="26"/>
  <c r="AF705" i="26" s="1"/>
  <c r="AE415" i="26"/>
  <c r="AE705" i="26" s="1"/>
  <c r="AD415" i="26"/>
  <c r="AD705" i="26" s="1"/>
  <c r="AC415" i="26"/>
  <c r="AC705" i="26" s="1"/>
  <c r="AB415" i="26"/>
  <c r="AB705" i="26" s="1"/>
  <c r="AA415" i="26"/>
  <c r="AA705" i="26" s="1"/>
  <c r="Z415" i="26"/>
  <c r="Z705" i="26" s="1"/>
  <c r="Y415" i="26"/>
  <c r="Y705" i="26" s="1"/>
  <c r="X415" i="26"/>
  <c r="X705" i="26" s="1"/>
  <c r="W415" i="26"/>
  <c r="W705" i="26" s="1"/>
  <c r="V415" i="26"/>
  <c r="AJ414" i="26"/>
  <c r="AJ704" i="26" s="1"/>
  <c r="AI414" i="26"/>
  <c r="AI704" i="26" s="1"/>
  <c r="AH414" i="26"/>
  <c r="AH704" i="26" s="1"/>
  <c r="AG414" i="26"/>
  <c r="AG704" i="26" s="1"/>
  <c r="AF414" i="26"/>
  <c r="AF704" i="26" s="1"/>
  <c r="AE414" i="26"/>
  <c r="AE704" i="26" s="1"/>
  <c r="AD414" i="26"/>
  <c r="AD704" i="26" s="1"/>
  <c r="AC414" i="26"/>
  <c r="AC704" i="26" s="1"/>
  <c r="AB414" i="26"/>
  <c r="AB704" i="26" s="1"/>
  <c r="AA414" i="26"/>
  <c r="AA704" i="26" s="1"/>
  <c r="Z414" i="26"/>
  <c r="Z704" i="26" s="1"/>
  <c r="Y414" i="26"/>
  <c r="Y704" i="26" s="1"/>
  <c r="X414" i="26"/>
  <c r="X704" i="26" s="1"/>
  <c r="W414" i="26"/>
  <c r="W704" i="26" s="1"/>
  <c r="V414" i="26"/>
  <c r="AJ413" i="26"/>
  <c r="AJ703" i="26" s="1"/>
  <c r="AI413" i="26"/>
  <c r="AI703" i="26" s="1"/>
  <c r="AH413" i="26"/>
  <c r="AH703" i="26" s="1"/>
  <c r="AG413" i="26"/>
  <c r="AG703" i="26" s="1"/>
  <c r="AF413" i="26"/>
  <c r="AF703" i="26" s="1"/>
  <c r="AE413" i="26"/>
  <c r="AE703" i="26" s="1"/>
  <c r="AD413" i="26"/>
  <c r="AD703" i="26" s="1"/>
  <c r="AC413" i="26"/>
  <c r="AC703" i="26" s="1"/>
  <c r="AB413" i="26"/>
  <c r="AB703" i="26" s="1"/>
  <c r="AA413" i="26"/>
  <c r="AA703" i="26" s="1"/>
  <c r="Z413" i="26"/>
  <c r="Z703" i="26" s="1"/>
  <c r="Y413" i="26"/>
  <c r="Y703" i="26" s="1"/>
  <c r="X413" i="26"/>
  <c r="X703" i="26" s="1"/>
  <c r="W413" i="26"/>
  <c r="W703" i="26" s="1"/>
  <c r="V413" i="26"/>
  <c r="AJ412" i="26"/>
  <c r="AJ702" i="26" s="1"/>
  <c r="AI412" i="26"/>
  <c r="AI702" i="26" s="1"/>
  <c r="AH412" i="26"/>
  <c r="AH702" i="26" s="1"/>
  <c r="AG412" i="26"/>
  <c r="AG702" i="26" s="1"/>
  <c r="AF412" i="26"/>
  <c r="AF702" i="26" s="1"/>
  <c r="AE412" i="26"/>
  <c r="AE702" i="26" s="1"/>
  <c r="AD412" i="26"/>
  <c r="AD702" i="26" s="1"/>
  <c r="AC412" i="26"/>
  <c r="AC702" i="26" s="1"/>
  <c r="AB412" i="26"/>
  <c r="AB702" i="26" s="1"/>
  <c r="AA412" i="26"/>
  <c r="AA702" i="26" s="1"/>
  <c r="Z412" i="26"/>
  <c r="Z702" i="26" s="1"/>
  <c r="Y412" i="26"/>
  <c r="Y702" i="26" s="1"/>
  <c r="X412" i="26"/>
  <c r="X702" i="26" s="1"/>
  <c r="W412" i="26"/>
  <c r="W702" i="26" s="1"/>
  <c r="V412" i="26"/>
  <c r="AJ411" i="26"/>
  <c r="AJ701" i="26" s="1"/>
  <c r="AI411" i="26"/>
  <c r="AI701" i="26" s="1"/>
  <c r="AH411" i="26"/>
  <c r="AH701" i="26" s="1"/>
  <c r="AG411" i="26"/>
  <c r="AG701" i="26" s="1"/>
  <c r="AF411" i="26"/>
  <c r="AF701" i="26" s="1"/>
  <c r="AE411" i="26"/>
  <c r="AE701" i="26" s="1"/>
  <c r="AD411" i="26"/>
  <c r="AD701" i="26" s="1"/>
  <c r="AC411" i="26"/>
  <c r="AC701" i="26" s="1"/>
  <c r="AB411" i="26"/>
  <c r="AB701" i="26" s="1"/>
  <c r="AA411" i="26"/>
  <c r="AA701" i="26" s="1"/>
  <c r="Z411" i="26"/>
  <c r="Z701" i="26" s="1"/>
  <c r="Y411" i="26"/>
  <c r="Y701" i="26" s="1"/>
  <c r="X411" i="26"/>
  <c r="X701" i="26" s="1"/>
  <c r="W411" i="26"/>
  <c r="W701" i="26" s="1"/>
  <c r="V411" i="26"/>
  <c r="AJ410" i="26"/>
  <c r="AJ700" i="26" s="1"/>
  <c r="AI410" i="26"/>
  <c r="AI700" i="26" s="1"/>
  <c r="AH410" i="26"/>
  <c r="AH700" i="26" s="1"/>
  <c r="AG410" i="26"/>
  <c r="AG700" i="26" s="1"/>
  <c r="AF410" i="26"/>
  <c r="AF700" i="26" s="1"/>
  <c r="AE410" i="26"/>
  <c r="AE700" i="26" s="1"/>
  <c r="AD410" i="26"/>
  <c r="AD700" i="26" s="1"/>
  <c r="AC410" i="26"/>
  <c r="AC700" i="26" s="1"/>
  <c r="AB410" i="26"/>
  <c r="AB700" i="26" s="1"/>
  <c r="AA410" i="26"/>
  <c r="AA700" i="26" s="1"/>
  <c r="Z410" i="26"/>
  <c r="Z700" i="26" s="1"/>
  <c r="Y410" i="26"/>
  <c r="Y700" i="26" s="1"/>
  <c r="X410" i="26"/>
  <c r="X700" i="26" s="1"/>
  <c r="W410" i="26"/>
  <c r="W700" i="26" s="1"/>
  <c r="V410" i="26"/>
  <c r="AJ409" i="26"/>
  <c r="AJ699" i="26" s="1"/>
  <c r="AI409" i="26"/>
  <c r="AI699" i="26" s="1"/>
  <c r="AH409" i="26"/>
  <c r="AH699" i="26" s="1"/>
  <c r="AG409" i="26"/>
  <c r="AG699" i="26" s="1"/>
  <c r="AF409" i="26"/>
  <c r="AF699" i="26" s="1"/>
  <c r="AE409" i="26"/>
  <c r="AE699" i="26" s="1"/>
  <c r="AD409" i="26"/>
  <c r="AD699" i="26" s="1"/>
  <c r="AC409" i="26"/>
  <c r="AC699" i="26" s="1"/>
  <c r="AB409" i="26"/>
  <c r="AB699" i="26" s="1"/>
  <c r="AA409" i="26"/>
  <c r="AA699" i="26" s="1"/>
  <c r="Z409" i="26"/>
  <c r="Z699" i="26" s="1"/>
  <c r="Y409" i="26"/>
  <c r="Y699" i="26" s="1"/>
  <c r="X409" i="26"/>
  <c r="X699" i="26" s="1"/>
  <c r="W409" i="26"/>
  <c r="W699" i="26" s="1"/>
  <c r="V409" i="26"/>
  <c r="AJ408" i="26"/>
  <c r="AJ698" i="26" s="1"/>
  <c r="AI408" i="26"/>
  <c r="AI698" i="26" s="1"/>
  <c r="AH408" i="26"/>
  <c r="AH698" i="26" s="1"/>
  <c r="AG408" i="26"/>
  <c r="AG698" i="26" s="1"/>
  <c r="AF408" i="26"/>
  <c r="AF698" i="26" s="1"/>
  <c r="AE408" i="26"/>
  <c r="AE698" i="26" s="1"/>
  <c r="AD408" i="26"/>
  <c r="AD698" i="26" s="1"/>
  <c r="AC408" i="26"/>
  <c r="AC698" i="26" s="1"/>
  <c r="AB408" i="26"/>
  <c r="AB698" i="26" s="1"/>
  <c r="AA408" i="26"/>
  <c r="AA698" i="26" s="1"/>
  <c r="Z408" i="26"/>
  <c r="Z698" i="26" s="1"/>
  <c r="Y408" i="26"/>
  <c r="Y698" i="26" s="1"/>
  <c r="X408" i="26"/>
  <c r="X698" i="26" s="1"/>
  <c r="W408" i="26"/>
  <c r="W698" i="26" s="1"/>
  <c r="V408" i="26"/>
  <c r="AJ407" i="26"/>
  <c r="AJ697" i="26" s="1"/>
  <c r="AI407" i="26"/>
  <c r="AI697" i="26" s="1"/>
  <c r="AH407" i="26"/>
  <c r="AH697" i="26" s="1"/>
  <c r="AG407" i="26"/>
  <c r="AG697" i="26" s="1"/>
  <c r="AF407" i="26"/>
  <c r="AF697" i="26" s="1"/>
  <c r="AE407" i="26"/>
  <c r="AE697" i="26" s="1"/>
  <c r="AD407" i="26"/>
  <c r="AD697" i="26" s="1"/>
  <c r="AC407" i="26"/>
  <c r="AC697" i="26" s="1"/>
  <c r="AB407" i="26"/>
  <c r="AB697" i="26" s="1"/>
  <c r="AA407" i="26"/>
  <c r="AA697" i="26" s="1"/>
  <c r="Z407" i="26"/>
  <c r="Z697" i="26" s="1"/>
  <c r="Y407" i="26"/>
  <c r="Y697" i="26" s="1"/>
  <c r="X407" i="26"/>
  <c r="X697" i="26" s="1"/>
  <c r="W407" i="26"/>
  <c r="W697" i="26" s="1"/>
  <c r="V407" i="26"/>
  <c r="AJ406" i="26"/>
  <c r="AJ696" i="26" s="1"/>
  <c r="AI406" i="26"/>
  <c r="AI696" i="26" s="1"/>
  <c r="AH406" i="26"/>
  <c r="AH696" i="26" s="1"/>
  <c r="AG406" i="26"/>
  <c r="AG696" i="26" s="1"/>
  <c r="AF406" i="26"/>
  <c r="AF696" i="26" s="1"/>
  <c r="AE406" i="26"/>
  <c r="AE696" i="26" s="1"/>
  <c r="AD406" i="26"/>
  <c r="AD696" i="26" s="1"/>
  <c r="AC406" i="26"/>
  <c r="AC696" i="26" s="1"/>
  <c r="AB406" i="26"/>
  <c r="AB696" i="26" s="1"/>
  <c r="AA406" i="26"/>
  <c r="AA696" i="26" s="1"/>
  <c r="Z406" i="26"/>
  <c r="Z696" i="26" s="1"/>
  <c r="Y406" i="26"/>
  <c r="Y696" i="26" s="1"/>
  <c r="X406" i="26"/>
  <c r="X696" i="26" s="1"/>
  <c r="W406" i="26"/>
  <c r="W696" i="26" s="1"/>
  <c r="V406" i="26"/>
  <c r="AJ405" i="26"/>
  <c r="AJ695" i="26" s="1"/>
  <c r="AI405" i="26"/>
  <c r="AI695" i="26" s="1"/>
  <c r="AH405" i="26"/>
  <c r="AH695" i="26" s="1"/>
  <c r="AG405" i="26"/>
  <c r="AG695" i="26" s="1"/>
  <c r="AF405" i="26"/>
  <c r="AF695" i="26" s="1"/>
  <c r="AE405" i="26"/>
  <c r="AE695" i="26" s="1"/>
  <c r="AD405" i="26"/>
  <c r="AD695" i="26" s="1"/>
  <c r="AC405" i="26"/>
  <c r="AC695" i="26" s="1"/>
  <c r="AB405" i="26"/>
  <c r="AB695" i="26" s="1"/>
  <c r="AA405" i="26"/>
  <c r="AA695" i="26" s="1"/>
  <c r="Z405" i="26"/>
  <c r="Z695" i="26" s="1"/>
  <c r="Y405" i="26"/>
  <c r="Y695" i="26" s="1"/>
  <c r="X405" i="26"/>
  <c r="X695" i="26" s="1"/>
  <c r="W405" i="26"/>
  <c r="W695" i="26" s="1"/>
  <c r="V405" i="26"/>
  <c r="AJ404" i="26"/>
  <c r="AJ694" i="26" s="1"/>
  <c r="AI404" i="26"/>
  <c r="AI694" i="26" s="1"/>
  <c r="AH404" i="26"/>
  <c r="AH694" i="26" s="1"/>
  <c r="AG404" i="26"/>
  <c r="AG694" i="26" s="1"/>
  <c r="AF404" i="26"/>
  <c r="AF694" i="26" s="1"/>
  <c r="AE404" i="26"/>
  <c r="AE694" i="26" s="1"/>
  <c r="AD404" i="26"/>
  <c r="AD694" i="26" s="1"/>
  <c r="AC404" i="26"/>
  <c r="AC694" i="26" s="1"/>
  <c r="AB404" i="26"/>
  <c r="AB694" i="26" s="1"/>
  <c r="AA404" i="26"/>
  <c r="AA694" i="26" s="1"/>
  <c r="Z404" i="26"/>
  <c r="Z694" i="26" s="1"/>
  <c r="Y404" i="26"/>
  <c r="Y694" i="26" s="1"/>
  <c r="X404" i="26"/>
  <c r="X694" i="26" s="1"/>
  <c r="W404" i="26"/>
  <c r="W694" i="26" s="1"/>
  <c r="V404" i="26"/>
  <c r="AJ403" i="26"/>
  <c r="AJ693" i="26" s="1"/>
  <c r="AI403" i="26"/>
  <c r="AI693" i="26" s="1"/>
  <c r="AH403" i="26"/>
  <c r="AH693" i="26" s="1"/>
  <c r="AG403" i="26"/>
  <c r="AG693" i="26" s="1"/>
  <c r="AF403" i="26"/>
  <c r="AF693" i="26" s="1"/>
  <c r="AE403" i="26"/>
  <c r="AE693" i="26" s="1"/>
  <c r="AD403" i="26"/>
  <c r="AD693" i="26" s="1"/>
  <c r="AC403" i="26"/>
  <c r="AC693" i="26" s="1"/>
  <c r="AB403" i="26"/>
  <c r="AB693" i="26" s="1"/>
  <c r="AA403" i="26"/>
  <c r="AA693" i="26" s="1"/>
  <c r="Z403" i="26"/>
  <c r="Z693" i="26" s="1"/>
  <c r="Y403" i="26"/>
  <c r="Y693" i="26" s="1"/>
  <c r="X403" i="26"/>
  <c r="X693" i="26" s="1"/>
  <c r="W403" i="26"/>
  <c r="W693" i="26" s="1"/>
  <c r="V403" i="26"/>
  <c r="AJ402" i="26"/>
  <c r="AJ692" i="26" s="1"/>
  <c r="AI402" i="26"/>
  <c r="AI692" i="26" s="1"/>
  <c r="AH402" i="26"/>
  <c r="AH692" i="26" s="1"/>
  <c r="AG402" i="26"/>
  <c r="AG692" i="26" s="1"/>
  <c r="AF402" i="26"/>
  <c r="AF692" i="26" s="1"/>
  <c r="AE402" i="26"/>
  <c r="AE692" i="26" s="1"/>
  <c r="AD402" i="26"/>
  <c r="AD692" i="26" s="1"/>
  <c r="AC402" i="26"/>
  <c r="AC692" i="26" s="1"/>
  <c r="AB402" i="26"/>
  <c r="AB692" i="26" s="1"/>
  <c r="AA402" i="26"/>
  <c r="AA692" i="26" s="1"/>
  <c r="Z402" i="26"/>
  <c r="Z692" i="26" s="1"/>
  <c r="Y402" i="26"/>
  <c r="Y692" i="26" s="1"/>
  <c r="X402" i="26"/>
  <c r="X692" i="26" s="1"/>
  <c r="W402" i="26"/>
  <c r="W692" i="26" s="1"/>
  <c r="V402" i="26"/>
  <c r="AJ401" i="26"/>
  <c r="AJ691" i="26" s="1"/>
  <c r="AI401" i="26"/>
  <c r="AI691" i="26" s="1"/>
  <c r="AH401" i="26"/>
  <c r="AH691" i="26" s="1"/>
  <c r="AG401" i="26"/>
  <c r="AG691" i="26" s="1"/>
  <c r="AF401" i="26"/>
  <c r="AF691" i="26" s="1"/>
  <c r="AE401" i="26"/>
  <c r="AE691" i="26" s="1"/>
  <c r="AD401" i="26"/>
  <c r="AD691" i="26" s="1"/>
  <c r="AC401" i="26"/>
  <c r="AC691" i="26" s="1"/>
  <c r="AB401" i="26"/>
  <c r="AB691" i="26" s="1"/>
  <c r="AA401" i="26"/>
  <c r="AA691" i="26" s="1"/>
  <c r="Z401" i="26"/>
  <c r="Z691" i="26" s="1"/>
  <c r="Y401" i="26"/>
  <c r="Y691" i="26" s="1"/>
  <c r="X401" i="26"/>
  <c r="X691" i="26" s="1"/>
  <c r="W401" i="26"/>
  <c r="W691" i="26" s="1"/>
  <c r="V401" i="26"/>
  <c r="AJ400" i="26"/>
  <c r="AJ690" i="26" s="1"/>
  <c r="AI400" i="26"/>
  <c r="AI690" i="26" s="1"/>
  <c r="AH400" i="26"/>
  <c r="AH690" i="26" s="1"/>
  <c r="AG400" i="26"/>
  <c r="AG690" i="26" s="1"/>
  <c r="AF400" i="26"/>
  <c r="AF690" i="26" s="1"/>
  <c r="AE400" i="26"/>
  <c r="AE690" i="26" s="1"/>
  <c r="AD400" i="26"/>
  <c r="AD690" i="26" s="1"/>
  <c r="AC400" i="26"/>
  <c r="AC690" i="26" s="1"/>
  <c r="AB400" i="26"/>
  <c r="AB690" i="26" s="1"/>
  <c r="AA400" i="26"/>
  <c r="AA690" i="26" s="1"/>
  <c r="Z400" i="26"/>
  <c r="Z690" i="26" s="1"/>
  <c r="Y400" i="26"/>
  <c r="Y690" i="26" s="1"/>
  <c r="X400" i="26"/>
  <c r="X690" i="26" s="1"/>
  <c r="W400" i="26"/>
  <c r="W690" i="26" s="1"/>
  <c r="V400" i="26"/>
  <c r="AJ399" i="26"/>
  <c r="AJ689" i="26" s="1"/>
  <c r="AI399" i="26"/>
  <c r="AI689" i="26" s="1"/>
  <c r="AH399" i="26"/>
  <c r="AH689" i="26" s="1"/>
  <c r="AG399" i="26"/>
  <c r="AG689" i="26" s="1"/>
  <c r="AF399" i="26"/>
  <c r="AF689" i="26" s="1"/>
  <c r="AE399" i="26"/>
  <c r="AE689" i="26" s="1"/>
  <c r="AD399" i="26"/>
  <c r="AD689" i="26" s="1"/>
  <c r="AC399" i="26"/>
  <c r="AC689" i="26" s="1"/>
  <c r="AB399" i="26"/>
  <c r="AB689" i="26" s="1"/>
  <c r="AA399" i="26"/>
  <c r="AA689" i="26" s="1"/>
  <c r="Z399" i="26"/>
  <c r="Z689" i="26" s="1"/>
  <c r="Y399" i="26"/>
  <c r="Y689" i="26" s="1"/>
  <c r="X399" i="26"/>
  <c r="X689" i="26" s="1"/>
  <c r="W399" i="26"/>
  <c r="W689" i="26" s="1"/>
  <c r="V399" i="26"/>
  <c r="AJ398" i="26"/>
  <c r="AJ688" i="26" s="1"/>
  <c r="AI398" i="26"/>
  <c r="AI688" i="26" s="1"/>
  <c r="AH398" i="26"/>
  <c r="AH688" i="26" s="1"/>
  <c r="AG398" i="26"/>
  <c r="AG688" i="26" s="1"/>
  <c r="AF398" i="26"/>
  <c r="AF688" i="26" s="1"/>
  <c r="AE398" i="26"/>
  <c r="AE688" i="26" s="1"/>
  <c r="AD398" i="26"/>
  <c r="AD688" i="26" s="1"/>
  <c r="AC398" i="26"/>
  <c r="AC688" i="26" s="1"/>
  <c r="AB398" i="26"/>
  <c r="AB688" i="26" s="1"/>
  <c r="AA398" i="26"/>
  <c r="AA688" i="26" s="1"/>
  <c r="Z398" i="26"/>
  <c r="Z688" i="26" s="1"/>
  <c r="Y398" i="26"/>
  <c r="Y688" i="26" s="1"/>
  <c r="X398" i="26"/>
  <c r="X688" i="26" s="1"/>
  <c r="W398" i="26"/>
  <c r="W688" i="26" s="1"/>
  <c r="V398" i="26"/>
  <c r="AJ397" i="26"/>
  <c r="AJ687" i="26" s="1"/>
  <c r="AI397" i="26"/>
  <c r="AI687" i="26" s="1"/>
  <c r="AH397" i="26"/>
  <c r="AH687" i="26" s="1"/>
  <c r="AG397" i="26"/>
  <c r="AG687" i="26" s="1"/>
  <c r="AF397" i="26"/>
  <c r="AF687" i="26" s="1"/>
  <c r="AE397" i="26"/>
  <c r="AE687" i="26" s="1"/>
  <c r="AD397" i="26"/>
  <c r="AD687" i="26" s="1"/>
  <c r="AC397" i="26"/>
  <c r="AC687" i="26" s="1"/>
  <c r="AB397" i="26"/>
  <c r="AB687" i="26" s="1"/>
  <c r="AA397" i="26"/>
  <c r="AA687" i="26" s="1"/>
  <c r="Z397" i="26"/>
  <c r="Z687" i="26" s="1"/>
  <c r="Y397" i="26"/>
  <c r="Y687" i="26" s="1"/>
  <c r="X397" i="26"/>
  <c r="X687" i="26" s="1"/>
  <c r="W397" i="26"/>
  <c r="W687" i="26" s="1"/>
  <c r="V397" i="26"/>
  <c r="AJ396" i="26"/>
  <c r="AJ686" i="26" s="1"/>
  <c r="AI396" i="26"/>
  <c r="AI686" i="26" s="1"/>
  <c r="AH396" i="26"/>
  <c r="AH686" i="26" s="1"/>
  <c r="AG396" i="26"/>
  <c r="AG686" i="26" s="1"/>
  <c r="AF396" i="26"/>
  <c r="AF686" i="26" s="1"/>
  <c r="AE396" i="26"/>
  <c r="AE686" i="26" s="1"/>
  <c r="AD396" i="26"/>
  <c r="AD686" i="26" s="1"/>
  <c r="AC396" i="26"/>
  <c r="AC686" i="26" s="1"/>
  <c r="AB396" i="26"/>
  <c r="AB686" i="26" s="1"/>
  <c r="AA396" i="26"/>
  <c r="AA686" i="26" s="1"/>
  <c r="Z396" i="26"/>
  <c r="Z686" i="26" s="1"/>
  <c r="Y396" i="26"/>
  <c r="Y686" i="26" s="1"/>
  <c r="X396" i="26"/>
  <c r="X686" i="26" s="1"/>
  <c r="W396" i="26"/>
  <c r="W686" i="26" s="1"/>
  <c r="V396" i="26"/>
  <c r="AJ395" i="26"/>
  <c r="AJ685" i="26" s="1"/>
  <c r="AI395" i="26"/>
  <c r="AI685" i="26" s="1"/>
  <c r="AH395" i="26"/>
  <c r="AH685" i="26" s="1"/>
  <c r="AG395" i="26"/>
  <c r="AG685" i="26" s="1"/>
  <c r="AF395" i="26"/>
  <c r="AF685" i="26" s="1"/>
  <c r="AE395" i="26"/>
  <c r="AE685" i="26" s="1"/>
  <c r="AD395" i="26"/>
  <c r="AD685" i="26" s="1"/>
  <c r="AC395" i="26"/>
  <c r="AC685" i="26" s="1"/>
  <c r="AB395" i="26"/>
  <c r="AB685" i="26" s="1"/>
  <c r="AA395" i="26"/>
  <c r="AA685" i="26" s="1"/>
  <c r="Z395" i="26"/>
  <c r="Z685" i="26" s="1"/>
  <c r="Y395" i="26"/>
  <c r="Y685" i="26" s="1"/>
  <c r="X395" i="26"/>
  <c r="X685" i="26" s="1"/>
  <c r="W395" i="26"/>
  <c r="W685" i="26" s="1"/>
  <c r="V395" i="26"/>
  <c r="AJ394" i="26"/>
  <c r="AJ684" i="26" s="1"/>
  <c r="AI394" i="26"/>
  <c r="AI684" i="26" s="1"/>
  <c r="AH394" i="26"/>
  <c r="AH684" i="26" s="1"/>
  <c r="AG394" i="26"/>
  <c r="AG684" i="26" s="1"/>
  <c r="AF394" i="26"/>
  <c r="AF684" i="26" s="1"/>
  <c r="AE394" i="26"/>
  <c r="AE684" i="26" s="1"/>
  <c r="AD394" i="26"/>
  <c r="AD684" i="26" s="1"/>
  <c r="AC394" i="26"/>
  <c r="AC684" i="26" s="1"/>
  <c r="AB394" i="26"/>
  <c r="AB684" i="26" s="1"/>
  <c r="AA394" i="26"/>
  <c r="AA684" i="26" s="1"/>
  <c r="Z394" i="26"/>
  <c r="Z684" i="26" s="1"/>
  <c r="Y394" i="26"/>
  <c r="Y684" i="26" s="1"/>
  <c r="X394" i="26"/>
  <c r="X684" i="26" s="1"/>
  <c r="W394" i="26"/>
  <c r="W684" i="26" s="1"/>
  <c r="V394" i="26"/>
  <c r="AJ393" i="26"/>
  <c r="AJ683" i="26" s="1"/>
  <c r="AI393" i="26"/>
  <c r="AI683" i="26" s="1"/>
  <c r="AH393" i="26"/>
  <c r="AH683" i="26" s="1"/>
  <c r="AG393" i="26"/>
  <c r="AG683" i="26" s="1"/>
  <c r="AF393" i="26"/>
  <c r="AF683" i="26" s="1"/>
  <c r="AE393" i="26"/>
  <c r="AE683" i="26" s="1"/>
  <c r="AD393" i="26"/>
  <c r="AD683" i="26" s="1"/>
  <c r="AC393" i="26"/>
  <c r="AC683" i="26" s="1"/>
  <c r="AB393" i="26"/>
  <c r="AB683" i="26" s="1"/>
  <c r="AA393" i="26"/>
  <c r="AA683" i="26" s="1"/>
  <c r="Z393" i="26"/>
  <c r="Z683" i="26" s="1"/>
  <c r="Y393" i="26"/>
  <c r="Y683" i="26" s="1"/>
  <c r="X393" i="26"/>
  <c r="X683" i="26" s="1"/>
  <c r="W393" i="26"/>
  <c r="W683" i="26" s="1"/>
  <c r="V393" i="26"/>
  <c r="AJ392" i="26"/>
  <c r="AJ682" i="26" s="1"/>
  <c r="AI392" i="26"/>
  <c r="AI682" i="26" s="1"/>
  <c r="AH392" i="26"/>
  <c r="AH682" i="26" s="1"/>
  <c r="AG392" i="26"/>
  <c r="AG682" i="26" s="1"/>
  <c r="AF392" i="26"/>
  <c r="AF682" i="26" s="1"/>
  <c r="AE392" i="26"/>
  <c r="AE682" i="26" s="1"/>
  <c r="AD392" i="26"/>
  <c r="AD682" i="26" s="1"/>
  <c r="AC392" i="26"/>
  <c r="AC682" i="26" s="1"/>
  <c r="AB392" i="26"/>
  <c r="AB682" i="26" s="1"/>
  <c r="AA392" i="26"/>
  <c r="AA682" i="26" s="1"/>
  <c r="Z392" i="26"/>
  <c r="Z682" i="26" s="1"/>
  <c r="Y392" i="26"/>
  <c r="Y682" i="26" s="1"/>
  <c r="X392" i="26"/>
  <c r="X682" i="26" s="1"/>
  <c r="W392" i="26"/>
  <c r="W682" i="26" s="1"/>
  <c r="V392" i="26"/>
  <c r="AJ391" i="26"/>
  <c r="AJ681" i="26" s="1"/>
  <c r="AI391" i="26"/>
  <c r="AI681" i="26" s="1"/>
  <c r="AH391" i="26"/>
  <c r="AH681" i="26" s="1"/>
  <c r="AG391" i="26"/>
  <c r="AG681" i="26" s="1"/>
  <c r="AF391" i="26"/>
  <c r="AF681" i="26" s="1"/>
  <c r="AE391" i="26"/>
  <c r="AE681" i="26" s="1"/>
  <c r="AD391" i="26"/>
  <c r="AD681" i="26" s="1"/>
  <c r="AC391" i="26"/>
  <c r="AC681" i="26" s="1"/>
  <c r="AB391" i="26"/>
  <c r="AB681" i="26" s="1"/>
  <c r="AA391" i="26"/>
  <c r="AA681" i="26" s="1"/>
  <c r="Z391" i="26"/>
  <c r="Z681" i="26" s="1"/>
  <c r="Y391" i="26"/>
  <c r="Y681" i="26" s="1"/>
  <c r="X391" i="26"/>
  <c r="X681" i="26" s="1"/>
  <c r="W391" i="26"/>
  <c r="W681" i="26" s="1"/>
  <c r="V391" i="26"/>
  <c r="AJ390" i="26"/>
  <c r="AJ680" i="26" s="1"/>
  <c r="AI390" i="26"/>
  <c r="AI680" i="26" s="1"/>
  <c r="AH390" i="26"/>
  <c r="AH680" i="26" s="1"/>
  <c r="AG390" i="26"/>
  <c r="AG680" i="26" s="1"/>
  <c r="AF390" i="26"/>
  <c r="AF680" i="26" s="1"/>
  <c r="AE390" i="26"/>
  <c r="AE680" i="26" s="1"/>
  <c r="AD390" i="26"/>
  <c r="AD680" i="26" s="1"/>
  <c r="AC390" i="26"/>
  <c r="AC680" i="26" s="1"/>
  <c r="AB390" i="26"/>
  <c r="AB680" i="26" s="1"/>
  <c r="AA390" i="26"/>
  <c r="AA680" i="26" s="1"/>
  <c r="Z390" i="26"/>
  <c r="Z680" i="26" s="1"/>
  <c r="Y390" i="26"/>
  <c r="Y680" i="26" s="1"/>
  <c r="X390" i="26"/>
  <c r="X680" i="26" s="1"/>
  <c r="W390" i="26"/>
  <c r="W680" i="26" s="1"/>
  <c r="V390" i="26"/>
  <c r="AJ389" i="26"/>
  <c r="AJ679" i="26" s="1"/>
  <c r="AI389" i="26"/>
  <c r="AI679" i="26" s="1"/>
  <c r="AH389" i="26"/>
  <c r="AH679" i="26" s="1"/>
  <c r="AG389" i="26"/>
  <c r="AG679" i="26" s="1"/>
  <c r="AF389" i="26"/>
  <c r="AF679" i="26" s="1"/>
  <c r="AE389" i="26"/>
  <c r="AE679" i="26" s="1"/>
  <c r="AD389" i="26"/>
  <c r="AD679" i="26" s="1"/>
  <c r="AC389" i="26"/>
  <c r="AC679" i="26" s="1"/>
  <c r="AB389" i="26"/>
  <c r="AB679" i="26" s="1"/>
  <c r="AA389" i="26"/>
  <c r="AA679" i="26" s="1"/>
  <c r="Z389" i="26"/>
  <c r="Z679" i="26" s="1"/>
  <c r="Y389" i="26"/>
  <c r="Y679" i="26" s="1"/>
  <c r="X389" i="26"/>
  <c r="X679" i="26" s="1"/>
  <c r="W389" i="26"/>
  <c r="W679" i="26" s="1"/>
  <c r="V389" i="26"/>
  <c r="AJ388" i="26"/>
  <c r="AJ678" i="26" s="1"/>
  <c r="AI388" i="26"/>
  <c r="AI678" i="26" s="1"/>
  <c r="AH388" i="26"/>
  <c r="AH678" i="26" s="1"/>
  <c r="AG388" i="26"/>
  <c r="AG678" i="26" s="1"/>
  <c r="AF388" i="26"/>
  <c r="AF678" i="26" s="1"/>
  <c r="AE388" i="26"/>
  <c r="AE678" i="26" s="1"/>
  <c r="AD388" i="26"/>
  <c r="AD678" i="26" s="1"/>
  <c r="AC388" i="26"/>
  <c r="AC678" i="26" s="1"/>
  <c r="AB388" i="26"/>
  <c r="AB678" i="26" s="1"/>
  <c r="AA388" i="26"/>
  <c r="AA678" i="26" s="1"/>
  <c r="Z388" i="26"/>
  <c r="Z678" i="26" s="1"/>
  <c r="Y388" i="26"/>
  <c r="Y678" i="26" s="1"/>
  <c r="X388" i="26"/>
  <c r="X678" i="26" s="1"/>
  <c r="W388" i="26"/>
  <c r="W678" i="26" s="1"/>
  <c r="V388" i="26"/>
  <c r="AJ387" i="26"/>
  <c r="AJ677" i="26" s="1"/>
  <c r="AI387" i="26"/>
  <c r="AI677" i="26" s="1"/>
  <c r="AH387" i="26"/>
  <c r="AH677" i="26" s="1"/>
  <c r="AG387" i="26"/>
  <c r="AG677" i="26" s="1"/>
  <c r="AF387" i="26"/>
  <c r="AF677" i="26" s="1"/>
  <c r="AE387" i="26"/>
  <c r="AE677" i="26" s="1"/>
  <c r="AD387" i="26"/>
  <c r="AD677" i="26" s="1"/>
  <c r="AC387" i="26"/>
  <c r="AC677" i="26" s="1"/>
  <c r="AB387" i="26"/>
  <c r="AB677" i="26" s="1"/>
  <c r="AA387" i="26"/>
  <c r="AA677" i="26" s="1"/>
  <c r="Z387" i="26"/>
  <c r="Z677" i="26" s="1"/>
  <c r="Y387" i="26"/>
  <c r="Y677" i="26" s="1"/>
  <c r="X387" i="26"/>
  <c r="X677" i="26" s="1"/>
  <c r="W387" i="26"/>
  <c r="W677" i="26" s="1"/>
  <c r="V387" i="26"/>
  <c r="AJ386" i="26"/>
  <c r="AJ676" i="26" s="1"/>
  <c r="AI386" i="26"/>
  <c r="AI676" i="26" s="1"/>
  <c r="AH386" i="26"/>
  <c r="AH676" i="26" s="1"/>
  <c r="AG386" i="26"/>
  <c r="AG676" i="26" s="1"/>
  <c r="AF386" i="26"/>
  <c r="AF676" i="26" s="1"/>
  <c r="AE386" i="26"/>
  <c r="AE676" i="26" s="1"/>
  <c r="AD386" i="26"/>
  <c r="AD676" i="26" s="1"/>
  <c r="AC386" i="26"/>
  <c r="AC676" i="26" s="1"/>
  <c r="AB386" i="26"/>
  <c r="AB676" i="26" s="1"/>
  <c r="AA386" i="26"/>
  <c r="AA676" i="26" s="1"/>
  <c r="Z386" i="26"/>
  <c r="Z676" i="26" s="1"/>
  <c r="Y386" i="26"/>
  <c r="Y676" i="26" s="1"/>
  <c r="X386" i="26"/>
  <c r="X676" i="26" s="1"/>
  <c r="W386" i="26"/>
  <c r="W676" i="26" s="1"/>
  <c r="V386" i="26"/>
  <c r="AJ385" i="26"/>
  <c r="AJ675" i="26" s="1"/>
  <c r="AI385" i="26"/>
  <c r="AI675" i="26" s="1"/>
  <c r="AH385" i="26"/>
  <c r="AH675" i="26" s="1"/>
  <c r="AG385" i="26"/>
  <c r="AG675" i="26" s="1"/>
  <c r="AF385" i="26"/>
  <c r="AF675" i="26" s="1"/>
  <c r="AE385" i="26"/>
  <c r="AE675" i="26" s="1"/>
  <c r="AD385" i="26"/>
  <c r="AD675" i="26" s="1"/>
  <c r="AC385" i="26"/>
  <c r="AC675" i="26" s="1"/>
  <c r="AB385" i="26"/>
  <c r="AB675" i="26" s="1"/>
  <c r="AA385" i="26"/>
  <c r="AA675" i="26" s="1"/>
  <c r="Z385" i="26"/>
  <c r="Z675" i="26" s="1"/>
  <c r="Y385" i="26"/>
  <c r="Y675" i="26" s="1"/>
  <c r="X385" i="26"/>
  <c r="X675" i="26" s="1"/>
  <c r="W385" i="26"/>
  <c r="W675" i="26" s="1"/>
  <c r="V385" i="26"/>
  <c r="AJ384" i="26"/>
  <c r="AJ674" i="26" s="1"/>
  <c r="AI384" i="26"/>
  <c r="AI674" i="26" s="1"/>
  <c r="AH384" i="26"/>
  <c r="AH674" i="26" s="1"/>
  <c r="AG384" i="26"/>
  <c r="AG674" i="26" s="1"/>
  <c r="AF384" i="26"/>
  <c r="AF674" i="26" s="1"/>
  <c r="AE384" i="26"/>
  <c r="AE674" i="26" s="1"/>
  <c r="AD384" i="26"/>
  <c r="AD674" i="26" s="1"/>
  <c r="AC384" i="26"/>
  <c r="AC674" i="26" s="1"/>
  <c r="AB384" i="26"/>
  <c r="AB674" i="26" s="1"/>
  <c r="AA384" i="26"/>
  <c r="AA674" i="26" s="1"/>
  <c r="Z384" i="26"/>
  <c r="Z674" i="26" s="1"/>
  <c r="Y384" i="26"/>
  <c r="Y674" i="26" s="1"/>
  <c r="X384" i="26"/>
  <c r="X674" i="26" s="1"/>
  <c r="W384" i="26"/>
  <c r="W674" i="26" s="1"/>
  <c r="V384" i="26"/>
  <c r="AJ383" i="26"/>
  <c r="AJ673" i="26" s="1"/>
  <c r="AI383" i="26"/>
  <c r="AI673" i="26" s="1"/>
  <c r="AH383" i="26"/>
  <c r="AH673" i="26" s="1"/>
  <c r="AG383" i="26"/>
  <c r="AG673" i="26" s="1"/>
  <c r="AF383" i="26"/>
  <c r="AF673" i="26" s="1"/>
  <c r="AE383" i="26"/>
  <c r="AE673" i="26" s="1"/>
  <c r="AD383" i="26"/>
  <c r="AD673" i="26" s="1"/>
  <c r="AC383" i="26"/>
  <c r="AC673" i="26" s="1"/>
  <c r="AB383" i="26"/>
  <c r="AB673" i="26" s="1"/>
  <c r="AA383" i="26"/>
  <c r="AA673" i="26" s="1"/>
  <c r="Z383" i="26"/>
  <c r="Z673" i="26" s="1"/>
  <c r="Y383" i="26"/>
  <c r="Y673" i="26" s="1"/>
  <c r="X383" i="26"/>
  <c r="X673" i="26" s="1"/>
  <c r="W383" i="26"/>
  <c r="W673" i="26" s="1"/>
  <c r="V383" i="26"/>
  <c r="AJ382" i="26"/>
  <c r="AJ672" i="26" s="1"/>
  <c r="AI382" i="26"/>
  <c r="AI672" i="26" s="1"/>
  <c r="AH382" i="26"/>
  <c r="AH672" i="26" s="1"/>
  <c r="AG382" i="26"/>
  <c r="AG672" i="26" s="1"/>
  <c r="AF382" i="26"/>
  <c r="AF672" i="26" s="1"/>
  <c r="AE382" i="26"/>
  <c r="AE672" i="26" s="1"/>
  <c r="AD382" i="26"/>
  <c r="AD672" i="26" s="1"/>
  <c r="AC382" i="26"/>
  <c r="AC672" i="26" s="1"/>
  <c r="AB382" i="26"/>
  <c r="AB672" i="26" s="1"/>
  <c r="AA382" i="26"/>
  <c r="AA672" i="26" s="1"/>
  <c r="Z382" i="26"/>
  <c r="Z672" i="26" s="1"/>
  <c r="Y382" i="26"/>
  <c r="Y672" i="26" s="1"/>
  <c r="X382" i="26"/>
  <c r="X672" i="26" s="1"/>
  <c r="W382" i="26"/>
  <c r="W672" i="26" s="1"/>
  <c r="V382" i="26"/>
  <c r="AJ381" i="26"/>
  <c r="AJ671" i="26" s="1"/>
  <c r="AI381" i="26"/>
  <c r="AI671" i="26" s="1"/>
  <c r="AH381" i="26"/>
  <c r="AH671" i="26" s="1"/>
  <c r="AG381" i="26"/>
  <c r="AG671" i="26" s="1"/>
  <c r="AF381" i="26"/>
  <c r="AF671" i="26" s="1"/>
  <c r="AE381" i="26"/>
  <c r="AE671" i="26" s="1"/>
  <c r="AD381" i="26"/>
  <c r="AD671" i="26" s="1"/>
  <c r="AC381" i="26"/>
  <c r="AC671" i="26" s="1"/>
  <c r="AB381" i="26"/>
  <c r="AB671" i="26" s="1"/>
  <c r="AA381" i="26"/>
  <c r="AA671" i="26" s="1"/>
  <c r="Z381" i="26"/>
  <c r="Z671" i="26" s="1"/>
  <c r="Y381" i="26"/>
  <c r="Y671" i="26" s="1"/>
  <c r="X381" i="26"/>
  <c r="X671" i="26" s="1"/>
  <c r="W381" i="26"/>
  <c r="W671" i="26" s="1"/>
  <c r="V381" i="26"/>
  <c r="AJ380" i="26"/>
  <c r="AJ670" i="26" s="1"/>
  <c r="AI380" i="26"/>
  <c r="AI670" i="26" s="1"/>
  <c r="AH380" i="26"/>
  <c r="AH670" i="26" s="1"/>
  <c r="AG380" i="26"/>
  <c r="AG670" i="26" s="1"/>
  <c r="AF380" i="26"/>
  <c r="AF670" i="26" s="1"/>
  <c r="AE380" i="26"/>
  <c r="AE670" i="26" s="1"/>
  <c r="AD380" i="26"/>
  <c r="AD670" i="26" s="1"/>
  <c r="AC380" i="26"/>
  <c r="AC670" i="26" s="1"/>
  <c r="AB380" i="26"/>
  <c r="AB670" i="26" s="1"/>
  <c r="AA380" i="26"/>
  <c r="AA670" i="26" s="1"/>
  <c r="Z380" i="26"/>
  <c r="Z670" i="26" s="1"/>
  <c r="Y380" i="26"/>
  <c r="Y670" i="26" s="1"/>
  <c r="X380" i="26"/>
  <c r="X670" i="26" s="1"/>
  <c r="W380" i="26"/>
  <c r="W670" i="26" s="1"/>
  <c r="V380" i="26"/>
  <c r="AJ379" i="26"/>
  <c r="AJ669" i="26" s="1"/>
  <c r="AI379" i="26"/>
  <c r="AI669" i="26" s="1"/>
  <c r="AH379" i="26"/>
  <c r="AH669" i="26" s="1"/>
  <c r="AG379" i="26"/>
  <c r="AG669" i="26" s="1"/>
  <c r="AF379" i="26"/>
  <c r="AF669" i="26" s="1"/>
  <c r="AE379" i="26"/>
  <c r="AE669" i="26" s="1"/>
  <c r="AD379" i="26"/>
  <c r="AD669" i="26" s="1"/>
  <c r="AC379" i="26"/>
  <c r="AC669" i="26" s="1"/>
  <c r="AB379" i="26"/>
  <c r="AB669" i="26" s="1"/>
  <c r="AA379" i="26"/>
  <c r="AA669" i="26" s="1"/>
  <c r="Z379" i="26"/>
  <c r="Z669" i="26" s="1"/>
  <c r="Y379" i="26"/>
  <c r="Y669" i="26" s="1"/>
  <c r="X379" i="26"/>
  <c r="X669" i="26" s="1"/>
  <c r="W379" i="26"/>
  <c r="W669" i="26" s="1"/>
  <c r="V379" i="26"/>
  <c r="AJ378" i="26"/>
  <c r="AJ668" i="26" s="1"/>
  <c r="AI378" i="26"/>
  <c r="AI668" i="26" s="1"/>
  <c r="AH378" i="26"/>
  <c r="AH668" i="26" s="1"/>
  <c r="AG378" i="26"/>
  <c r="AG668" i="26" s="1"/>
  <c r="AF378" i="26"/>
  <c r="AF668" i="26" s="1"/>
  <c r="AE378" i="26"/>
  <c r="AE668" i="26" s="1"/>
  <c r="AD378" i="26"/>
  <c r="AD668" i="26" s="1"/>
  <c r="AC378" i="26"/>
  <c r="AC668" i="26" s="1"/>
  <c r="AB378" i="26"/>
  <c r="AB668" i="26" s="1"/>
  <c r="AA378" i="26"/>
  <c r="AA668" i="26" s="1"/>
  <c r="Z378" i="26"/>
  <c r="Z668" i="26" s="1"/>
  <c r="Y378" i="26"/>
  <c r="Y668" i="26" s="1"/>
  <c r="X378" i="26"/>
  <c r="X668" i="26" s="1"/>
  <c r="W378" i="26"/>
  <c r="W668" i="26" s="1"/>
  <c r="V378" i="26"/>
  <c r="AJ377" i="26"/>
  <c r="AJ667" i="26" s="1"/>
  <c r="AI377" i="26"/>
  <c r="AI667" i="26" s="1"/>
  <c r="AH377" i="26"/>
  <c r="AH667" i="26" s="1"/>
  <c r="AG377" i="26"/>
  <c r="AG667" i="26" s="1"/>
  <c r="AF377" i="26"/>
  <c r="AF667" i="26" s="1"/>
  <c r="AE377" i="26"/>
  <c r="AE667" i="26" s="1"/>
  <c r="AD377" i="26"/>
  <c r="AD667" i="26" s="1"/>
  <c r="AC377" i="26"/>
  <c r="AC667" i="26" s="1"/>
  <c r="AB377" i="26"/>
  <c r="AB667" i="26" s="1"/>
  <c r="AA377" i="26"/>
  <c r="AA667" i="26" s="1"/>
  <c r="Z377" i="26"/>
  <c r="Z667" i="26" s="1"/>
  <c r="Y377" i="26"/>
  <c r="Y667" i="26" s="1"/>
  <c r="X377" i="26"/>
  <c r="X667" i="26" s="1"/>
  <c r="W377" i="26"/>
  <c r="W667" i="26" s="1"/>
  <c r="V377" i="26"/>
  <c r="AJ376" i="26"/>
  <c r="AJ666" i="26" s="1"/>
  <c r="AI376" i="26"/>
  <c r="AI666" i="26" s="1"/>
  <c r="AH376" i="26"/>
  <c r="AH666" i="26" s="1"/>
  <c r="AG376" i="26"/>
  <c r="AG666" i="26" s="1"/>
  <c r="AF376" i="26"/>
  <c r="AF666" i="26" s="1"/>
  <c r="AE376" i="26"/>
  <c r="AE666" i="26" s="1"/>
  <c r="AD376" i="26"/>
  <c r="AD666" i="26" s="1"/>
  <c r="AC376" i="26"/>
  <c r="AC666" i="26" s="1"/>
  <c r="AB376" i="26"/>
  <c r="AB666" i="26" s="1"/>
  <c r="AA376" i="26"/>
  <c r="AA666" i="26" s="1"/>
  <c r="Z376" i="26"/>
  <c r="Z666" i="26" s="1"/>
  <c r="Y376" i="26"/>
  <c r="Y666" i="26" s="1"/>
  <c r="X376" i="26"/>
  <c r="X666" i="26" s="1"/>
  <c r="W376" i="26"/>
  <c r="W666" i="26" s="1"/>
  <c r="V376" i="26"/>
  <c r="AJ375" i="26"/>
  <c r="AJ665" i="26" s="1"/>
  <c r="AI375" i="26"/>
  <c r="AI665" i="26" s="1"/>
  <c r="AH375" i="26"/>
  <c r="AH665" i="26" s="1"/>
  <c r="AG375" i="26"/>
  <c r="AG665" i="26" s="1"/>
  <c r="AF375" i="26"/>
  <c r="AF665" i="26" s="1"/>
  <c r="AE375" i="26"/>
  <c r="AE665" i="26" s="1"/>
  <c r="AD375" i="26"/>
  <c r="AD665" i="26" s="1"/>
  <c r="AC375" i="26"/>
  <c r="AC665" i="26" s="1"/>
  <c r="AB375" i="26"/>
  <c r="AB665" i="26" s="1"/>
  <c r="AA375" i="26"/>
  <c r="AA665" i="26" s="1"/>
  <c r="Z375" i="26"/>
  <c r="Z665" i="26" s="1"/>
  <c r="Y375" i="26"/>
  <c r="Y665" i="26" s="1"/>
  <c r="X375" i="26"/>
  <c r="X665" i="26" s="1"/>
  <c r="W375" i="26"/>
  <c r="W665" i="26" s="1"/>
  <c r="V375" i="26"/>
  <c r="AJ374" i="26"/>
  <c r="AJ664" i="26" s="1"/>
  <c r="AI374" i="26"/>
  <c r="AI664" i="26" s="1"/>
  <c r="AH374" i="26"/>
  <c r="AH664" i="26" s="1"/>
  <c r="AG374" i="26"/>
  <c r="AG664" i="26" s="1"/>
  <c r="AF374" i="26"/>
  <c r="AF664" i="26" s="1"/>
  <c r="AE374" i="26"/>
  <c r="AE664" i="26" s="1"/>
  <c r="AD374" i="26"/>
  <c r="AD664" i="26" s="1"/>
  <c r="AC374" i="26"/>
  <c r="AC664" i="26" s="1"/>
  <c r="AB374" i="26"/>
  <c r="AB664" i="26" s="1"/>
  <c r="AA374" i="26"/>
  <c r="AA664" i="26" s="1"/>
  <c r="Z374" i="26"/>
  <c r="Z664" i="26" s="1"/>
  <c r="Y374" i="26"/>
  <c r="Y664" i="26" s="1"/>
  <c r="X374" i="26"/>
  <c r="X664" i="26" s="1"/>
  <c r="W374" i="26"/>
  <c r="W664" i="26" s="1"/>
  <c r="V374" i="26"/>
  <c r="AJ373" i="26"/>
  <c r="AJ663" i="26" s="1"/>
  <c r="AI373" i="26"/>
  <c r="AI663" i="26" s="1"/>
  <c r="AH373" i="26"/>
  <c r="AH663" i="26" s="1"/>
  <c r="AG373" i="26"/>
  <c r="AG663" i="26" s="1"/>
  <c r="AF373" i="26"/>
  <c r="AF663" i="26" s="1"/>
  <c r="AE373" i="26"/>
  <c r="AE663" i="26" s="1"/>
  <c r="AD373" i="26"/>
  <c r="AD663" i="26" s="1"/>
  <c r="AC373" i="26"/>
  <c r="AC663" i="26" s="1"/>
  <c r="AB373" i="26"/>
  <c r="AB663" i="26" s="1"/>
  <c r="AA373" i="26"/>
  <c r="AA663" i="26" s="1"/>
  <c r="Z373" i="26"/>
  <c r="Z663" i="26" s="1"/>
  <c r="Y373" i="26"/>
  <c r="Y663" i="26" s="1"/>
  <c r="X373" i="26"/>
  <c r="X663" i="26" s="1"/>
  <c r="W373" i="26"/>
  <c r="W663" i="26" s="1"/>
  <c r="V373" i="26"/>
  <c r="AJ372" i="26"/>
  <c r="AJ662" i="26" s="1"/>
  <c r="AI372" i="26"/>
  <c r="AI662" i="26" s="1"/>
  <c r="AH372" i="26"/>
  <c r="AH662" i="26" s="1"/>
  <c r="AG372" i="26"/>
  <c r="AG662" i="26" s="1"/>
  <c r="AF372" i="26"/>
  <c r="AF662" i="26" s="1"/>
  <c r="AE372" i="26"/>
  <c r="AE662" i="26" s="1"/>
  <c r="AD372" i="26"/>
  <c r="AD662" i="26" s="1"/>
  <c r="AC372" i="26"/>
  <c r="AC662" i="26" s="1"/>
  <c r="AB372" i="26"/>
  <c r="AB662" i="26" s="1"/>
  <c r="AA372" i="26"/>
  <c r="AA662" i="26" s="1"/>
  <c r="Z372" i="26"/>
  <c r="Z662" i="26" s="1"/>
  <c r="Y372" i="26"/>
  <c r="Y662" i="26" s="1"/>
  <c r="X372" i="26"/>
  <c r="X662" i="26" s="1"/>
  <c r="W372" i="26"/>
  <c r="W662" i="26" s="1"/>
  <c r="V372" i="26"/>
  <c r="AJ371" i="26"/>
  <c r="AJ661" i="26" s="1"/>
  <c r="AI371" i="26"/>
  <c r="AI661" i="26" s="1"/>
  <c r="AH371" i="26"/>
  <c r="AH661" i="26" s="1"/>
  <c r="AG371" i="26"/>
  <c r="AG661" i="26" s="1"/>
  <c r="AF371" i="26"/>
  <c r="AF661" i="26" s="1"/>
  <c r="AE371" i="26"/>
  <c r="AE661" i="26" s="1"/>
  <c r="AD371" i="26"/>
  <c r="AD661" i="26" s="1"/>
  <c r="AC371" i="26"/>
  <c r="AC661" i="26" s="1"/>
  <c r="AB371" i="26"/>
  <c r="AB661" i="26" s="1"/>
  <c r="AA371" i="26"/>
  <c r="AA661" i="26" s="1"/>
  <c r="Z371" i="26"/>
  <c r="Z661" i="26" s="1"/>
  <c r="Y371" i="26"/>
  <c r="Y661" i="26" s="1"/>
  <c r="X371" i="26"/>
  <c r="X661" i="26" s="1"/>
  <c r="W371" i="26"/>
  <c r="W661" i="26" s="1"/>
  <c r="V371" i="26"/>
  <c r="AJ370" i="26"/>
  <c r="AJ660" i="26" s="1"/>
  <c r="AI370" i="26"/>
  <c r="AI660" i="26" s="1"/>
  <c r="AH370" i="26"/>
  <c r="AH660" i="26" s="1"/>
  <c r="AG370" i="26"/>
  <c r="AG660" i="26" s="1"/>
  <c r="AF370" i="26"/>
  <c r="AF660" i="26" s="1"/>
  <c r="AE370" i="26"/>
  <c r="AE660" i="26" s="1"/>
  <c r="AD370" i="26"/>
  <c r="AD660" i="26" s="1"/>
  <c r="AC370" i="26"/>
  <c r="AC660" i="26" s="1"/>
  <c r="AB370" i="26"/>
  <c r="AB660" i="26" s="1"/>
  <c r="AA370" i="26"/>
  <c r="AA660" i="26" s="1"/>
  <c r="Z370" i="26"/>
  <c r="Z660" i="26" s="1"/>
  <c r="Y370" i="26"/>
  <c r="Y660" i="26" s="1"/>
  <c r="X370" i="26"/>
  <c r="X660" i="26" s="1"/>
  <c r="W370" i="26"/>
  <c r="W660" i="26" s="1"/>
  <c r="V370" i="26"/>
  <c r="AJ369" i="26"/>
  <c r="AJ659" i="26" s="1"/>
  <c r="AI369" i="26"/>
  <c r="AI659" i="26" s="1"/>
  <c r="AH369" i="26"/>
  <c r="AH659" i="26" s="1"/>
  <c r="AG369" i="26"/>
  <c r="AG659" i="26" s="1"/>
  <c r="AF369" i="26"/>
  <c r="AF659" i="26" s="1"/>
  <c r="AE369" i="26"/>
  <c r="AE659" i="26" s="1"/>
  <c r="AD369" i="26"/>
  <c r="AD659" i="26" s="1"/>
  <c r="AC369" i="26"/>
  <c r="AC659" i="26" s="1"/>
  <c r="AB369" i="26"/>
  <c r="AB659" i="26" s="1"/>
  <c r="AA369" i="26"/>
  <c r="AA659" i="26" s="1"/>
  <c r="Z369" i="26"/>
  <c r="Z659" i="26" s="1"/>
  <c r="Y369" i="26"/>
  <c r="Y659" i="26" s="1"/>
  <c r="X369" i="26"/>
  <c r="X659" i="26" s="1"/>
  <c r="W369" i="26"/>
  <c r="W659" i="26" s="1"/>
  <c r="V369" i="26"/>
  <c r="AJ368" i="26"/>
  <c r="AJ658" i="26" s="1"/>
  <c r="AI368" i="26"/>
  <c r="AI658" i="26" s="1"/>
  <c r="AH368" i="26"/>
  <c r="AH658" i="26" s="1"/>
  <c r="AG368" i="26"/>
  <c r="AG658" i="26" s="1"/>
  <c r="AF368" i="26"/>
  <c r="AF658" i="26" s="1"/>
  <c r="AE368" i="26"/>
  <c r="AE658" i="26" s="1"/>
  <c r="AD368" i="26"/>
  <c r="AD658" i="26" s="1"/>
  <c r="AC368" i="26"/>
  <c r="AC658" i="26" s="1"/>
  <c r="AB368" i="26"/>
  <c r="AB658" i="26" s="1"/>
  <c r="AA368" i="26"/>
  <c r="AA658" i="26" s="1"/>
  <c r="Z368" i="26"/>
  <c r="Z658" i="26" s="1"/>
  <c r="Y368" i="26"/>
  <c r="Y658" i="26" s="1"/>
  <c r="X368" i="26"/>
  <c r="X658" i="26" s="1"/>
  <c r="W368" i="26"/>
  <c r="W658" i="26" s="1"/>
  <c r="V368" i="26"/>
  <c r="AJ367" i="26"/>
  <c r="AJ657" i="26" s="1"/>
  <c r="AI367" i="26"/>
  <c r="AI657" i="26" s="1"/>
  <c r="AH367" i="26"/>
  <c r="AH657" i="26" s="1"/>
  <c r="AG367" i="26"/>
  <c r="AG657" i="26" s="1"/>
  <c r="AF367" i="26"/>
  <c r="AF657" i="26" s="1"/>
  <c r="AE367" i="26"/>
  <c r="AE657" i="26" s="1"/>
  <c r="AD367" i="26"/>
  <c r="AD657" i="26" s="1"/>
  <c r="AC367" i="26"/>
  <c r="AC657" i="26" s="1"/>
  <c r="AB367" i="26"/>
  <c r="AB657" i="26" s="1"/>
  <c r="AA367" i="26"/>
  <c r="AA657" i="26" s="1"/>
  <c r="Z367" i="26"/>
  <c r="Z657" i="26" s="1"/>
  <c r="Y367" i="26"/>
  <c r="Y657" i="26" s="1"/>
  <c r="X367" i="26"/>
  <c r="X657" i="26" s="1"/>
  <c r="W367" i="26"/>
  <c r="W657" i="26" s="1"/>
  <c r="V367" i="26"/>
  <c r="AJ366" i="26"/>
  <c r="AJ656" i="26" s="1"/>
  <c r="AI366" i="26"/>
  <c r="AI656" i="26" s="1"/>
  <c r="AH366" i="26"/>
  <c r="AH656" i="26" s="1"/>
  <c r="AG366" i="26"/>
  <c r="AG656" i="26" s="1"/>
  <c r="AF366" i="26"/>
  <c r="AF656" i="26" s="1"/>
  <c r="AE366" i="26"/>
  <c r="AE656" i="26" s="1"/>
  <c r="AD366" i="26"/>
  <c r="AD656" i="26" s="1"/>
  <c r="AC366" i="26"/>
  <c r="AC656" i="26" s="1"/>
  <c r="AB366" i="26"/>
  <c r="AB656" i="26" s="1"/>
  <c r="AA366" i="26"/>
  <c r="AA656" i="26" s="1"/>
  <c r="Z366" i="26"/>
  <c r="Z656" i="26" s="1"/>
  <c r="Y366" i="26"/>
  <c r="Y656" i="26" s="1"/>
  <c r="X366" i="26"/>
  <c r="X656" i="26" s="1"/>
  <c r="W366" i="26"/>
  <c r="W656" i="26" s="1"/>
  <c r="V366" i="26"/>
  <c r="AJ365" i="26"/>
  <c r="AJ655" i="26" s="1"/>
  <c r="AI365" i="26"/>
  <c r="AI655" i="26" s="1"/>
  <c r="AH365" i="26"/>
  <c r="AH655" i="26" s="1"/>
  <c r="AG365" i="26"/>
  <c r="AG655" i="26" s="1"/>
  <c r="AF365" i="26"/>
  <c r="AF655" i="26" s="1"/>
  <c r="AE365" i="26"/>
  <c r="AE655" i="26" s="1"/>
  <c r="AD365" i="26"/>
  <c r="AD655" i="26" s="1"/>
  <c r="AC365" i="26"/>
  <c r="AC655" i="26" s="1"/>
  <c r="AB365" i="26"/>
  <c r="AB655" i="26" s="1"/>
  <c r="AA365" i="26"/>
  <c r="AA655" i="26" s="1"/>
  <c r="Z365" i="26"/>
  <c r="Z655" i="26" s="1"/>
  <c r="Y365" i="26"/>
  <c r="Y655" i="26" s="1"/>
  <c r="X365" i="26"/>
  <c r="X655" i="26" s="1"/>
  <c r="W365" i="26"/>
  <c r="W655" i="26" s="1"/>
  <c r="V365" i="26"/>
  <c r="AJ364" i="26"/>
  <c r="AJ654" i="26" s="1"/>
  <c r="AI364" i="26"/>
  <c r="AI654" i="26" s="1"/>
  <c r="AH364" i="26"/>
  <c r="AH654" i="26" s="1"/>
  <c r="AG364" i="26"/>
  <c r="AG654" i="26" s="1"/>
  <c r="AF364" i="26"/>
  <c r="AF654" i="26" s="1"/>
  <c r="AE364" i="26"/>
  <c r="AE654" i="26" s="1"/>
  <c r="AD364" i="26"/>
  <c r="AD654" i="26" s="1"/>
  <c r="AC364" i="26"/>
  <c r="AC654" i="26" s="1"/>
  <c r="AB364" i="26"/>
  <c r="AB654" i="26" s="1"/>
  <c r="AA364" i="26"/>
  <c r="AA654" i="26" s="1"/>
  <c r="Z364" i="26"/>
  <c r="Z654" i="26" s="1"/>
  <c r="Y364" i="26"/>
  <c r="Y654" i="26" s="1"/>
  <c r="X364" i="26"/>
  <c r="X654" i="26" s="1"/>
  <c r="W364" i="26"/>
  <c r="W654" i="26" s="1"/>
  <c r="V364" i="26"/>
  <c r="AJ363" i="26"/>
  <c r="AJ653" i="26" s="1"/>
  <c r="AI363" i="26"/>
  <c r="AI653" i="26" s="1"/>
  <c r="AH363" i="26"/>
  <c r="AH653" i="26" s="1"/>
  <c r="AG363" i="26"/>
  <c r="AG653" i="26" s="1"/>
  <c r="AF363" i="26"/>
  <c r="AF653" i="26" s="1"/>
  <c r="AE363" i="26"/>
  <c r="AE653" i="26" s="1"/>
  <c r="AD363" i="26"/>
  <c r="AD653" i="26" s="1"/>
  <c r="AC363" i="26"/>
  <c r="AC653" i="26" s="1"/>
  <c r="AB363" i="26"/>
  <c r="AB653" i="26" s="1"/>
  <c r="AA363" i="26"/>
  <c r="AA653" i="26" s="1"/>
  <c r="Z363" i="26"/>
  <c r="Z653" i="26" s="1"/>
  <c r="Y363" i="26"/>
  <c r="Y653" i="26" s="1"/>
  <c r="X363" i="26"/>
  <c r="X653" i="26" s="1"/>
  <c r="W363" i="26"/>
  <c r="W653" i="26" s="1"/>
  <c r="V363" i="26"/>
  <c r="AJ362" i="26"/>
  <c r="AJ652" i="26" s="1"/>
  <c r="AI362" i="26"/>
  <c r="AI652" i="26" s="1"/>
  <c r="AH362" i="26"/>
  <c r="AH652" i="26" s="1"/>
  <c r="AG362" i="26"/>
  <c r="AG652" i="26" s="1"/>
  <c r="AF362" i="26"/>
  <c r="AF652" i="26" s="1"/>
  <c r="AE362" i="26"/>
  <c r="AE652" i="26" s="1"/>
  <c r="AD362" i="26"/>
  <c r="AD652" i="26" s="1"/>
  <c r="AC362" i="26"/>
  <c r="AC652" i="26" s="1"/>
  <c r="AB362" i="26"/>
  <c r="AB652" i="26" s="1"/>
  <c r="AA362" i="26"/>
  <c r="AA652" i="26" s="1"/>
  <c r="Z362" i="26"/>
  <c r="Z652" i="26" s="1"/>
  <c r="Y362" i="26"/>
  <c r="Y652" i="26" s="1"/>
  <c r="X362" i="26"/>
  <c r="X652" i="26" s="1"/>
  <c r="W362" i="26"/>
  <c r="W652" i="26" s="1"/>
  <c r="V362" i="26"/>
  <c r="AJ361" i="26"/>
  <c r="AJ651" i="26" s="1"/>
  <c r="AI361" i="26"/>
  <c r="AI651" i="26" s="1"/>
  <c r="AH361" i="26"/>
  <c r="AH651" i="26" s="1"/>
  <c r="AG361" i="26"/>
  <c r="AG651" i="26" s="1"/>
  <c r="AF361" i="26"/>
  <c r="AF651" i="26" s="1"/>
  <c r="AE361" i="26"/>
  <c r="AE651" i="26" s="1"/>
  <c r="AD361" i="26"/>
  <c r="AD651" i="26" s="1"/>
  <c r="AC361" i="26"/>
  <c r="AC651" i="26" s="1"/>
  <c r="AB361" i="26"/>
  <c r="AB651" i="26" s="1"/>
  <c r="AA361" i="26"/>
  <c r="AA651" i="26" s="1"/>
  <c r="Z361" i="26"/>
  <c r="Z651" i="26" s="1"/>
  <c r="Y361" i="26"/>
  <c r="Y651" i="26" s="1"/>
  <c r="X361" i="26"/>
  <c r="X651" i="26" s="1"/>
  <c r="W361" i="26"/>
  <c r="W651" i="26" s="1"/>
  <c r="V361" i="26"/>
  <c r="AJ360" i="26"/>
  <c r="AJ650" i="26" s="1"/>
  <c r="AI360" i="26"/>
  <c r="AI650" i="26" s="1"/>
  <c r="AH360" i="26"/>
  <c r="AH650" i="26" s="1"/>
  <c r="AG360" i="26"/>
  <c r="AG650" i="26" s="1"/>
  <c r="AF360" i="26"/>
  <c r="AF650" i="26" s="1"/>
  <c r="AE360" i="26"/>
  <c r="AE650" i="26" s="1"/>
  <c r="AD360" i="26"/>
  <c r="AD650" i="26" s="1"/>
  <c r="AC360" i="26"/>
  <c r="AC650" i="26" s="1"/>
  <c r="AB360" i="26"/>
  <c r="AB650" i="26" s="1"/>
  <c r="AA360" i="26"/>
  <c r="AA650" i="26" s="1"/>
  <c r="Z360" i="26"/>
  <c r="Z650" i="26" s="1"/>
  <c r="Y360" i="26"/>
  <c r="Y650" i="26" s="1"/>
  <c r="X360" i="26"/>
  <c r="X650" i="26" s="1"/>
  <c r="W360" i="26"/>
  <c r="W650" i="26" s="1"/>
  <c r="V360" i="26"/>
  <c r="AJ359" i="26"/>
  <c r="AJ649" i="26" s="1"/>
  <c r="AI359" i="26"/>
  <c r="AI649" i="26" s="1"/>
  <c r="AH359" i="26"/>
  <c r="AH649" i="26" s="1"/>
  <c r="AG359" i="26"/>
  <c r="AG649" i="26" s="1"/>
  <c r="AF359" i="26"/>
  <c r="AF649" i="26" s="1"/>
  <c r="AE359" i="26"/>
  <c r="AE649" i="26" s="1"/>
  <c r="AD359" i="26"/>
  <c r="AD649" i="26" s="1"/>
  <c r="AC359" i="26"/>
  <c r="AC649" i="26" s="1"/>
  <c r="AB359" i="26"/>
  <c r="AB649" i="26" s="1"/>
  <c r="AA359" i="26"/>
  <c r="AA649" i="26" s="1"/>
  <c r="Z359" i="26"/>
  <c r="Z649" i="26" s="1"/>
  <c r="Y359" i="26"/>
  <c r="Y649" i="26" s="1"/>
  <c r="X359" i="26"/>
  <c r="X649" i="26" s="1"/>
  <c r="W359" i="26"/>
  <c r="W649" i="26" s="1"/>
  <c r="V359" i="26"/>
  <c r="AJ358" i="26"/>
  <c r="AJ648" i="26" s="1"/>
  <c r="AI358" i="26"/>
  <c r="AI648" i="26" s="1"/>
  <c r="AH358" i="26"/>
  <c r="AH648" i="26" s="1"/>
  <c r="AG358" i="26"/>
  <c r="AG648" i="26" s="1"/>
  <c r="AF358" i="26"/>
  <c r="AF648" i="26" s="1"/>
  <c r="AE358" i="26"/>
  <c r="AE648" i="26" s="1"/>
  <c r="AD358" i="26"/>
  <c r="AD648" i="26" s="1"/>
  <c r="AC358" i="26"/>
  <c r="AC648" i="26" s="1"/>
  <c r="AB358" i="26"/>
  <c r="AB648" i="26" s="1"/>
  <c r="AA358" i="26"/>
  <c r="AA648" i="26" s="1"/>
  <c r="Z358" i="26"/>
  <c r="Z648" i="26" s="1"/>
  <c r="Y358" i="26"/>
  <c r="Y648" i="26" s="1"/>
  <c r="X358" i="26"/>
  <c r="X648" i="26" s="1"/>
  <c r="W358" i="26"/>
  <c r="W648" i="26" s="1"/>
  <c r="V358" i="26"/>
  <c r="AJ357" i="26"/>
  <c r="AJ647" i="26" s="1"/>
  <c r="AI357" i="26"/>
  <c r="AI647" i="26" s="1"/>
  <c r="AH357" i="26"/>
  <c r="AH647" i="26" s="1"/>
  <c r="AG357" i="26"/>
  <c r="AG647" i="26" s="1"/>
  <c r="AF357" i="26"/>
  <c r="AF647" i="26" s="1"/>
  <c r="AE357" i="26"/>
  <c r="AE647" i="26" s="1"/>
  <c r="AD357" i="26"/>
  <c r="AD647" i="26" s="1"/>
  <c r="AC357" i="26"/>
  <c r="AC647" i="26" s="1"/>
  <c r="AB357" i="26"/>
  <c r="AB647" i="26" s="1"/>
  <c r="AA357" i="26"/>
  <c r="AA647" i="26" s="1"/>
  <c r="Z357" i="26"/>
  <c r="Z647" i="26" s="1"/>
  <c r="Y357" i="26"/>
  <c r="Y647" i="26" s="1"/>
  <c r="X357" i="26"/>
  <c r="X647" i="26" s="1"/>
  <c r="W357" i="26"/>
  <c r="W647" i="26" s="1"/>
  <c r="V357" i="26"/>
  <c r="AJ356" i="26"/>
  <c r="AJ646" i="26" s="1"/>
  <c r="AI356" i="26"/>
  <c r="AI646" i="26" s="1"/>
  <c r="AH356" i="26"/>
  <c r="AH646" i="26" s="1"/>
  <c r="AG356" i="26"/>
  <c r="AG646" i="26" s="1"/>
  <c r="AF356" i="26"/>
  <c r="AF646" i="26" s="1"/>
  <c r="AE356" i="26"/>
  <c r="AE646" i="26" s="1"/>
  <c r="AD356" i="26"/>
  <c r="AD646" i="26" s="1"/>
  <c r="AC356" i="26"/>
  <c r="AC646" i="26" s="1"/>
  <c r="AB356" i="26"/>
  <c r="AB646" i="26" s="1"/>
  <c r="AA356" i="26"/>
  <c r="AA646" i="26" s="1"/>
  <c r="Z356" i="26"/>
  <c r="Z646" i="26" s="1"/>
  <c r="Y356" i="26"/>
  <c r="Y646" i="26" s="1"/>
  <c r="X356" i="26"/>
  <c r="X646" i="26" s="1"/>
  <c r="W356" i="26"/>
  <c r="W646" i="26" s="1"/>
  <c r="V356" i="26"/>
  <c r="AJ355" i="26"/>
  <c r="AJ645" i="26" s="1"/>
  <c r="AI355" i="26"/>
  <c r="AI645" i="26" s="1"/>
  <c r="AH355" i="26"/>
  <c r="AH645" i="26" s="1"/>
  <c r="AG355" i="26"/>
  <c r="AG645" i="26" s="1"/>
  <c r="AF355" i="26"/>
  <c r="AF645" i="26" s="1"/>
  <c r="AE355" i="26"/>
  <c r="AE645" i="26" s="1"/>
  <c r="AD355" i="26"/>
  <c r="AD645" i="26" s="1"/>
  <c r="AC355" i="26"/>
  <c r="AC645" i="26" s="1"/>
  <c r="AB355" i="26"/>
  <c r="AB645" i="26" s="1"/>
  <c r="AA355" i="26"/>
  <c r="AA645" i="26" s="1"/>
  <c r="Z355" i="26"/>
  <c r="Z645" i="26" s="1"/>
  <c r="Y355" i="26"/>
  <c r="Y645" i="26" s="1"/>
  <c r="X355" i="26"/>
  <c r="X645" i="26" s="1"/>
  <c r="W355" i="26"/>
  <c r="W645" i="26" s="1"/>
  <c r="V355" i="26"/>
  <c r="AJ354" i="26"/>
  <c r="AJ644" i="26" s="1"/>
  <c r="AI354" i="26"/>
  <c r="AI644" i="26" s="1"/>
  <c r="AH354" i="26"/>
  <c r="AH644" i="26" s="1"/>
  <c r="AG354" i="26"/>
  <c r="AG644" i="26" s="1"/>
  <c r="AF354" i="26"/>
  <c r="AF644" i="26" s="1"/>
  <c r="AE354" i="26"/>
  <c r="AE644" i="26" s="1"/>
  <c r="AD354" i="26"/>
  <c r="AD644" i="26" s="1"/>
  <c r="AC354" i="26"/>
  <c r="AC644" i="26" s="1"/>
  <c r="AB354" i="26"/>
  <c r="AB644" i="26" s="1"/>
  <c r="AA354" i="26"/>
  <c r="AA644" i="26" s="1"/>
  <c r="Z354" i="26"/>
  <c r="Z644" i="26" s="1"/>
  <c r="Y354" i="26"/>
  <c r="Y644" i="26" s="1"/>
  <c r="X354" i="26"/>
  <c r="X644" i="26" s="1"/>
  <c r="W354" i="26"/>
  <c r="W644" i="26" s="1"/>
  <c r="V354" i="26"/>
  <c r="AJ353" i="26"/>
  <c r="AJ643" i="26" s="1"/>
  <c r="AI353" i="26"/>
  <c r="AI643" i="26" s="1"/>
  <c r="AH353" i="26"/>
  <c r="AH643" i="26" s="1"/>
  <c r="AG353" i="26"/>
  <c r="AG643" i="26" s="1"/>
  <c r="AF353" i="26"/>
  <c r="AF643" i="26" s="1"/>
  <c r="AE353" i="26"/>
  <c r="AE643" i="26" s="1"/>
  <c r="AD353" i="26"/>
  <c r="AD643" i="26" s="1"/>
  <c r="AC353" i="26"/>
  <c r="AC643" i="26" s="1"/>
  <c r="AB353" i="26"/>
  <c r="AB643" i="26" s="1"/>
  <c r="AA353" i="26"/>
  <c r="AA643" i="26" s="1"/>
  <c r="Z353" i="26"/>
  <c r="Z643" i="26" s="1"/>
  <c r="Y353" i="26"/>
  <c r="Y643" i="26" s="1"/>
  <c r="X353" i="26"/>
  <c r="X643" i="26" s="1"/>
  <c r="W353" i="26"/>
  <c r="W643" i="26" s="1"/>
  <c r="V353" i="26"/>
  <c r="AJ352" i="26"/>
  <c r="AJ642" i="26" s="1"/>
  <c r="AI352" i="26"/>
  <c r="AI642" i="26" s="1"/>
  <c r="AH352" i="26"/>
  <c r="AH642" i="26" s="1"/>
  <c r="AG352" i="26"/>
  <c r="AG642" i="26" s="1"/>
  <c r="AF352" i="26"/>
  <c r="AF642" i="26" s="1"/>
  <c r="AE352" i="26"/>
  <c r="AE642" i="26" s="1"/>
  <c r="AD352" i="26"/>
  <c r="AD642" i="26" s="1"/>
  <c r="AC352" i="26"/>
  <c r="AC642" i="26" s="1"/>
  <c r="AB352" i="26"/>
  <c r="AB642" i="26" s="1"/>
  <c r="AA352" i="26"/>
  <c r="AA642" i="26" s="1"/>
  <c r="Z352" i="26"/>
  <c r="Z642" i="26" s="1"/>
  <c r="Y352" i="26"/>
  <c r="Y642" i="26" s="1"/>
  <c r="X352" i="26"/>
  <c r="X642" i="26" s="1"/>
  <c r="W352" i="26"/>
  <c r="W642" i="26" s="1"/>
  <c r="V352" i="26"/>
  <c r="AJ351" i="26"/>
  <c r="AJ641" i="26" s="1"/>
  <c r="AI351" i="26"/>
  <c r="AI641" i="26" s="1"/>
  <c r="AH351" i="26"/>
  <c r="AH641" i="26" s="1"/>
  <c r="AG351" i="26"/>
  <c r="AG641" i="26" s="1"/>
  <c r="AF351" i="26"/>
  <c r="AF641" i="26" s="1"/>
  <c r="AE351" i="26"/>
  <c r="AE641" i="26" s="1"/>
  <c r="AD351" i="26"/>
  <c r="AD641" i="26" s="1"/>
  <c r="AC351" i="26"/>
  <c r="AC641" i="26" s="1"/>
  <c r="AB351" i="26"/>
  <c r="AB641" i="26" s="1"/>
  <c r="AA351" i="26"/>
  <c r="AA641" i="26" s="1"/>
  <c r="Z351" i="26"/>
  <c r="Z641" i="26" s="1"/>
  <c r="Y351" i="26"/>
  <c r="Y641" i="26" s="1"/>
  <c r="X351" i="26"/>
  <c r="X641" i="26" s="1"/>
  <c r="W351" i="26"/>
  <c r="W641" i="26" s="1"/>
  <c r="V351" i="26"/>
  <c r="AJ350" i="26"/>
  <c r="AJ640" i="26" s="1"/>
  <c r="AI350" i="26"/>
  <c r="AI640" i="26" s="1"/>
  <c r="AH350" i="26"/>
  <c r="AH640" i="26" s="1"/>
  <c r="AG350" i="26"/>
  <c r="AG640" i="26" s="1"/>
  <c r="AF350" i="26"/>
  <c r="AF640" i="26" s="1"/>
  <c r="AE350" i="26"/>
  <c r="AE640" i="26" s="1"/>
  <c r="AD350" i="26"/>
  <c r="AD640" i="26" s="1"/>
  <c r="AC350" i="26"/>
  <c r="AC640" i="26" s="1"/>
  <c r="AB350" i="26"/>
  <c r="AB640" i="26" s="1"/>
  <c r="AA350" i="26"/>
  <c r="AA640" i="26" s="1"/>
  <c r="Z350" i="26"/>
  <c r="Z640" i="26" s="1"/>
  <c r="Y350" i="26"/>
  <c r="Y640" i="26" s="1"/>
  <c r="X350" i="26"/>
  <c r="X640" i="26" s="1"/>
  <c r="W350" i="26"/>
  <c r="W640" i="26" s="1"/>
  <c r="V350" i="26"/>
  <c r="AJ349" i="26"/>
  <c r="AJ639" i="26" s="1"/>
  <c r="AI349" i="26"/>
  <c r="AI639" i="26" s="1"/>
  <c r="AH349" i="26"/>
  <c r="AH639" i="26" s="1"/>
  <c r="AG349" i="26"/>
  <c r="AG639" i="26" s="1"/>
  <c r="AF349" i="26"/>
  <c r="AF639" i="26" s="1"/>
  <c r="AE349" i="26"/>
  <c r="AE639" i="26" s="1"/>
  <c r="AD349" i="26"/>
  <c r="AD639" i="26" s="1"/>
  <c r="AC349" i="26"/>
  <c r="AC639" i="26" s="1"/>
  <c r="AB349" i="26"/>
  <c r="AB639" i="26" s="1"/>
  <c r="AA349" i="26"/>
  <c r="AA639" i="26" s="1"/>
  <c r="Z349" i="26"/>
  <c r="Z639" i="26" s="1"/>
  <c r="Y349" i="26"/>
  <c r="Y639" i="26" s="1"/>
  <c r="X349" i="26"/>
  <c r="X639" i="26" s="1"/>
  <c r="W349" i="26"/>
  <c r="W639" i="26" s="1"/>
  <c r="V349" i="26"/>
  <c r="AJ348" i="26"/>
  <c r="AJ638" i="26" s="1"/>
  <c r="AI348" i="26"/>
  <c r="AI638" i="26" s="1"/>
  <c r="AH348" i="26"/>
  <c r="AH638" i="26" s="1"/>
  <c r="AG348" i="26"/>
  <c r="AG638" i="26" s="1"/>
  <c r="AF348" i="26"/>
  <c r="AF638" i="26" s="1"/>
  <c r="AE348" i="26"/>
  <c r="AE638" i="26" s="1"/>
  <c r="AD348" i="26"/>
  <c r="AD638" i="26" s="1"/>
  <c r="AC348" i="26"/>
  <c r="AC638" i="26" s="1"/>
  <c r="AB348" i="26"/>
  <c r="AB638" i="26" s="1"/>
  <c r="AA348" i="26"/>
  <c r="AA638" i="26" s="1"/>
  <c r="Z348" i="26"/>
  <c r="Z638" i="26" s="1"/>
  <c r="Y348" i="26"/>
  <c r="Y638" i="26" s="1"/>
  <c r="X348" i="26"/>
  <c r="X638" i="26" s="1"/>
  <c r="W348" i="26"/>
  <c r="W638" i="26" s="1"/>
  <c r="V348" i="26"/>
  <c r="AJ347" i="26"/>
  <c r="AJ637" i="26" s="1"/>
  <c r="AI347" i="26"/>
  <c r="AI637" i="26" s="1"/>
  <c r="AH347" i="26"/>
  <c r="AH637" i="26" s="1"/>
  <c r="AG347" i="26"/>
  <c r="AG637" i="26" s="1"/>
  <c r="AF347" i="26"/>
  <c r="AF637" i="26" s="1"/>
  <c r="AE347" i="26"/>
  <c r="AE637" i="26" s="1"/>
  <c r="AD347" i="26"/>
  <c r="AD637" i="26" s="1"/>
  <c r="AC347" i="26"/>
  <c r="AC637" i="26" s="1"/>
  <c r="AB347" i="26"/>
  <c r="AB637" i="26" s="1"/>
  <c r="AA347" i="26"/>
  <c r="AA637" i="26" s="1"/>
  <c r="Z347" i="26"/>
  <c r="Z637" i="26" s="1"/>
  <c r="Y347" i="26"/>
  <c r="Y637" i="26" s="1"/>
  <c r="X347" i="26"/>
  <c r="X637" i="26" s="1"/>
  <c r="W347" i="26"/>
  <c r="W637" i="26" s="1"/>
  <c r="V347" i="26"/>
  <c r="AJ346" i="26"/>
  <c r="AJ636" i="26" s="1"/>
  <c r="AI346" i="26"/>
  <c r="AI636" i="26" s="1"/>
  <c r="AH346" i="26"/>
  <c r="AH636" i="26" s="1"/>
  <c r="AG346" i="26"/>
  <c r="AG636" i="26" s="1"/>
  <c r="AF346" i="26"/>
  <c r="AF636" i="26" s="1"/>
  <c r="AE346" i="26"/>
  <c r="AE636" i="26" s="1"/>
  <c r="AD346" i="26"/>
  <c r="AD636" i="26" s="1"/>
  <c r="AC346" i="26"/>
  <c r="AC636" i="26" s="1"/>
  <c r="AB346" i="26"/>
  <c r="AB636" i="26" s="1"/>
  <c r="AA346" i="26"/>
  <c r="AA636" i="26" s="1"/>
  <c r="Z346" i="26"/>
  <c r="Z636" i="26" s="1"/>
  <c r="Y346" i="26"/>
  <c r="Y636" i="26" s="1"/>
  <c r="X346" i="26"/>
  <c r="X636" i="26" s="1"/>
  <c r="W346" i="26"/>
  <c r="W636" i="26" s="1"/>
  <c r="V346" i="26"/>
  <c r="AJ345" i="26"/>
  <c r="AJ635" i="26" s="1"/>
  <c r="AI345" i="26"/>
  <c r="AI635" i="26" s="1"/>
  <c r="AH345" i="26"/>
  <c r="AH635" i="26" s="1"/>
  <c r="AG345" i="26"/>
  <c r="AG635" i="26" s="1"/>
  <c r="AF345" i="26"/>
  <c r="AF635" i="26" s="1"/>
  <c r="AE345" i="26"/>
  <c r="AE635" i="26" s="1"/>
  <c r="AD345" i="26"/>
  <c r="AD635" i="26" s="1"/>
  <c r="AC345" i="26"/>
  <c r="AC635" i="26" s="1"/>
  <c r="AB345" i="26"/>
  <c r="AB635" i="26" s="1"/>
  <c r="AA345" i="26"/>
  <c r="AA635" i="26" s="1"/>
  <c r="Z345" i="26"/>
  <c r="Z635" i="26" s="1"/>
  <c r="Y345" i="26"/>
  <c r="Y635" i="26" s="1"/>
  <c r="X345" i="26"/>
  <c r="X635" i="26" s="1"/>
  <c r="W345" i="26"/>
  <c r="W635" i="26" s="1"/>
  <c r="V345" i="26"/>
  <c r="AJ344" i="26"/>
  <c r="AJ634" i="26" s="1"/>
  <c r="AI344" i="26"/>
  <c r="AI634" i="26" s="1"/>
  <c r="AH344" i="26"/>
  <c r="AH634" i="26" s="1"/>
  <c r="AG344" i="26"/>
  <c r="AG634" i="26" s="1"/>
  <c r="AF344" i="26"/>
  <c r="AF634" i="26" s="1"/>
  <c r="AE344" i="26"/>
  <c r="AE634" i="26" s="1"/>
  <c r="AD344" i="26"/>
  <c r="AD634" i="26" s="1"/>
  <c r="AC344" i="26"/>
  <c r="AC634" i="26" s="1"/>
  <c r="AB344" i="26"/>
  <c r="AB634" i="26" s="1"/>
  <c r="AA344" i="26"/>
  <c r="AA634" i="26" s="1"/>
  <c r="Z344" i="26"/>
  <c r="Z634" i="26" s="1"/>
  <c r="Y344" i="26"/>
  <c r="Y634" i="26" s="1"/>
  <c r="X344" i="26"/>
  <c r="X634" i="26" s="1"/>
  <c r="W344" i="26"/>
  <c r="W634" i="26" s="1"/>
  <c r="V344" i="26"/>
  <c r="AJ343" i="26"/>
  <c r="AJ633" i="26" s="1"/>
  <c r="AI343" i="26"/>
  <c r="AI633" i="26" s="1"/>
  <c r="AH343" i="26"/>
  <c r="AH633" i="26" s="1"/>
  <c r="AG343" i="26"/>
  <c r="AG633" i="26" s="1"/>
  <c r="AF343" i="26"/>
  <c r="AF633" i="26" s="1"/>
  <c r="AE343" i="26"/>
  <c r="AE633" i="26" s="1"/>
  <c r="AD343" i="26"/>
  <c r="AD633" i="26" s="1"/>
  <c r="AC343" i="26"/>
  <c r="AC633" i="26" s="1"/>
  <c r="AB343" i="26"/>
  <c r="AB633" i="26" s="1"/>
  <c r="AA343" i="26"/>
  <c r="AA633" i="26" s="1"/>
  <c r="Z343" i="26"/>
  <c r="Z633" i="26" s="1"/>
  <c r="Y343" i="26"/>
  <c r="Y633" i="26" s="1"/>
  <c r="X343" i="26"/>
  <c r="X633" i="26" s="1"/>
  <c r="W343" i="26"/>
  <c r="W633" i="26" s="1"/>
  <c r="V343" i="26"/>
  <c r="AJ342" i="26"/>
  <c r="AJ632" i="26" s="1"/>
  <c r="AI342" i="26"/>
  <c r="AI632" i="26" s="1"/>
  <c r="AH342" i="26"/>
  <c r="AH632" i="26" s="1"/>
  <c r="AG342" i="26"/>
  <c r="AG632" i="26" s="1"/>
  <c r="AF342" i="26"/>
  <c r="AF632" i="26" s="1"/>
  <c r="AE342" i="26"/>
  <c r="AE632" i="26" s="1"/>
  <c r="AD342" i="26"/>
  <c r="AD632" i="26" s="1"/>
  <c r="AC342" i="26"/>
  <c r="AC632" i="26" s="1"/>
  <c r="AB342" i="26"/>
  <c r="AB632" i="26" s="1"/>
  <c r="AA342" i="26"/>
  <c r="AA632" i="26" s="1"/>
  <c r="Z342" i="26"/>
  <c r="Z632" i="26" s="1"/>
  <c r="Y342" i="26"/>
  <c r="Y632" i="26" s="1"/>
  <c r="X342" i="26"/>
  <c r="X632" i="26" s="1"/>
  <c r="W342" i="26"/>
  <c r="W632" i="26" s="1"/>
  <c r="V342" i="26"/>
  <c r="AJ341" i="26"/>
  <c r="AJ631" i="26" s="1"/>
  <c r="AI341" i="26"/>
  <c r="AI631" i="26" s="1"/>
  <c r="AH341" i="26"/>
  <c r="AH631" i="26" s="1"/>
  <c r="AG341" i="26"/>
  <c r="AG631" i="26" s="1"/>
  <c r="AF341" i="26"/>
  <c r="AF631" i="26" s="1"/>
  <c r="AE341" i="26"/>
  <c r="AE631" i="26" s="1"/>
  <c r="AD341" i="26"/>
  <c r="AD631" i="26" s="1"/>
  <c r="AC341" i="26"/>
  <c r="AC631" i="26" s="1"/>
  <c r="AB341" i="26"/>
  <c r="AB631" i="26" s="1"/>
  <c r="AA341" i="26"/>
  <c r="AA631" i="26" s="1"/>
  <c r="Z341" i="26"/>
  <c r="Z631" i="26" s="1"/>
  <c r="Y341" i="26"/>
  <c r="Y631" i="26" s="1"/>
  <c r="X341" i="26"/>
  <c r="X631" i="26" s="1"/>
  <c r="W341" i="26"/>
  <c r="W631" i="26" s="1"/>
  <c r="V341" i="26"/>
  <c r="AJ340" i="26"/>
  <c r="AJ630" i="26" s="1"/>
  <c r="AI340" i="26"/>
  <c r="AI630" i="26" s="1"/>
  <c r="AH340" i="26"/>
  <c r="AH630" i="26" s="1"/>
  <c r="AG340" i="26"/>
  <c r="AG630" i="26" s="1"/>
  <c r="AF340" i="26"/>
  <c r="AF630" i="26" s="1"/>
  <c r="AE340" i="26"/>
  <c r="AE630" i="26" s="1"/>
  <c r="AD340" i="26"/>
  <c r="AD630" i="26" s="1"/>
  <c r="AC340" i="26"/>
  <c r="AC630" i="26" s="1"/>
  <c r="AB340" i="26"/>
  <c r="AB630" i="26" s="1"/>
  <c r="AA340" i="26"/>
  <c r="AA630" i="26" s="1"/>
  <c r="Z340" i="26"/>
  <c r="Z630" i="26" s="1"/>
  <c r="Y340" i="26"/>
  <c r="Y630" i="26" s="1"/>
  <c r="X340" i="26"/>
  <c r="X630" i="26" s="1"/>
  <c r="W340" i="26"/>
  <c r="W630" i="26" s="1"/>
  <c r="V340" i="26"/>
  <c r="AJ339" i="26"/>
  <c r="AJ629" i="26" s="1"/>
  <c r="AI339" i="26"/>
  <c r="AI629" i="26" s="1"/>
  <c r="AH339" i="26"/>
  <c r="AH629" i="26" s="1"/>
  <c r="AG339" i="26"/>
  <c r="AG629" i="26" s="1"/>
  <c r="AF339" i="26"/>
  <c r="AF629" i="26" s="1"/>
  <c r="AE339" i="26"/>
  <c r="AE629" i="26" s="1"/>
  <c r="AD339" i="26"/>
  <c r="AD629" i="26" s="1"/>
  <c r="AC339" i="26"/>
  <c r="AC629" i="26" s="1"/>
  <c r="AB339" i="26"/>
  <c r="AB629" i="26" s="1"/>
  <c r="AA339" i="26"/>
  <c r="AA629" i="26" s="1"/>
  <c r="Z339" i="26"/>
  <c r="Z629" i="26" s="1"/>
  <c r="Y339" i="26"/>
  <c r="Y629" i="26" s="1"/>
  <c r="X339" i="26"/>
  <c r="X629" i="26" s="1"/>
  <c r="W339" i="26"/>
  <c r="W629" i="26" s="1"/>
  <c r="V339" i="26"/>
  <c r="AJ338" i="26"/>
  <c r="AJ628" i="26" s="1"/>
  <c r="AI338" i="26"/>
  <c r="AI628" i="26" s="1"/>
  <c r="AH338" i="26"/>
  <c r="AH628" i="26" s="1"/>
  <c r="AG338" i="26"/>
  <c r="AG628" i="26" s="1"/>
  <c r="AF338" i="26"/>
  <c r="AF628" i="26" s="1"/>
  <c r="AE338" i="26"/>
  <c r="AE628" i="26" s="1"/>
  <c r="AD338" i="26"/>
  <c r="AD628" i="26" s="1"/>
  <c r="AC338" i="26"/>
  <c r="AC628" i="26" s="1"/>
  <c r="AB338" i="26"/>
  <c r="AB628" i="26" s="1"/>
  <c r="AA338" i="26"/>
  <c r="AA628" i="26" s="1"/>
  <c r="Z338" i="26"/>
  <c r="Z628" i="26" s="1"/>
  <c r="Y338" i="26"/>
  <c r="Y628" i="26" s="1"/>
  <c r="X338" i="26"/>
  <c r="X628" i="26" s="1"/>
  <c r="W338" i="26"/>
  <c r="W628" i="26" s="1"/>
  <c r="V338" i="26"/>
  <c r="AJ337" i="26"/>
  <c r="AJ627" i="26" s="1"/>
  <c r="AI337" i="26"/>
  <c r="AI627" i="26" s="1"/>
  <c r="AH337" i="26"/>
  <c r="AH627" i="26" s="1"/>
  <c r="AG337" i="26"/>
  <c r="AG627" i="26" s="1"/>
  <c r="AF337" i="26"/>
  <c r="AF627" i="26" s="1"/>
  <c r="AE337" i="26"/>
  <c r="AE627" i="26" s="1"/>
  <c r="AD337" i="26"/>
  <c r="AD627" i="26" s="1"/>
  <c r="AC337" i="26"/>
  <c r="AC627" i="26" s="1"/>
  <c r="AB337" i="26"/>
  <c r="AB627" i="26" s="1"/>
  <c r="AA337" i="26"/>
  <c r="AA627" i="26" s="1"/>
  <c r="Z337" i="26"/>
  <c r="Z627" i="26" s="1"/>
  <c r="Y337" i="26"/>
  <c r="Y627" i="26" s="1"/>
  <c r="X337" i="26"/>
  <c r="X627" i="26" s="1"/>
  <c r="W337" i="26"/>
  <c r="W627" i="26" s="1"/>
  <c r="V337" i="26"/>
  <c r="AJ336" i="26"/>
  <c r="AJ626" i="26" s="1"/>
  <c r="AI336" i="26"/>
  <c r="AI626" i="26" s="1"/>
  <c r="AH336" i="26"/>
  <c r="AH626" i="26" s="1"/>
  <c r="AG336" i="26"/>
  <c r="AG626" i="26" s="1"/>
  <c r="AF336" i="26"/>
  <c r="AF626" i="26" s="1"/>
  <c r="AE336" i="26"/>
  <c r="AE626" i="26" s="1"/>
  <c r="AD336" i="26"/>
  <c r="AD626" i="26" s="1"/>
  <c r="AC336" i="26"/>
  <c r="AC626" i="26" s="1"/>
  <c r="AB336" i="26"/>
  <c r="AB626" i="26" s="1"/>
  <c r="AA336" i="26"/>
  <c r="AA626" i="26" s="1"/>
  <c r="Z336" i="26"/>
  <c r="Z626" i="26" s="1"/>
  <c r="Y336" i="26"/>
  <c r="Y626" i="26" s="1"/>
  <c r="X336" i="26"/>
  <c r="X626" i="26" s="1"/>
  <c r="W336" i="26"/>
  <c r="W626" i="26" s="1"/>
  <c r="V336" i="26"/>
  <c r="AJ335" i="26"/>
  <c r="AJ625" i="26" s="1"/>
  <c r="AI335" i="26"/>
  <c r="AI625" i="26" s="1"/>
  <c r="AH335" i="26"/>
  <c r="AH625" i="26" s="1"/>
  <c r="AG335" i="26"/>
  <c r="AG625" i="26" s="1"/>
  <c r="AF335" i="26"/>
  <c r="AF625" i="26" s="1"/>
  <c r="AE335" i="26"/>
  <c r="AE625" i="26" s="1"/>
  <c r="AD335" i="26"/>
  <c r="AD625" i="26" s="1"/>
  <c r="AC335" i="26"/>
  <c r="AC625" i="26" s="1"/>
  <c r="AB335" i="26"/>
  <c r="AB625" i="26" s="1"/>
  <c r="AA335" i="26"/>
  <c r="AA625" i="26" s="1"/>
  <c r="Z335" i="26"/>
  <c r="Z625" i="26" s="1"/>
  <c r="Y335" i="26"/>
  <c r="Y625" i="26" s="1"/>
  <c r="X335" i="26"/>
  <c r="X625" i="26" s="1"/>
  <c r="W335" i="26"/>
  <c r="W625" i="26" s="1"/>
  <c r="V335" i="26"/>
  <c r="AJ334" i="26"/>
  <c r="AJ624" i="26" s="1"/>
  <c r="AI334" i="26"/>
  <c r="AI624" i="26" s="1"/>
  <c r="AH334" i="26"/>
  <c r="AH624" i="26" s="1"/>
  <c r="AG334" i="26"/>
  <c r="AG624" i="26" s="1"/>
  <c r="AF334" i="26"/>
  <c r="AF624" i="26" s="1"/>
  <c r="AE334" i="26"/>
  <c r="AE624" i="26" s="1"/>
  <c r="AD334" i="26"/>
  <c r="AD624" i="26" s="1"/>
  <c r="AC334" i="26"/>
  <c r="AC624" i="26" s="1"/>
  <c r="AB334" i="26"/>
  <c r="AB624" i="26" s="1"/>
  <c r="AA334" i="26"/>
  <c r="AA624" i="26" s="1"/>
  <c r="Z334" i="26"/>
  <c r="Z624" i="26" s="1"/>
  <c r="Y334" i="26"/>
  <c r="Y624" i="26" s="1"/>
  <c r="X334" i="26"/>
  <c r="X624" i="26" s="1"/>
  <c r="W334" i="26"/>
  <c r="W624" i="26" s="1"/>
  <c r="V334" i="26"/>
  <c r="AJ333" i="26"/>
  <c r="AJ623" i="26" s="1"/>
  <c r="AI333" i="26"/>
  <c r="AI623" i="26" s="1"/>
  <c r="AH333" i="26"/>
  <c r="AH623" i="26" s="1"/>
  <c r="AG333" i="26"/>
  <c r="AG623" i="26" s="1"/>
  <c r="AF333" i="26"/>
  <c r="AF623" i="26" s="1"/>
  <c r="AE333" i="26"/>
  <c r="AE623" i="26" s="1"/>
  <c r="AD333" i="26"/>
  <c r="AD623" i="26" s="1"/>
  <c r="AC333" i="26"/>
  <c r="AC623" i="26" s="1"/>
  <c r="AB333" i="26"/>
  <c r="AB623" i="26" s="1"/>
  <c r="AA333" i="26"/>
  <c r="AA623" i="26" s="1"/>
  <c r="Z333" i="26"/>
  <c r="Z623" i="26" s="1"/>
  <c r="Y333" i="26"/>
  <c r="Y623" i="26" s="1"/>
  <c r="X333" i="26"/>
  <c r="X623" i="26" s="1"/>
  <c r="W333" i="26"/>
  <c r="W623" i="26" s="1"/>
  <c r="V333" i="26"/>
  <c r="AJ332" i="26"/>
  <c r="AJ622" i="26" s="1"/>
  <c r="AI332" i="26"/>
  <c r="AI622" i="26" s="1"/>
  <c r="AH332" i="26"/>
  <c r="AH622" i="26" s="1"/>
  <c r="AG332" i="26"/>
  <c r="AG622" i="26" s="1"/>
  <c r="AF332" i="26"/>
  <c r="AF622" i="26" s="1"/>
  <c r="AE332" i="26"/>
  <c r="AE622" i="26" s="1"/>
  <c r="AD332" i="26"/>
  <c r="AD622" i="26" s="1"/>
  <c r="AC332" i="26"/>
  <c r="AC622" i="26" s="1"/>
  <c r="AB332" i="26"/>
  <c r="AB622" i="26" s="1"/>
  <c r="AA332" i="26"/>
  <c r="AA622" i="26" s="1"/>
  <c r="Z332" i="26"/>
  <c r="Z622" i="26" s="1"/>
  <c r="Y332" i="26"/>
  <c r="Y622" i="26" s="1"/>
  <c r="X332" i="26"/>
  <c r="X622" i="26" s="1"/>
  <c r="W332" i="26"/>
  <c r="W622" i="26" s="1"/>
  <c r="V332" i="26"/>
  <c r="AJ331" i="26"/>
  <c r="AJ621" i="26" s="1"/>
  <c r="AI331" i="26"/>
  <c r="AI621" i="26" s="1"/>
  <c r="AH331" i="26"/>
  <c r="AH621" i="26" s="1"/>
  <c r="AG331" i="26"/>
  <c r="AG621" i="26" s="1"/>
  <c r="AF331" i="26"/>
  <c r="AF621" i="26" s="1"/>
  <c r="AE331" i="26"/>
  <c r="AE621" i="26" s="1"/>
  <c r="AD331" i="26"/>
  <c r="AD621" i="26" s="1"/>
  <c r="AC331" i="26"/>
  <c r="AC621" i="26" s="1"/>
  <c r="AB331" i="26"/>
  <c r="AB621" i="26" s="1"/>
  <c r="AA331" i="26"/>
  <c r="AA621" i="26" s="1"/>
  <c r="Z331" i="26"/>
  <c r="Z621" i="26" s="1"/>
  <c r="Y331" i="26"/>
  <c r="Y621" i="26" s="1"/>
  <c r="X331" i="26"/>
  <c r="X621" i="26" s="1"/>
  <c r="W331" i="26"/>
  <c r="W621" i="26" s="1"/>
  <c r="V331" i="26"/>
  <c r="AJ330" i="26"/>
  <c r="AJ620" i="26" s="1"/>
  <c r="AI330" i="26"/>
  <c r="AI620" i="26" s="1"/>
  <c r="AH330" i="26"/>
  <c r="AH620" i="26" s="1"/>
  <c r="AG330" i="26"/>
  <c r="AG620" i="26" s="1"/>
  <c r="AF330" i="26"/>
  <c r="AF620" i="26" s="1"/>
  <c r="AE330" i="26"/>
  <c r="AE620" i="26" s="1"/>
  <c r="AD330" i="26"/>
  <c r="AD620" i="26" s="1"/>
  <c r="AC330" i="26"/>
  <c r="AC620" i="26" s="1"/>
  <c r="AB330" i="26"/>
  <c r="AB620" i="26" s="1"/>
  <c r="AA330" i="26"/>
  <c r="AA620" i="26" s="1"/>
  <c r="Z330" i="26"/>
  <c r="Z620" i="26" s="1"/>
  <c r="Y330" i="26"/>
  <c r="Y620" i="26" s="1"/>
  <c r="X330" i="26"/>
  <c r="X620" i="26" s="1"/>
  <c r="W330" i="26"/>
  <c r="W620" i="26" s="1"/>
  <c r="V330" i="26"/>
  <c r="AJ329" i="26"/>
  <c r="AJ619" i="26" s="1"/>
  <c r="AI329" i="26"/>
  <c r="AI619" i="26" s="1"/>
  <c r="AH329" i="26"/>
  <c r="AH619" i="26" s="1"/>
  <c r="AG329" i="26"/>
  <c r="AG619" i="26" s="1"/>
  <c r="AF329" i="26"/>
  <c r="AF619" i="26" s="1"/>
  <c r="AE329" i="26"/>
  <c r="AE619" i="26" s="1"/>
  <c r="AD329" i="26"/>
  <c r="AD619" i="26" s="1"/>
  <c r="AC329" i="26"/>
  <c r="AC619" i="26" s="1"/>
  <c r="AB329" i="26"/>
  <c r="AB619" i="26" s="1"/>
  <c r="AA329" i="26"/>
  <c r="AA619" i="26" s="1"/>
  <c r="Z329" i="26"/>
  <c r="Z619" i="26" s="1"/>
  <c r="Y329" i="26"/>
  <c r="Y619" i="26" s="1"/>
  <c r="X329" i="26"/>
  <c r="X619" i="26" s="1"/>
  <c r="W329" i="26"/>
  <c r="W619" i="26" s="1"/>
  <c r="V329" i="26"/>
  <c r="AJ328" i="26"/>
  <c r="AJ618" i="26" s="1"/>
  <c r="AI328" i="26"/>
  <c r="AI618" i="26" s="1"/>
  <c r="AH328" i="26"/>
  <c r="AH618" i="26" s="1"/>
  <c r="AG328" i="26"/>
  <c r="AG618" i="26" s="1"/>
  <c r="AF328" i="26"/>
  <c r="AF618" i="26" s="1"/>
  <c r="AE328" i="26"/>
  <c r="AE618" i="26" s="1"/>
  <c r="AD328" i="26"/>
  <c r="AD618" i="26" s="1"/>
  <c r="AC328" i="26"/>
  <c r="AC618" i="26" s="1"/>
  <c r="AB328" i="26"/>
  <c r="AB618" i="26" s="1"/>
  <c r="AA328" i="26"/>
  <c r="AA618" i="26" s="1"/>
  <c r="Z328" i="26"/>
  <c r="Z618" i="26" s="1"/>
  <c r="Y328" i="26"/>
  <c r="Y618" i="26" s="1"/>
  <c r="X328" i="26"/>
  <c r="X618" i="26" s="1"/>
  <c r="W328" i="26"/>
  <c r="W618" i="26" s="1"/>
  <c r="V328" i="26"/>
  <c r="AJ327" i="26"/>
  <c r="AJ617" i="26" s="1"/>
  <c r="AI327" i="26"/>
  <c r="AI617" i="26" s="1"/>
  <c r="AH327" i="26"/>
  <c r="AH617" i="26" s="1"/>
  <c r="AG327" i="26"/>
  <c r="AG617" i="26" s="1"/>
  <c r="AF327" i="26"/>
  <c r="AF617" i="26" s="1"/>
  <c r="AE327" i="26"/>
  <c r="AE617" i="26" s="1"/>
  <c r="AD327" i="26"/>
  <c r="AD617" i="26" s="1"/>
  <c r="AC327" i="26"/>
  <c r="AC617" i="26" s="1"/>
  <c r="AB327" i="26"/>
  <c r="AB617" i="26" s="1"/>
  <c r="AA327" i="26"/>
  <c r="AA617" i="26" s="1"/>
  <c r="Z327" i="26"/>
  <c r="Z617" i="26" s="1"/>
  <c r="Y327" i="26"/>
  <c r="Y617" i="26" s="1"/>
  <c r="X327" i="26"/>
  <c r="X617" i="26" s="1"/>
  <c r="W327" i="26"/>
  <c r="W617" i="26" s="1"/>
  <c r="V327" i="26"/>
  <c r="AJ326" i="26"/>
  <c r="AJ616" i="26" s="1"/>
  <c r="AI326" i="26"/>
  <c r="AI616" i="26" s="1"/>
  <c r="AH326" i="26"/>
  <c r="AH616" i="26" s="1"/>
  <c r="AG326" i="26"/>
  <c r="AG616" i="26" s="1"/>
  <c r="AF326" i="26"/>
  <c r="AF616" i="26" s="1"/>
  <c r="AE326" i="26"/>
  <c r="AE616" i="26" s="1"/>
  <c r="AD326" i="26"/>
  <c r="AD616" i="26" s="1"/>
  <c r="AC326" i="26"/>
  <c r="AC616" i="26" s="1"/>
  <c r="AB326" i="26"/>
  <c r="AB616" i="26" s="1"/>
  <c r="AA326" i="26"/>
  <c r="AA616" i="26" s="1"/>
  <c r="Z326" i="26"/>
  <c r="Z616" i="26" s="1"/>
  <c r="Y326" i="26"/>
  <c r="Y616" i="26" s="1"/>
  <c r="X326" i="26"/>
  <c r="X616" i="26" s="1"/>
  <c r="W326" i="26"/>
  <c r="W616" i="26" s="1"/>
  <c r="V326" i="26"/>
  <c r="AJ325" i="26"/>
  <c r="AJ615" i="26" s="1"/>
  <c r="AI325" i="26"/>
  <c r="AI615" i="26" s="1"/>
  <c r="AH325" i="26"/>
  <c r="AH615" i="26" s="1"/>
  <c r="AG325" i="26"/>
  <c r="AG615" i="26" s="1"/>
  <c r="AF325" i="26"/>
  <c r="AF615" i="26" s="1"/>
  <c r="AE325" i="26"/>
  <c r="AE615" i="26" s="1"/>
  <c r="AD325" i="26"/>
  <c r="AD615" i="26" s="1"/>
  <c r="AC325" i="26"/>
  <c r="AC615" i="26" s="1"/>
  <c r="AB325" i="26"/>
  <c r="AB615" i="26" s="1"/>
  <c r="AA325" i="26"/>
  <c r="AA615" i="26" s="1"/>
  <c r="Z325" i="26"/>
  <c r="Z615" i="26" s="1"/>
  <c r="Y325" i="26"/>
  <c r="Y615" i="26" s="1"/>
  <c r="X325" i="26"/>
  <c r="X615" i="26" s="1"/>
  <c r="W325" i="26"/>
  <c r="W615" i="26" s="1"/>
  <c r="V325" i="26"/>
  <c r="AJ324" i="26"/>
  <c r="AJ614" i="26" s="1"/>
  <c r="AI324" i="26"/>
  <c r="AI614" i="26" s="1"/>
  <c r="AH324" i="26"/>
  <c r="AH614" i="26" s="1"/>
  <c r="AG324" i="26"/>
  <c r="AG614" i="26" s="1"/>
  <c r="AF324" i="26"/>
  <c r="AF614" i="26" s="1"/>
  <c r="AE324" i="26"/>
  <c r="AE614" i="26" s="1"/>
  <c r="AD324" i="26"/>
  <c r="AD614" i="26" s="1"/>
  <c r="AC324" i="26"/>
  <c r="AC614" i="26" s="1"/>
  <c r="AB324" i="26"/>
  <c r="AB614" i="26" s="1"/>
  <c r="AA324" i="26"/>
  <c r="AA614" i="26" s="1"/>
  <c r="Z324" i="26"/>
  <c r="Z614" i="26" s="1"/>
  <c r="Y324" i="26"/>
  <c r="Y614" i="26" s="1"/>
  <c r="X324" i="26"/>
  <c r="X614" i="26" s="1"/>
  <c r="W324" i="26"/>
  <c r="W614" i="26" s="1"/>
  <c r="V324" i="26"/>
  <c r="AJ323" i="26"/>
  <c r="AJ613" i="26" s="1"/>
  <c r="AI323" i="26"/>
  <c r="AI613" i="26" s="1"/>
  <c r="AH323" i="26"/>
  <c r="AH613" i="26" s="1"/>
  <c r="AG323" i="26"/>
  <c r="AG613" i="26" s="1"/>
  <c r="AF323" i="26"/>
  <c r="AF613" i="26" s="1"/>
  <c r="AE323" i="26"/>
  <c r="AE613" i="26" s="1"/>
  <c r="AD323" i="26"/>
  <c r="AD613" i="26" s="1"/>
  <c r="AC323" i="26"/>
  <c r="AC613" i="26" s="1"/>
  <c r="AB323" i="26"/>
  <c r="AB613" i="26" s="1"/>
  <c r="AA323" i="26"/>
  <c r="AA613" i="26" s="1"/>
  <c r="Z323" i="26"/>
  <c r="Z613" i="26" s="1"/>
  <c r="Y323" i="26"/>
  <c r="Y613" i="26" s="1"/>
  <c r="X323" i="26"/>
  <c r="X613" i="26" s="1"/>
  <c r="W323" i="26"/>
  <c r="W613" i="26" s="1"/>
  <c r="V323" i="26"/>
  <c r="AJ322" i="26"/>
  <c r="AJ612" i="26" s="1"/>
  <c r="AI322" i="26"/>
  <c r="AI612" i="26" s="1"/>
  <c r="AH322" i="26"/>
  <c r="AH612" i="26" s="1"/>
  <c r="AG322" i="26"/>
  <c r="AG612" i="26" s="1"/>
  <c r="AF322" i="26"/>
  <c r="AF612" i="26" s="1"/>
  <c r="AE322" i="26"/>
  <c r="AE612" i="26" s="1"/>
  <c r="AD322" i="26"/>
  <c r="AD612" i="26" s="1"/>
  <c r="AC322" i="26"/>
  <c r="AC612" i="26" s="1"/>
  <c r="AB322" i="26"/>
  <c r="AB612" i="26" s="1"/>
  <c r="AA322" i="26"/>
  <c r="AA612" i="26" s="1"/>
  <c r="Z322" i="26"/>
  <c r="Z612" i="26" s="1"/>
  <c r="Y322" i="26"/>
  <c r="Y612" i="26" s="1"/>
  <c r="X322" i="26"/>
  <c r="X612" i="26" s="1"/>
  <c r="W322" i="26"/>
  <c r="W612" i="26" s="1"/>
  <c r="V322" i="26"/>
  <c r="AJ321" i="26"/>
  <c r="AJ611" i="26" s="1"/>
  <c r="AI321" i="26"/>
  <c r="AI611" i="26" s="1"/>
  <c r="AH321" i="26"/>
  <c r="AH611" i="26" s="1"/>
  <c r="AG321" i="26"/>
  <c r="AG611" i="26" s="1"/>
  <c r="AF321" i="26"/>
  <c r="AF611" i="26" s="1"/>
  <c r="AE321" i="26"/>
  <c r="AE611" i="26" s="1"/>
  <c r="AD321" i="26"/>
  <c r="AD611" i="26" s="1"/>
  <c r="AC321" i="26"/>
  <c r="AC611" i="26" s="1"/>
  <c r="AB321" i="26"/>
  <c r="AB611" i="26" s="1"/>
  <c r="AA321" i="26"/>
  <c r="AA611" i="26" s="1"/>
  <c r="Z321" i="26"/>
  <c r="Z611" i="26" s="1"/>
  <c r="Y321" i="26"/>
  <c r="Y611" i="26" s="1"/>
  <c r="X321" i="26"/>
  <c r="X611" i="26" s="1"/>
  <c r="W321" i="26"/>
  <c r="W611" i="26" s="1"/>
  <c r="V321" i="26"/>
  <c r="AJ320" i="26"/>
  <c r="AJ610" i="26" s="1"/>
  <c r="AI320" i="26"/>
  <c r="AI610" i="26" s="1"/>
  <c r="AH320" i="26"/>
  <c r="AH610" i="26" s="1"/>
  <c r="AG320" i="26"/>
  <c r="AG610" i="26" s="1"/>
  <c r="AF320" i="26"/>
  <c r="AF610" i="26" s="1"/>
  <c r="AE320" i="26"/>
  <c r="AE610" i="26" s="1"/>
  <c r="AD320" i="26"/>
  <c r="AD610" i="26" s="1"/>
  <c r="AC320" i="26"/>
  <c r="AC610" i="26" s="1"/>
  <c r="AB320" i="26"/>
  <c r="AB610" i="26" s="1"/>
  <c r="AA320" i="26"/>
  <c r="AA610" i="26" s="1"/>
  <c r="Z320" i="26"/>
  <c r="Z610" i="26" s="1"/>
  <c r="Y320" i="26"/>
  <c r="Y610" i="26" s="1"/>
  <c r="X320" i="26"/>
  <c r="X610" i="26" s="1"/>
  <c r="W320" i="26"/>
  <c r="W610" i="26" s="1"/>
  <c r="V320" i="26"/>
  <c r="AJ319" i="26"/>
  <c r="AJ609" i="26" s="1"/>
  <c r="AI319" i="26"/>
  <c r="AI609" i="26" s="1"/>
  <c r="AH319" i="26"/>
  <c r="AH609" i="26" s="1"/>
  <c r="AG319" i="26"/>
  <c r="AG609" i="26" s="1"/>
  <c r="AF319" i="26"/>
  <c r="AF609" i="26" s="1"/>
  <c r="AE319" i="26"/>
  <c r="AE609" i="26" s="1"/>
  <c r="AD319" i="26"/>
  <c r="AD609" i="26" s="1"/>
  <c r="AC319" i="26"/>
  <c r="AC609" i="26" s="1"/>
  <c r="AB319" i="26"/>
  <c r="AB609" i="26" s="1"/>
  <c r="AA319" i="26"/>
  <c r="AA609" i="26" s="1"/>
  <c r="Z319" i="26"/>
  <c r="Z609" i="26" s="1"/>
  <c r="Y319" i="26"/>
  <c r="Y609" i="26" s="1"/>
  <c r="X319" i="26"/>
  <c r="X609" i="26" s="1"/>
  <c r="W319" i="26"/>
  <c r="W609" i="26" s="1"/>
  <c r="V319" i="26"/>
  <c r="AJ318" i="26"/>
  <c r="AJ608" i="26" s="1"/>
  <c r="AI318" i="26"/>
  <c r="AI608" i="26" s="1"/>
  <c r="AH318" i="26"/>
  <c r="AH608" i="26" s="1"/>
  <c r="AG318" i="26"/>
  <c r="AG608" i="26" s="1"/>
  <c r="AF318" i="26"/>
  <c r="AF608" i="26" s="1"/>
  <c r="AE318" i="26"/>
  <c r="AE608" i="26" s="1"/>
  <c r="AD318" i="26"/>
  <c r="AD608" i="26" s="1"/>
  <c r="AC318" i="26"/>
  <c r="AC608" i="26" s="1"/>
  <c r="AB318" i="26"/>
  <c r="AB608" i="26" s="1"/>
  <c r="AA318" i="26"/>
  <c r="AA608" i="26" s="1"/>
  <c r="Z318" i="26"/>
  <c r="Z608" i="26" s="1"/>
  <c r="Y318" i="26"/>
  <c r="Y608" i="26" s="1"/>
  <c r="X318" i="26"/>
  <c r="X608" i="26" s="1"/>
  <c r="W318" i="26"/>
  <c r="W608" i="26" s="1"/>
  <c r="V318" i="26"/>
  <c r="AJ317" i="26"/>
  <c r="AJ607" i="26" s="1"/>
  <c r="AI317" i="26"/>
  <c r="AI607" i="26" s="1"/>
  <c r="AH317" i="26"/>
  <c r="AH607" i="26" s="1"/>
  <c r="AG317" i="26"/>
  <c r="AG607" i="26" s="1"/>
  <c r="AF317" i="26"/>
  <c r="AF607" i="26" s="1"/>
  <c r="AE317" i="26"/>
  <c r="AE607" i="26" s="1"/>
  <c r="AD317" i="26"/>
  <c r="AD607" i="26" s="1"/>
  <c r="AC317" i="26"/>
  <c r="AC607" i="26" s="1"/>
  <c r="AB317" i="26"/>
  <c r="AB607" i="26" s="1"/>
  <c r="AA317" i="26"/>
  <c r="AA607" i="26" s="1"/>
  <c r="Z317" i="26"/>
  <c r="Z607" i="26" s="1"/>
  <c r="Y317" i="26"/>
  <c r="Y607" i="26" s="1"/>
  <c r="X317" i="26"/>
  <c r="X607" i="26" s="1"/>
  <c r="W317" i="26"/>
  <c r="W607" i="26" s="1"/>
  <c r="V317" i="26"/>
  <c r="AJ316" i="26"/>
  <c r="AJ606" i="26" s="1"/>
  <c r="AI316" i="26"/>
  <c r="AI606" i="26" s="1"/>
  <c r="AH316" i="26"/>
  <c r="AH606" i="26" s="1"/>
  <c r="AG316" i="26"/>
  <c r="AG606" i="26" s="1"/>
  <c r="AF316" i="26"/>
  <c r="AF606" i="26" s="1"/>
  <c r="AE316" i="26"/>
  <c r="AE606" i="26" s="1"/>
  <c r="AD316" i="26"/>
  <c r="AD606" i="26" s="1"/>
  <c r="AC316" i="26"/>
  <c r="AC606" i="26" s="1"/>
  <c r="AB316" i="26"/>
  <c r="AB606" i="26" s="1"/>
  <c r="AA316" i="26"/>
  <c r="AA606" i="26" s="1"/>
  <c r="Z316" i="26"/>
  <c r="Z606" i="26" s="1"/>
  <c r="Y316" i="26"/>
  <c r="Y606" i="26" s="1"/>
  <c r="X316" i="26"/>
  <c r="X606" i="26" s="1"/>
  <c r="W316" i="26"/>
  <c r="W606" i="26" s="1"/>
  <c r="V316" i="26"/>
  <c r="AJ315" i="26"/>
  <c r="AJ605" i="26" s="1"/>
  <c r="AI315" i="26"/>
  <c r="AI605" i="26" s="1"/>
  <c r="AH315" i="26"/>
  <c r="AH605" i="26" s="1"/>
  <c r="AG315" i="26"/>
  <c r="AG605" i="26" s="1"/>
  <c r="AF315" i="26"/>
  <c r="AF605" i="26" s="1"/>
  <c r="AE315" i="26"/>
  <c r="AE605" i="26" s="1"/>
  <c r="AD315" i="26"/>
  <c r="AD605" i="26" s="1"/>
  <c r="AC315" i="26"/>
  <c r="AC605" i="26" s="1"/>
  <c r="AB315" i="26"/>
  <c r="AB605" i="26" s="1"/>
  <c r="AA315" i="26"/>
  <c r="AA605" i="26" s="1"/>
  <c r="Z315" i="26"/>
  <c r="Z605" i="26" s="1"/>
  <c r="Y315" i="26"/>
  <c r="Y605" i="26" s="1"/>
  <c r="X315" i="26"/>
  <c r="X605" i="26" s="1"/>
  <c r="W315" i="26"/>
  <c r="W605" i="26" s="1"/>
  <c r="V315" i="26"/>
  <c r="AJ314" i="26"/>
  <c r="AJ604" i="26" s="1"/>
  <c r="AI314" i="26"/>
  <c r="AI604" i="26" s="1"/>
  <c r="AH314" i="26"/>
  <c r="AH604" i="26" s="1"/>
  <c r="AG314" i="26"/>
  <c r="AG604" i="26" s="1"/>
  <c r="AF314" i="26"/>
  <c r="AF604" i="26" s="1"/>
  <c r="AE314" i="26"/>
  <c r="AE604" i="26" s="1"/>
  <c r="AD314" i="26"/>
  <c r="AD604" i="26" s="1"/>
  <c r="AC314" i="26"/>
  <c r="AC604" i="26" s="1"/>
  <c r="AB314" i="26"/>
  <c r="AB604" i="26" s="1"/>
  <c r="AA314" i="26"/>
  <c r="AA604" i="26" s="1"/>
  <c r="Z314" i="26"/>
  <c r="Z604" i="26" s="1"/>
  <c r="Y314" i="26"/>
  <c r="Y604" i="26" s="1"/>
  <c r="X314" i="26"/>
  <c r="X604" i="26" s="1"/>
  <c r="W314" i="26"/>
  <c r="W604" i="26" s="1"/>
  <c r="V314" i="26"/>
  <c r="AJ313" i="26"/>
  <c r="AJ603" i="26" s="1"/>
  <c r="AI313" i="26"/>
  <c r="AI603" i="26" s="1"/>
  <c r="AH313" i="26"/>
  <c r="AH603" i="26" s="1"/>
  <c r="AG313" i="26"/>
  <c r="AG603" i="26" s="1"/>
  <c r="AF313" i="26"/>
  <c r="AF603" i="26" s="1"/>
  <c r="AE313" i="26"/>
  <c r="AE603" i="26" s="1"/>
  <c r="AD313" i="26"/>
  <c r="AD603" i="26" s="1"/>
  <c r="AC313" i="26"/>
  <c r="AC603" i="26" s="1"/>
  <c r="AB313" i="26"/>
  <c r="AB603" i="26" s="1"/>
  <c r="AA313" i="26"/>
  <c r="AA603" i="26" s="1"/>
  <c r="Z313" i="26"/>
  <c r="Z603" i="26" s="1"/>
  <c r="Y313" i="26"/>
  <c r="Y603" i="26" s="1"/>
  <c r="X313" i="26"/>
  <c r="X603" i="26" s="1"/>
  <c r="W313" i="26"/>
  <c r="W603" i="26" s="1"/>
  <c r="V313" i="26"/>
  <c r="AJ312" i="26"/>
  <c r="AJ602" i="26" s="1"/>
  <c r="AI312" i="26"/>
  <c r="AI602" i="26" s="1"/>
  <c r="AH312" i="26"/>
  <c r="AH602" i="26" s="1"/>
  <c r="AG312" i="26"/>
  <c r="AG602" i="26" s="1"/>
  <c r="AF312" i="26"/>
  <c r="AF602" i="26" s="1"/>
  <c r="AE312" i="26"/>
  <c r="AE602" i="26" s="1"/>
  <c r="AD312" i="26"/>
  <c r="AD602" i="26" s="1"/>
  <c r="AC312" i="26"/>
  <c r="AC602" i="26" s="1"/>
  <c r="AB312" i="26"/>
  <c r="AB602" i="26" s="1"/>
  <c r="AA312" i="26"/>
  <c r="AA602" i="26" s="1"/>
  <c r="Z312" i="26"/>
  <c r="Z602" i="26" s="1"/>
  <c r="Y312" i="26"/>
  <c r="Y602" i="26" s="1"/>
  <c r="X312" i="26"/>
  <c r="X602" i="26" s="1"/>
  <c r="W312" i="26"/>
  <c r="W602" i="26" s="1"/>
  <c r="V312" i="26"/>
  <c r="AJ311" i="26"/>
  <c r="AJ601" i="26" s="1"/>
  <c r="AI311" i="26"/>
  <c r="AI601" i="26" s="1"/>
  <c r="AH311" i="26"/>
  <c r="AH601" i="26" s="1"/>
  <c r="AG311" i="26"/>
  <c r="AG601" i="26" s="1"/>
  <c r="AF311" i="26"/>
  <c r="AF601" i="26" s="1"/>
  <c r="AE311" i="26"/>
  <c r="AE601" i="26" s="1"/>
  <c r="AD311" i="26"/>
  <c r="AD601" i="26" s="1"/>
  <c r="AC311" i="26"/>
  <c r="AC601" i="26" s="1"/>
  <c r="AB311" i="26"/>
  <c r="AB601" i="26" s="1"/>
  <c r="AA311" i="26"/>
  <c r="AA601" i="26" s="1"/>
  <c r="Z311" i="26"/>
  <c r="Z601" i="26" s="1"/>
  <c r="Y311" i="26"/>
  <c r="Y601" i="26" s="1"/>
  <c r="X311" i="26"/>
  <c r="X601" i="26" s="1"/>
  <c r="W311" i="26"/>
  <c r="W601" i="26" s="1"/>
  <c r="V311" i="26"/>
  <c r="AJ310" i="26"/>
  <c r="AJ600" i="26" s="1"/>
  <c r="AI310" i="26"/>
  <c r="AI600" i="26" s="1"/>
  <c r="AH310" i="26"/>
  <c r="AH600" i="26" s="1"/>
  <c r="AG310" i="26"/>
  <c r="AG600" i="26" s="1"/>
  <c r="AF310" i="26"/>
  <c r="AF600" i="26" s="1"/>
  <c r="AE310" i="26"/>
  <c r="AE600" i="26" s="1"/>
  <c r="AD310" i="26"/>
  <c r="AD600" i="26" s="1"/>
  <c r="AC310" i="26"/>
  <c r="AC600" i="26" s="1"/>
  <c r="AB310" i="26"/>
  <c r="AB600" i="26" s="1"/>
  <c r="AA310" i="26"/>
  <c r="AA600" i="26" s="1"/>
  <c r="Z310" i="26"/>
  <c r="Z600" i="26" s="1"/>
  <c r="Y310" i="26"/>
  <c r="Y600" i="26" s="1"/>
  <c r="X310" i="26"/>
  <c r="X600" i="26" s="1"/>
  <c r="W310" i="26"/>
  <c r="W600" i="26" s="1"/>
  <c r="V310" i="26"/>
  <c r="AJ309" i="26"/>
  <c r="AJ599" i="26" s="1"/>
  <c r="AI309" i="26"/>
  <c r="AI599" i="26" s="1"/>
  <c r="AH309" i="26"/>
  <c r="AH599" i="26" s="1"/>
  <c r="AG309" i="26"/>
  <c r="AG599" i="26" s="1"/>
  <c r="AF309" i="26"/>
  <c r="AF599" i="26" s="1"/>
  <c r="AE309" i="26"/>
  <c r="AE599" i="26" s="1"/>
  <c r="AD309" i="26"/>
  <c r="AD599" i="26" s="1"/>
  <c r="AC309" i="26"/>
  <c r="AC599" i="26" s="1"/>
  <c r="AB309" i="26"/>
  <c r="AB599" i="26" s="1"/>
  <c r="AA309" i="26"/>
  <c r="AA599" i="26" s="1"/>
  <c r="Z309" i="26"/>
  <c r="Z599" i="26" s="1"/>
  <c r="Y309" i="26"/>
  <c r="Y599" i="26" s="1"/>
  <c r="X309" i="26"/>
  <c r="X599" i="26" s="1"/>
  <c r="W309" i="26"/>
  <c r="W599" i="26" s="1"/>
  <c r="V309" i="26"/>
  <c r="AJ308" i="26"/>
  <c r="AJ598" i="26" s="1"/>
  <c r="AI308" i="26"/>
  <c r="AI598" i="26" s="1"/>
  <c r="AH308" i="26"/>
  <c r="AH598" i="26" s="1"/>
  <c r="AG308" i="26"/>
  <c r="AG598" i="26" s="1"/>
  <c r="AF308" i="26"/>
  <c r="AF598" i="26" s="1"/>
  <c r="AE308" i="26"/>
  <c r="AE598" i="26" s="1"/>
  <c r="AD308" i="26"/>
  <c r="AD598" i="26" s="1"/>
  <c r="AC308" i="26"/>
  <c r="AC598" i="26" s="1"/>
  <c r="AB308" i="26"/>
  <c r="AB598" i="26" s="1"/>
  <c r="AA308" i="26"/>
  <c r="AA598" i="26" s="1"/>
  <c r="Z308" i="26"/>
  <c r="Z598" i="26" s="1"/>
  <c r="Y308" i="26"/>
  <c r="Y598" i="26" s="1"/>
  <c r="X308" i="26"/>
  <c r="X598" i="26" s="1"/>
  <c r="W308" i="26"/>
  <c r="W598" i="26" s="1"/>
  <c r="V308" i="26"/>
  <c r="AJ307" i="26"/>
  <c r="AJ597" i="26" s="1"/>
  <c r="AI307" i="26"/>
  <c r="AI597" i="26" s="1"/>
  <c r="AH307" i="26"/>
  <c r="AH597" i="26" s="1"/>
  <c r="AG307" i="26"/>
  <c r="AG597" i="26" s="1"/>
  <c r="AF307" i="26"/>
  <c r="AF597" i="26" s="1"/>
  <c r="AE307" i="26"/>
  <c r="AE597" i="26" s="1"/>
  <c r="AD307" i="26"/>
  <c r="AD597" i="26" s="1"/>
  <c r="AC307" i="26"/>
  <c r="AC597" i="26" s="1"/>
  <c r="AB307" i="26"/>
  <c r="AB597" i="26" s="1"/>
  <c r="AA307" i="26"/>
  <c r="AA597" i="26" s="1"/>
  <c r="Z307" i="26"/>
  <c r="Z597" i="26" s="1"/>
  <c r="Y307" i="26"/>
  <c r="Y597" i="26" s="1"/>
  <c r="X307" i="26"/>
  <c r="X597" i="26" s="1"/>
  <c r="W307" i="26"/>
  <c r="W597" i="26" s="1"/>
  <c r="V307" i="26"/>
  <c r="AJ306" i="26"/>
  <c r="AJ596" i="26" s="1"/>
  <c r="AI306" i="26"/>
  <c r="AI596" i="26" s="1"/>
  <c r="AH306" i="26"/>
  <c r="AH596" i="26" s="1"/>
  <c r="AG306" i="26"/>
  <c r="AG596" i="26" s="1"/>
  <c r="AF306" i="26"/>
  <c r="AF596" i="26" s="1"/>
  <c r="AE306" i="26"/>
  <c r="AE596" i="26" s="1"/>
  <c r="AD306" i="26"/>
  <c r="AD596" i="26" s="1"/>
  <c r="AC306" i="26"/>
  <c r="AC596" i="26" s="1"/>
  <c r="AB306" i="26"/>
  <c r="AB596" i="26" s="1"/>
  <c r="AA306" i="26"/>
  <c r="AA596" i="26" s="1"/>
  <c r="Z306" i="26"/>
  <c r="Z596" i="26" s="1"/>
  <c r="Y306" i="26"/>
  <c r="Y596" i="26" s="1"/>
  <c r="X306" i="26"/>
  <c r="X596" i="26" s="1"/>
  <c r="W306" i="26"/>
  <c r="W596" i="26" s="1"/>
  <c r="V306" i="26"/>
  <c r="AJ305" i="26"/>
  <c r="AJ595" i="26" s="1"/>
  <c r="AI305" i="26"/>
  <c r="AI595" i="26" s="1"/>
  <c r="AH305" i="26"/>
  <c r="AH595" i="26" s="1"/>
  <c r="AG305" i="26"/>
  <c r="AG595" i="26" s="1"/>
  <c r="AF305" i="26"/>
  <c r="AF595" i="26" s="1"/>
  <c r="AE305" i="26"/>
  <c r="AE595" i="26" s="1"/>
  <c r="AD305" i="26"/>
  <c r="AD595" i="26" s="1"/>
  <c r="AC305" i="26"/>
  <c r="AC595" i="26" s="1"/>
  <c r="AB305" i="26"/>
  <c r="AB595" i="26" s="1"/>
  <c r="AA305" i="26"/>
  <c r="AA595" i="26" s="1"/>
  <c r="Z305" i="26"/>
  <c r="Z595" i="26" s="1"/>
  <c r="Y305" i="26"/>
  <c r="Y595" i="26" s="1"/>
  <c r="X305" i="26"/>
  <c r="X595" i="26" s="1"/>
  <c r="W305" i="26"/>
  <c r="W595" i="26" s="1"/>
  <c r="V305" i="26"/>
  <c r="AJ304" i="26"/>
  <c r="AJ594" i="26" s="1"/>
  <c r="AI304" i="26"/>
  <c r="AI594" i="26" s="1"/>
  <c r="AH304" i="26"/>
  <c r="AH594" i="26" s="1"/>
  <c r="AG304" i="26"/>
  <c r="AG594" i="26" s="1"/>
  <c r="AF304" i="26"/>
  <c r="AF594" i="26" s="1"/>
  <c r="AE304" i="26"/>
  <c r="AE594" i="26" s="1"/>
  <c r="AD304" i="26"/>
  <c r="AD594" i="26" s="1"/>
  <c r="AC304" i="26"/>
  <c r="AC594" i="26" s="1"/>
  <c r="AB304" i="26"/>
  <c r="AB594" i="26" s="1"/>
  <c r="AA304" i="26"/>
  <c r="AA594" i="26" s="1"/>
  <c r="Z304" i="26"/>
  <c r="Z594" i="26" s="1"/>
  <c r="Y304" i="26"/>
  <c r="Y594" i="26" s="1"/>
  <c r="X304" i="26"/>
  <c r="X594" i="26" s="1"/>
  <c r="W304" i="26"/>
  <c r="W594" i="26" s="1"/>
  <c r="V304" i="26"/>
  <c r="AJ303" i="26"/>
  <c r="AJ593" i="26" s="1"/>
  <c r="AI303" i="26"/>
  <c r="AI593" i="26" s="1"/>
  <c r="AH303" i="26"/>
  <c r="AH593" i="26" s="1"/>
  <c r="AG303" i="26"/>
  <c r="AG593" i="26" s="1"/>
  <c r="AF303" i="26"/>
  <c r="AF593" i="26" s="1"/>
  <c r="AE303" i="26"/>
  <c r="AE593" i="26" s="1"/>
  <c r="AD303" i="26"/>
  <c r="AD593" i="26" s="1"/>
  <c r="AC303" i="26"/>
  <c r="AC593" i="26" s="1"/>
  <c r="AB303" i="26"/>
  <c r="AB593" i="26" s="1"/>
  <c r="AA303" i="26"/>
  <c r="AA593" i="26" s="1"/>
  <c r="Z303" i="26"/>
  <c r="Z593" i="26" s="1"/>
  <c r="Y303" i="26"/>
  <c r="Y593" i="26" s="1"/>
  <c r="X303" i="26"/>
  <c r="X593" i="26" s="1"/>
  <c r="W303" i="26"/>
  <c r="W593" i="26" s="1"/>
  <c r="V303" i="26"/>
  <c r="AJ302" i="26"/>
  <c r="AJ592" i="26" s="1"/>
  <c r="AI302" i="26"/>
  <c r="AI592" i="26" s="1"/>
  <c r="AH302" i="26"/>
  <c r="AH592" i="26" s="1"/>
  <c r="AG302" i="26"/>
  <c r="AG592" i="26" s="1"/>
  <c r="AF302" i="26"/>
  <c r="AF592" i="26" s="1"/>
  <c r="AE302" i="26"/>
  <c r="AE592" i="26" s="1"/>
  <c r="AD302" i="26"/>
  <c r="AD592" i="26" s="1"/>
  <c r="AC302" i="26"/>
  <c r="AC592" i="26" s="1"/>
  <c r="AB302" i="26"/>
  <c r="AB592" i="26" s="1"/>
  <c r="AA302" i="26"/>
  <c r="AA592" i="26" s="1"/>
  <c r="Z302" i="26"/>
  <c r="Z592" i="26" s="1"/>
  <c r="Y302" i="26"/>
  <c r="Y592" i="26" s="1"/>
  <c r="X302" i="26"/>
  <c r="X592" i="26" s="1"/>
  <c r="W302" i="26"/>
  <c r="W592" i="26" s="1"/>
  <c r="V302" i="26"/>
  <c r="AJ301" i="26"/>
  <c r="AJ591" i="26" s="1"/>
  <c r="AI301" i="26"/>
  <c r="AI591" i="26" s="1"/>
  <c r="AH301" i="26"/>
  <c r="AH591" i="26" s="1"/>
  <c r="AG301" i="26"/>
  <c r="AG591" i="26" s="1"/>
  <c r="AF301" i="26"/>
  <c r="AF591" i="26" s="1"/>
  <c r="AE301" i="26"/>
  <c r="AE591" i="26" s="1"/>
  <c r="AD301" i="26"/>
  <c r="AD591" i="26" s="1"/>
  <c r="AC301" i="26"/>
  <c r="AC591" i="26" s="1"/>
  <c r="AB301" i="26"/>
  <c r="AB591" i="26" s="1"/>
  <c r="AA301" i="26"/>
  <c r="AA591" i="26" s="1"/>
  <c r="Z301" i="26"/>
  <c r="Z591" i="26" s="1"/>
  <c r="Y301" i="26"/>
  <c r="Y591" i="26" s="1"/>
  <c r="X301" i="26"/>
  <c r="X591" i="26" s="1"/>
  <c r="W301" i="26"/>
  <c r="W591" i="26" s="1"/>
  <c r="V301" i="26"/>
  <c r="AJ300" i="26"/>
  <c r="AJ590" i="26" s="1"/>
  <c r="AI300" i="26"/>
  <c r="AI590" i="26" s="1"/>
  <c r="AH300" i="26"/>
  <c r="AH590" i="26" s="1"/>
  <c r="AG300" i="26"/>
  <c r="AG590" i="26" s="1"/>
  <c r="AF300" i="26"/>
  <c r="AF590" i="26" s="1"/>
  <c r="AE300" i="26"/>
  <c r="AE590" i="26" s="1"/>
  <c r="AD300" i="26"/>
  <c r="AD590" i="26" s="1"/>
  <c r="AC300" i="26"/>
  <c r="AC590" i="26" s="1"/>
  <c r="AB300" i="26"/>
  <c r="AB590" i="26" s="1"/>
  <c r="AA300" i="26"/>
  <c r="AA590" i="26" s="1"/>
  <c r="Z300" i="26"/>
  <c r="Z590" i="26" s="1"/>
  <c r="Y300" i="26"/>
  <c r="Y590" i="26" s="1"/>
  <c r="X300" i="26"/>
  <c r="X590" i="26" s="1"/>
  <c r="W300" i="26"/>
  <c r="W590" i="26" s="1"/>
  <c r="V300" i="26"/>
  <c r="AJ299" i="26"/>
  <c r="AJ589" i="26" s="1"/>
  <c r="AI299" i="26"/>
  <c r="AI589" i="26" s="1"/>
  <c r="AH299" i="26"/>
  <c r="AH589" i="26" s="1"/>
  <c r="AG299" i="26"/>
  <c r="AG589" i="26" s="1"/>
  <c r="AF299" i="26"/>
  <c r="AF589" i="26" s="1"/>
  <c r="AE299" i="26"/>
  <c r="AE589" i="26" s="1"/>
  <c r="AD299" i="26"/>
  <c r="AD589" i="26" s="1"/>
  <c r="AC299" i="26"/>
  <c r="AC589" i="26" s="1"/>
  <c r="AB299" i="26"/>
  <c r="AB589" i="26" s="1"/>
  <c r="AA299" i="26"/>
  <c r="AA589" i="26" s="1"/>
  <c r="Z299" i="26"/>
  <c r="Z589" i="26" s="1"/>
  <c r="Y299" i="26"/>
  <c r="Y589" i="26" s="1"/>
  <c r="X299" i="26"/>
  <c r="X589" i="26" s="1"/>
  <c r="W299" i="26"/>
  <c r="W589" i="26" s="1"/>
  <c r="V299" i="26"/>
  <c r="AJ298" i="26"/>
  <c r="AJ588" i="26" s="1"/>
  <c r="AI298" i="26"/>
  <c r="AI588" i="26" s="1"/>
  <c r="AH298" i="26"/>
  <c r="AH588" i="26" s="1"/>
  <c r="AG298" i="26"/>
  <c r="AG588" i="26" s="1"/>
  <c r="AF298" i="26"/>
  <c r="AF588" i="26" s="1"/>
  <c r="AE298" i="26"/>
  <c r="AE588" i="26" s="1"/>
  <c r="AD298" i="26"/>
  <c r="AD588" i="26" s="1"/>
  <c r="AC298" i="26"/>
  <c r="AC588" i="26" s="1"/>
  <c r="AB298" i="26"/>
  <c r="AB588" i="26" s="1"/>
  <c r="AA298" i="26"/>
  <c r="AA588" i="26" s="1"/>
  <c r="Z298" i="26"/>
  <c r="Z588" i="26" s="1"/>
  <c r="Y298" i="26"/>
  <c r="Y588" i="26" s="1"/>
  <c r="X298" i="26"/>
  <c r="X588" i="26" s="1"/>
  <c r="W298" i="26"/>
  <c r="W588" i="26" s="1"/>
  <c r="V298" i="26"/>
  <c r="AJ297" i="26"/>
  <c r="AJ587" i="26" s="1"/>
  <c r="AI297" i="26"/>
  <c r="AI587" i="26" s="1"/>
  <c r="AH297" i="26"/>
  <c r="AH587" i="26" s="1"/>
  <c r="AG297" i="26"/>
  <c r="AG587" i="26" s="1"/>
  <c r="AF297" i="26"/>
  <c r="AF587" i="26" s="1"/>
  <c r="AE297" i="26"/>
  <c r="AE587" i="26" s="1"/>
  <c r="AD297" i="26"/>
  <c r="AD587" i="26" s="1"/>
  <c r="AC297" i="26"/>
  <c r="AC587" i="26" s="1"/>
  <c r="AB297" i="26"/>
  <c r="AB587" i="26" s="1"/>
  <c r="AA297" i="26"/>
  <c r="AA587" i="26" s="1"/>
  <c r="Z297" i="26"/>
  <c r="Z587" i="26" s="1"/>
  <c r="Y297" i="26"/>
  <c r="Y587" i="26" s="1"/>
  <c r="X297" i="26"/>
  <c r="X587" i="26" s="1"/>
  <c r="W297" i="26"/>
  <c r="W587" i="26" s="1"/>
  <c r="V297" i="26"/>
  <c r="AJ296" i="26"/>
  <c r="AJ586" i="26" s="1"/>
  <c r="AI296" i="26"/>
  <c r="AI586" i="26" s="1"/>
  <c r="AH296" i="26"/>
  <c r="AH586" i="26" s="1"/>
  <c r="AG296" i="26"/>
  <c r="AG586" i="26" s="1"/>
  <c r="AF296" i="26"/>
  <c r="AF586" i="26" s="1"/>
  <c r="AE296" i="26"/>
  <c r="AE586" i="26" s="1"/>
  <c r="AD296" i="26"/>
  <c r="AD586" i="26" s="1"/>
  <c r="AC296" i="26"/>
  <c r="AC586" i="26" s="1"/>
  <c r="AB296" i="26"/>
  <c r="AB586" i="26" s="1"/>
  <c r="AA296" i="26"/>
  <c r="AA586" i="26" s="1"/>
  <c r="Z296" i="26"/>
  <c r="Z586" i="26" s="1"/>
  <c r="Y296" i="26"/>
  <c r="Y586" i="26" s="1"/>
  <c r="X296" i="26"/>
  <c r="X586" i="26" s="1"/>
  <c r="W296" i="26"/>
  <c r="W586" i="26" s="1"/>
  <c r="V296" i="26"/>
  <c r="AJ295" i="26"/>
  <c r="AJ585" i="26" s="1"/>
  <c r="AI295" i="26"/>
  <c r="AI585" i="26" s="1"/>
  <c r="AH295" i="26"/>
  <c r="AH585" i="26" s="1"/>
  <c r="AG295" i="26"/>
  <c r="AG585" i="26" s="1"/>
  <c r="AF295" i="26"/>
  <c r="AF585" i="26" s="1"/>
  <c r="AE295" i="26"/>
  <c r="AE585" i="26" s="1"/>
  <c r="AD295" i="26"/>
  <c r="AD585" i="26" s="1"/>
  <c r="AC295" i="26"/>
  <c r="AC585" i="26" s="1"/>
  <c r="AB295" i="26"/>
  <c r="AB585" i="26" s="1"/>
  <c r="AA295" i="26"/>
  <c r="AA585" i="26" s="1"/>
  <c r="Z295" i="26"/>
  <c r="Z585" i="26" s="1"/>
  <c r="Y295" i="26"/>
  <c r="Y585" i="26" s="1"/>
  <c r="X295" i="26"/>
  <c r="X585" i="26" s="1"/>
  <c r="W295" i="26"/>
  <c r="W585" i="26" s="1"/>
  <c r="V295" i="26"/>
  <c r="AJ294" i="26"/>
  <c r="AJ584" i="26" s="1"/>
  <c r="AI294" i="26"/>
  <c r="AI584" i="26" s="1"/>
  <c r="AH294" i="26"/>
  <c r="AH584" i="26" s="1"/>
  <c r="AG294" i="26"/>
  <c r="AG584" i="26" s="1"/>
  <c r="AF294" i="26"/>
  <c r="AF584" i="26" s="1"/>
  <c r="AE294" i="26"/>
  <c r="AE584" i="26" s="1"/>
  <c r="AD294" i="26"/>
  <c r="AD584" i="26" s="1"/>
  <c r="AC294" i="26"/>
  <c r="AC584" i="26" s="1"/>
  <c r="AB294" i="26"/>
  <c r="AB584" i="26" s="1"/>
  <c r="AA294" i="26"/>
  <c r="AA584" i="26" s="1"/>
  <c r="Z294" i="26"/>
  <c r="Z584" i="26" s="1"/>
  <c r="Y294" i="26"/>
  <c r="Y584" i="26" s="1"/>
  <c r="X294" i="26"/>
  <c r="X584" i="26" s="1"/>
  <c r="W294" i="26"/>
  <c r="W584" i="26" s="1"/>
  <c r="V294" i="26"/>
  <c r="AJ293" i="26"/>
  <c r="AJ583" i="26" s="1"/>
  <c r="AI293" i="26"/>
  <c r="AI583" i="26" s="1"/>
  <c r="AH293" i="26"/>
  <c r="AH583" i="26" s="1"/>
  <c r="AG293" i="26"/>
  <c r="AG583" i="26" s="1"/>
  <c r="AF293" i="26"/>
  <c r="AF583" i="26" s="1"/>
  <c r="AE293" i="26"/>
  <c r="AE583" i="26" s="1"/>
  <c r="AD293" i="26"/>
  <c r="AD583" i="26" s="1"/>
  <c r="AC293" i="26"/>
  <c r="AC583" i="26" s="1"/>
  <c r="AB293" i="26"/>
  <c r="AB583" i="26" s="1"/>
  <c r="AA293" i="26"/>
  <c r="AA583" i="26" s="1"/>
  <c r="Z293" i="26"/>
  <c r="Z583" i="26" s="1"/>
  <c r="Y293" i="26"/>
  <c r="Y583" i="26" s="1"/>
  <c r="X293" i="26"/>
  <c r="X583" i="26" s="1"/>
  <c r="W293" i="26"/>
  <c r="AW295" i="26" l="1" a="1"/>
  <c r="AW295" i="26" s="1"/>
  <c r="AX377" i="26" a="1"/>
  <c r="AX377" i="26" s="1"/>
  <c r="AU377" i="26" a="1"/>
  <c r="AU377" i="26" s="1"/>
  <c r="AW377" i="26" a="1"/>
  <c r="AW377" i="26" s="1"/>
  <c r="AY377" i="26" a="1"/>
  <c r="AY377" i="26" s="1"/>
  <c r="AT377" i="26" a="1"/>
  <c r="AT377" i="26" s="1"/>
  <c r="AS377" i="26" a="1"/>
  <c r="AS377" i="26" s="1"/>
  <c r="AY385" i="26" a="1"/>
  <c r="AY385" i="26" s="1"/>
  <c r="AX385" i="26" a="1"/>
  <c r="AX385" i="26" s="1"/>
  <c r="AU385" i="26" a="1"/>
  <c r="AU385" i="26" s="1"/>
  <c r="AW385" i="26" a="1"/>
  <c r="AW385" i="26" s="1"/>
  <c r="AS385" i="26" a="1"/>
  <c r="AS385" i="26" s="1"/>
  <c r="AT385" i="26" a="1"/>
  <c r="AT385" i="26" s="1"/>
  <c r="AW393" i="26" a="1"/>
  <c r="AW393" i="26" s="1"/>
  <c r="AU393" i="26" a="1"/>
  <c r="AU393" i="26" s="1"/>
  <c r="AY393" i="26" a="1"/>
  <c r="AY393" i="26" s="1"/>
  <c r="BC393" i="26" s="1"/>
  <c r="BG393" i="26" s="1"/>
  <c r="AX393" i="26" a="1"/>
  <c r="AX393" i="26" s="1"/>
  <c r="AT393" i="26" a="1"/>
  <c r="AT393" i="26" s="1"/>
  <c r="AS393" i="26" a="1"/>
  <c r="AS393" i="26" s="1"/>
  <c r="AY401" i="26" a="1"/>
  <c r="AY401" i="26" s="1"/>
  <c r="AX401" i="26" a="1"/>
  <c r="AX401" i="26" s="1"/>
  <c r="AW401" i="26" a="1"/>
  <c r="AW401" i="26" s="1"/>
  <c r="AU401" i="26" a="1"/>
  <c r="AU401" i="26" s="1"/>
  <c r="AS401" i="26" a="1"/>
  <c r="AS401" i="26" s="1"/>
  <c r="AT401" i="26" a="1"/>
  <c r="AT401" i="26" s="1"/>
  <c r="AW409" i="26" a="1"/>
  <c r="AW409" i="26" s="1"/>
  <c r="AX409" i="26" a="1"/>
  <c r="AX409" i="26" s="1"/>
  <c r="AU409" i="26" a="1"/>
  <c r="AU409" i="26" s="1"/>
  <c r="AY409" i="26" a="1"/>
  <c r="AY409" i="26" s="1"/>
  <c r="AT409" i="26" a="1"/>
  <c r="AT409" i="26" s="1"/>
  <c r="AS409" i="26" a="1"/>
  <c r="AS409" i="26" s="1"/>
  <c r="AX417" i="26" a="1"/>
  <c r="AX417" i="26" s="1"/>
  <c r="AY417" i="26" a="1"/>
  <c r="AY417" i="26" s="1"/>
  <c r="AU417" i="26" a="1"/>
  <c r="AU417" i="26" s="1"/>
  <c r="AW417" i="26" a="1"/>
  <c r="AW417" i="26" s="1"/>
  <c r="AS417" i="26" a="1"/>
  <c r="AS417" i="26" s="1"/>
  <c r="AT417" i="26" a="1"/>
  <c r="AT417" i="26" s="1"/>
  <c r="AW425" i="26" a="1"/>
  <c r="AW425" i="26" s="1"/>
  <c r="AX425" i="26" a="1"/>
  <c r="AX425" i="26" s="1"/>
  <c r="AU425" i="26" a="1"/>
  <c r="AU425" i="26" s="1"/>
  <c r="AY425" i="26" a="1"/>
  <c r="AY425" i="26" s="1"/>
  <c r="BC425" i="26" s="1"/>
  <c r="BG425" i="26" s="1"/>
  <c r="AT425" i="26" a="1"/>
  <c r="AT425" i="26" s="1"/>
  <c r="AS425" i="26" a="1"/>
  <c r="AS425" i="26" s="1"/>
  <c r="AU433" i="26" a="1"/>
  <c r="AU433" i="26" s="1"/>
  <c r="AY433" i="26" a="1"/>
  <c r="AY433" i="26" s="1"/>
  <c r="AX433" i="26" a="1"/>
  <c r="AX433" i="26" s="1"/>
  <c r="AW433" i="26" a="1"/>
  <c r="AW433" i="26" s="1"/>
  <c r="AS433" i="26" a="1"/>
  <c r="AS433" i="26" s="1"/>
  <c r="AT433" i="26" a="1"/>
  <c r="AT433" i="26" s="1"/>
  <c r="AY441" i="26" a="1"/>
  <c r="AY441" i="26" s="1"/>
  <c r="AU441" i="26" a="1"/>
  <c r="AU441" i="26" s="1"/>
  <c r="AX441" i="26" a="1"/>
  <c r="AX441" i="26" s="1"/>
  <c r="AW441" i="26" a="1"/>
  <c r="AW441" i="26" s="1"/>
  <c r="AT441" i="26" a="1"/>
  <c r="AT441" i="26" s="1"/>
  <c r="AS441" i="26" a="1"/>
  <c r="AS441" i="26" s="1"/>
  <c r="AX449" i="26" a="1"/>
  <c r="AX449" i="26" s="1"/>
  <c r="AW449" i="26" a="1"/>
  <c r="AW449" i="26" s="1"/>
  <c r="AY449" i="26" a="1"/>
  <c r="AY449" i="26" s="1"/>
  <c r="AU449" i="26" a="1"/>
  <c r="AU449" i="26" s="1"/>
  <c r="AS449" i="26" a="1"/>
  <c r="AS449" i="26" s="1"/>
  <c r="AT449" i="26" a="1"/>
  <c r="AT449" i="26" s="1"/>
  <c r="AY457" i="26" a="1"/>
  <c r="AY457" i="26" s="1"/>
  <c r="BC457" i="26" s="1"/>
  <c r="BG457" i="26" s="1"/>
  <c r="AU457" i="26" a="1"/>
  <c r="AU457" i="26" s="1"/>
  <c r="AX457" i="26" a="1"/>
  <c r="AX457" i="26" s="1"/>
  <c r="AW457" i="26" a="1"/>
  <c r="AW457" i="26" s="1"/>
  <c r="AT457" i="26" a="1"/>
  <c r="AT457" i="26" s="1"/>
  <c r="AS457" i="26" a="1"/>
  <c r="AS457" i="26" s="1"/>
  <c r="AW465" i="26" a="1"/>
  <c r="AW465" i="26" s="1"/>
  <c r="AU465" i="26" a="1"/>
  <c r="AU465" i="26" s="1"/>
  <c r="AY465" i="26" a="1"/>
  <c r="AY465" i="26" s="1"/>
  <c r="BC465" i="26" s="1"/>
  <c r="BG465" i="26" s="1"/>
  <c r="AX465" i="26" a="1"/>
  <c r="AX465" i="26" s="1"/>
  <c r="AS465" i="26" a="1"/>
  <c r="AS465" i="26" s="1"/>
  <c r="AT465" i="26" a="1"/>
  <c r="AT465" i="26" s="1"/>
  <c r="AX473" i="26" a="1"/>
  <c r="AX473" i="26" s="1"/>
  <c r="AW473" i="26" a="1"/>
  <c r="AW473" i="26" s="1"/>
  <c r="AY473" i="26" a="1"/>
  <c r="AY473" i="26" s="1"/>
  <c r="BC473" i="26" s="1"/>
  <c r="BG473" i="26" s="1"/>
  <c r="AU473" i="26" a="1"/>
  <c r="AU473" i="26" s="1"/>
  <c r="AT473" i="26" a="1"/>
  <c r="AT473" i="26" s="1"/>
  <c r="AS473" i="26" a="1"/>
  <c r="AS473" i="26" s="1"/>
  <c r="AY481" i="26" a="1"/>
  <c r="AY481" i="26" s="1"/>
  <c r="BC481" i="26" s="1"/>
  <c r="BG481" i="26" s="1"/>
  <c r="AX481" i="26" a="1"/>
  <c r="AX481" i="26" s="1"/>
  <c r="AU481" i="26" a="1"/>
  <c r="AU481" i="26" s="1"/>
  <c r="AW481" i="26" a="1"/>
  <c r="AW481" i="26" s="1"/>
  <c r="AS481" i="26" a="1"/>
  <c r="AS481" i="26" s="1"/>
  <c r="AT481" i="26" a="1"/>
  <c r="AT481" i="26" s="1"/>
  <c r="AY489" i="26" a="1"/>
  <c r="AY489" i="26" s="1"/>
  <c r="BC489" i="26" s="1"/>
  <c r="BG489" i="26" s="1"/>
  <c r="AX489" i="26" a="1"/>
  <c r="AX489" i="26" s="1"/>
  <c r="AW489" i="26" a="1"/>
  <c r="AW489" i="26" s="1"/>
  <c r="AU489" i="26" a="1"/>
  <c r="AU489" i="26" s="1"/>
  <c r="AT489" i="26" a="1"/>
  <c r="AT489" i="26" s="1"/>
  <c r="AS489" i="26" a="1"/>
  <c r="AS489" i="26" s="1"/>
  <c r="AX497" i="26" a="1"/>
  <c r="AX497" i="26" s="1"/>
  <c r="AW497" i="26" a="1"/>
  <c r="AW497" i="26" s="1"/>
  <c r="AY497" i="26" a="1"/>
  <c r="AY497" i="26" s="1"/>
  <c r="BC497" i="26" s="1"/>
  <c r="BG497" i="26" s="1"/>
  <c r="AU497" i="26" a="1"/>
  <c r="AU497" i="26" s="1"/>
  <c r="AS497" i="26" a="1"/>
  <c r="AS497" i="26" s="1"/>
  <c r="AT497" i="26" a="1"/>
  <c r="AT497" i="26" s="1"/>
  <c r="AY505" i="26" a="1"/>
  <c r="AY505" i="26" s="1"/>
  <c r="AX505" i="26" a="1"/>
  <c r="AX505" i="26" s="1"/>
  <c r="AW505" i="26" a="1"/>
  <c r="AW505" i="26" s="1"/>
  <c r="AU505" i="26" a="1"/>
  <c r="AU505" i="26" s="1"/>
  <c r="AT505" i="26" a="1"/>
  <c r="AT505" i="26" s="1"/>
  <c r="AS505" i="26" a="1"/>
  <c r="AS505" i="26" s="1"/>
  <c r="AW513" i="26" a="1"/>
  <c r="AW513" i="26" s="1"/>
  <c r="AY513" i="26" a="1"/>
  <c r="AY513" i="26" s="1"/>
  <c r="BC513" i="26" s="1"/>
  <c r="BG513" i="26" s="1"/>
  <c r="AX513" i="26" a="1"/>
  <c r="AX513" i="26" s="1"/>
  <c r="AU513" i="26" a="1"/>
  <c r="AU513" i="26" s="1"/>
  <c r="AT513" i="26" a="1"/>
  <c r="AT513" i="26" s="1"/>
  <c r="AS513" i="26" a="1"/>
  <c r="AS513" i="26" s="1"/>
  <c r="AY521" i="26" a="1"/>
  <c r="AY521" i="26" s="1"/>
  <c r="BC521" i="26" s="1"/>
  <c r="BG521" i="26" s="1"/>
  <c r="AX521" i="26" a="1"/>
  <c r="AX521" i="26" s="1"/>
  <c r="AW521" i="26" a="1"/>
  <c r="AW521" i="26" s="1"/>
  <c r="AU521" i="26" a="1"/>
  <c r="AU521" i="26" s="1"/>
  <c r="AT521" i="26" a="1"/>
  <c r="AT521" i="26" s="1"/>
  <c r="AS521" i="26" a="1"/>
  <c r="AS521" i="26" s="1"/>
  <c r="AY529" i="26" a="1"/>
  <c r="AY529" i="26" s="1"/>
  <c r="BC529" i="26" s="1"/>
  <c r="BG529" i="26" s="1"/>
  <c r="AX529" i="26" a="1"/>
  <c r="AX529" i="26" s="1"/>
  <c r="AW529" i="26" a="1"/>
  <c r="AW529" i="26" s="1"/>
  <c r="AU529" i="26" a="1"/>
  <c r="AU529" i="26" s="1"/>
  <c r="AT529" i="26" a="1"/>
  <c r="AT529" i="26" s="1"/>
  <c r="AS529" i="26" a="1"/>
  <c r="AS529" i="26" s="1"/>
  <c r="AY537" i="26" a="1"/>
  <c r="AY537" i="26" s="1"/>
  <c r="AX537" i="26" a="1"/>
  <c r="AX537" i="26" s="1"/>
  <c r="AW537" i="26" a="1"/>
  <c r="AW537" i="26" s="1"/>
  <c r="AU537" i="26" a="1"/>
  <c r="AU537" i="26" s="1"/>
  <c r="AS537" i="26" a="1"/>
  <c r="AS537" i="26" s="1"/>
  <c r="AT537" i="26" a="1"/>
  <c r="AT537" i="26" s="1"/>
  <c r="AY545" i="26" a="1"/>
  <c r="AY545" i="26" s="1"/>
  <c r="AX545" i="26" a="1"/>
  <c r="AX545" i="26" s="1"/>
  <c r="AW545" i="26" a="1"/>
  <c r="AW545" i="26" s="1"/>
  <c r="AU545" i="26" a="1"/>
  <c r="AU545" i="26" s="1"/>
  <c r="AT545" i="26" a="1"/>
  <c r="AT545" i="26" s="1"/>
  <c r="AS545" i="26" a="1"/>
  <c r="AS545" i="26" s="1"/>
  <c r="AY553" i="26" a="1"/>
  <c r="AY553" i="26" s="1"/>
  <c r="AW553" i="26" a="1"/>
  <c r="AW553" i="26" s="1"/>
  <c r="AX553" i="26" a="1"/>
  <c r="AX553" i="26" s="1"/>
  <c r="AU553" i="26" a="1"/>
  <c r="AU553" i="26" s="1"/>
  <c r="AT553" i="26" a="1"/>
  <c r="AT553" i="26" s="1"/>
  <c r="AS553" i="26" a="1"/>
  <c r="AS553" i="26" s="1"/>
  <c r="AY561" i="26" a="1"/>
  <c r="AY561" i="26" s="1"/>
  <c r="BC561" i="26" s="1"/>
  <c r="BG561" i="26" s="1"/>
  <c r="AX561" i="26" a="1"/>
  <c r="AX561" i="26" s="1"/>
  <c r="AW561" i="26" a="1"/>
  <c r="AW561" i="26" s="1"/>
  <c r="AU561" i="26" a="1"/>
  <c r="AU561" i="26" s="1"/>
  <c r="AT561" i="26" a="1"/>
  <c r="AT561" i="26" s="1"/>
  <c r="AS561" i="26" a="1"/>
  <c r="AS561" i="26" s="1"/>
  <c r="AW569" i="26" a="1"/>
  <c r="AW569" i="26" s="1"/>
  <c r="AY569" i="26" a="1"/>
  <c r="AY569" i="26" s="1"/>
  <c r="AX569" i="26" a="1"/>
  <c r="AX569" i="26" s="1"/>
  <c r="AU569" i="26" a="1"/>
  <c r="AU569" i="26" s="1"/>
  <c r="AT569" i="26" a="1"/>
  <c r="AT569" i="26" s="1"/>
  <c r="AS569" i="26" a="1"/>
  <c r="AS569" i="26" s="1"/>
  <c r="AX337" i="26" a="1"/>
  <c r="AX337" i="26" s="1"/>
  <c r="AW337" i="26" a="1"/>
  <c r="AW337" i="26" s="1"/>
  <c r="AY337" i="26" a="1"/>
  <c r="AY337" i="26" s="1"/>
  <c r="AU337" i="26" a="1"/>
  <c r="AU337" i="26" s="1"/>
  <c r="AT337" i="26" a="1"/>
  <c r="AT337" i="26" s="1"/>
  <c r="AS337" i="26" a="1"/>
  <c r="AS337" i="26" s="1"/>
  <c r="AU296" i="26" a="1"/>
  <c r="AU296" i="26" s="1"/>
  <c r="AY296" i="26" a="1"/>
  <c r="AY296" i="26" s="1"/>
  <c r="AW296" i="26" a="1"/>
  <c r="AW296" i="26" s="1"/>
  <c r="AX296" i="26" a="1"/>
  <c r="AX296" i="26" s="1"/>
  <c r="AS296" i="26" a="1"/>
  <c r="AS296" i="26" s="1"/>
  <c r="AT296" i="26" a="1"/>
  <c r="AT296" i="26" s="1"/>
  <c r="AX376" i="26" a="1"/>
  <c r="AX376" i="26" s="1"/>
  <c r="AW376" i="26" a="1"/>
  <c r="AW376" i="26" s="1"/>
  <c r="AY376" i="26" a="1"/>
  <c r="AY376" i="26" s="1"/>
  <c r="BC376" i="26" s="1"/>
  <c r="BG376" i="26" s="1"/>
  <c r="AU376" i="26" a="1"/>
  <c r="AU376" i="26" s="1"/>
  <c r="AT376" i="26" a="1"/>
  <c r="AT376" i="26" s="1"/>
  <c r="AS376" i="26" a="1"/>
  <c r="AS376" i="26" s="1"/>
  <c r="AU384" i="26" a="1"/>
  <c r="AU384" i="26" s="1"/>
  <c r="AY384" i="26" a="1"/>
  <c r="AY384" i="26" s="1"/>
  <c r="AX384" i="26" a="1"/>
  <c r="AX384" i="26" s="1"/>
  <c r="AW384" i="26" a="1"/>
  <c r="AW384" i="26" s="1"/>
  <c r="AS384" i="26" a="1"/>
  <c r="AS384" i="26" s="1"/>
  <c r="AT384" i="26" a="1"/>
  <c r="AT384" i="26" s="1"/>
  <c r="AX392" i="26" a="1"/>
  <c r="AX392" i="26" s="1"/>
  <c r="AY392" i="26" a="1"/>
  <c r="AY392" i="26" s="1"/>
  <c r="AW392" i="26" a="1"/>
  <c r="AW392" i="26" s="1"/>
  <c r="AU392" i="26" a="1"/>
  <c r="AU392" i="26" s="1"/>
  <c r="AS392" i="26" a="1"/>
  <c r="AS392" i="26" s="1"/>
  <c r="AT392" i="26" a="1"/>
  <c r="AT392" i="26" s="1"/>
  <c r="AW400" i="26" a="1"/>
  <c r="AW400" i="26" s="1"/>
  <c r="AX400" i="26" a="1"/>
  <c r="AX400" i="26" s="1"/>
  <c r="AU400" i="26" a="1"/>
  <c r="AU400" i="26" s="1"/>
  <c r="AY400" i="26" a="1"/>
  <c r="AY400" i="26" s="1"/>
  <c r="BC400" i="26" s="1"/>
  <c r="BG400" i="26" s="1"/>
  <c r="AS400" i="26" a="1"/>
  <c r="AS400" i="26" s="1"/>
  <c r="AT400" i="26" a="1"/>
  <c r="AT400" i="26" s="1"/>
  <c r="AW408" i="26" a="1"/>
  <c r="AW408" i="26" s="1"/>
  <c r="AY408" i="26" a="1"/>
  <c r="AY408" i="26" s="1"/>
  <c r="AX408" i="26" a="1"/>
  <c r="AX408" i="26" s="1"/>
  <c r="AU408" i="26" a="1"/>
  <c r="AU408" i="26" s="1"/>
  <c r="AS408" i="26" a="1"/>
  <c r="AS408" i="26" s="1"/>
  <c r="AT408" i="26" a="1"/>
  <c r="AT408" i="26" s="1"/>
  <c r="AX416" i="26" a="1"/>
  <c r="AX416" i="26" s="1"/>
  <c r="AW416" i="26" a="1"/>
  <c r="AW416" i="26" s="1"/>
  <c r="AU416" i="26" a="1"/>
  <c r="AU416" i="26" s="1"/>
  <c r="AY416" i="26" a="1"/>
  <c r="AY416" i="26" s="1"/>
  <c r="AS416" i="26" a="1"/>
  <c r="AS416" i="26" s="1"/>
  <c r="AT416" i="26" a="1"/>
  <c r="AT416" i="26" s="1"/>
  <c r="AY424" i="26" a="1"/>
  <c r="AY424" i="26" s="1"/>
  <c r="BC424" i="26" s="1"/>
  <c r="BG424" i="26" s="1"/>
  <c r="AX424" i="26" a="1"/>
  <c r="AX424" i="26" s="1"/>
  <c r="AW424" i="26" a="1"/>
  <c r="AW424" i="26" s="1"/>
  <c r="AU424" i="26" a="1"/>
  <c r="AU424" i="26" s="1"/>
  <c r="AS424" i="26" a="1"/>
  <c r="AS424" i="26" s="1"/>
  <c r="AT424" i="26" a="1"/>
  <c r="AT424" i="26" s="1"/>
  <c r="AY432" i="26" a="1"/>
  <c r="AY432" i="26" s="1"/>
  <c r="BC432" i="26" s="1"/>
  <c r="BG432" i="26" s="1"/>
  <c r="AX432" i="26" a="1"/>
  <c r="AX432" i="26" s="1"/>
  <c r="AW432" i="26" a="1"/>
  <c r="AW432" i="26" s="1"/>
  <c r="AU432" i="26" a="1"/>
  <c r="AU432" i="26" s="1"/>
  <c r="AS432" i="26" a="1"/>
  <c r="AS432" i="26" s="1"/>
  <c r="AT432" i="26" a="1"/>
  <c r="AT432" i="26" s="1"/>
  <c r="AY440" i="26" a="1"/>
  <c r="AY440" i="26" s="1"/>
  <c r="BC440" i="26" s="1"/>
  <c r="BG440" i="26" s="1"/>
  <c r="AX440" i="26" a="1"/>
  <c r="AX440" i="26" s="1"/>
  <c r="AU440" i="26" a="1"/>
  <c r="AU440" i="26" s="1"/>
  <c r="AW440" i="26" a="1"/>
  <c r="AW440" i="26" s="1"/>
  <c r="AS440" i="26" a="1"/>
  <c r="AS440" i="26" s="1"/>
  <c r="AT440" i="26" a="1"/>
  <c r="AT440" i="26" s="1"/>
  <c r="AY448" i="26" a="1"/>
  <c r="AY448" i="26" s="1"/>
  <c r="AX448" i="26" a="1"/>
  <c r="AX448" i="26" s="1"/>
  <c r="AU448" i="26" a="1"/>
  <c r="AU448" i="26" s="1"/>
  <c r="AW448" i="26" a="1"/>
  <c r="AW448" i="26" s="1"/>
  <c r="AS448" i="26" a="1"/>
  <c r="AS448" i="26" s="1"/>
  <c r="AT448" i="26" a="1"/>
  <c r="AT448" i="26" s="1"/>
  <c r="AW456" i="26" a="1"/>
  <c r="AW456" i="26" s="1"/>
  <c r="AX456" i="26" a="1"/>
  <c r="AX456" i="26" s="1"/>
  <c r="AY456" i="26" a="1"/>
  <c r="AY456" i="26" s="1"/>
  <c r="AU456" i="26" a="1"/>
  <c r="AU456" i="26" s="1"/>
  <c r="AS456" i="26" a="1"/>
  <c r="AS456" i="26" s="1"/>
  <c r="AT456" i="26" a="1"/>
  <c r="AT456" i="26" s="1"/>
  <c r="AY464" i="26" a="1"/>
  <c r="AY464" i="26" s="1"/>
  <c r="BC464" i="26" s="1"/>
  <c r="BG464" i="26" s="1"/>
  <c r="AX464" i="26" a="1"/>
  <c r="AX464" i="26" s="1"/>
  <c r="AW464" i="26" a="1"/>
  <c r="AW464" i="26" s="1"/>
  <c r="AU464" i="26" a="1"/>
  <c r="AU464" i="26" s="1"/>
  <c r="AS464" i="26" a="1"/>
  <c r="AS464" i="26" s="1"/>
  <c r="AT464" i="26" a="1"/>
  <c r="AT464" i="26" s="1"/>
  <c r="AY472" i="26" a="1"/>
  <c r="AY472" i="26" s="1"/>
  <c r="BC472" i="26" s="1"/>
  <c r="BG472" i="26" s="1"/>
  <c r="AU472" i="26" a="1"/>
  <c r="AU472" i="26" s="1"/>
  <c r="AX472" i="26" a="1"/>
  <c r="AX472" i="26" s="1"/>
  <c r="AW472" i="26" a="1"/>
  <c r="AW472" i="26" s="1"/>
  <c r="AS472" i="26" a="1"/>
  <c r="AS472" i="26" s="1"/>
  <c r="AT472" i="26" a="1"/>
  <c r="AT472" i="26" s="1"/>
  <c r="AW480" i="26" a="1"/>
  <c r="AW480" i="26" s="1"/>
  <c r="AY480" i="26" a="1"/>
  <c r="AY480" i="26" s="1"/>
  <c r="AX480" i="26" a="1"/>
  <c r="AX480" i="26" s="1"/>
  <c r="AU480" i="26" a="1"/>
  <c r="AU480" i="26" s="1"/>
  <c r="AS480" i="26" a="1"/>
  <c r="AS480" i="26" s="1"/>
  <c r="AT480" i="26" a="1"/>
  <c r="AT480" i="26" s="1"/>
  <c r="AY488" i="26" a="1"/>
  <c r="AY488" i="26" s="1"/>
  <c r="BC488" i="26" s="1"/>
  <c r="BG488" i="26" s="1"/>
  <c r="AX488" i="26" a="1"/>
  <c r="AX488" i="26" s="1"/>
  <c r="AU488" i="26" a="1"/>
  <c r="AU488" i="26" s="1"/>
  <c r="AW488" i="26" a="1"/>
  <c r="AW488" i="26" s="1"/>
  <c r="AS488" i="26" a="1"/>
  <c r="AS488" i="26" s="1"/>
  <c r="AT488" i="26" a="1"/>
  <c r="AT488" i="26" s="1"/>
  <c r="AW496" i="26" a="1"/>
  <c r="AW496" i="26" s="1"/>
  <c r="AY496" i="26" a="1"/>
  <c r="AY496" i="26" s="1"/>
  <c r="AX496" i="26" a="1"/>
  <c r="AX496" i="26" s="1"/>
  <c r="AU496" i="26" a="1"/>
  <c r="AU496" i="26" s="1"/>
  <c r="AS496" i="26" a="1"/>
  <c r="AS496" i="26" s="1"/>
  <c r="AT496" i="26" a="1"/>
  <c r="AT496" i="26" s="1"/>
  <c r="AY504" i="26" a="1"/>
  <c r="AY504" i="26" s="1"/>
  <c r="BC504" i="26" s="1"/>
  <c r="BG504" i="26" s="1"/>
  <c r="AX504" i="26" a="1"/>
  <c r="AX504" i="26" s="1"/>
  <c r="AW504" i="26" a="1"/>
  <c r="AW504" i="26" s="1"/>
  <c r="AU504" i="26" a="1"/>
  <c r="AU504" i="26" s="1"/>
  <c r="AT504" i="26" a="1"/>
  <c r="AT504" i="26" s="1"/>
  <c r="AS504" i="26" a="1"/>
  <c r="AS504" i="26" s="1"/>
  <c r="AY512" i="26" a="1"/>
  <c r="AY512" i="26" s="1"/>
  <c r="AX512" i="26" a="1"/>
  <c r="AX512" i="26" s="1"/>
  <c r="AW512" i="26" a="1"/>
  <c r="AW512" i="26" s="1"/>
  <c r="AU512" i="26" a="1"/>
  <c r="AU512" i="26" s="1"/>
  <c r="AT512" i="26" a="1"/>
  <c r="AT512" i="26" s="1"/>
  <c r="AS512" i="26" a="1"/>
  <c r="AS512" i="26" s="1"/>
  <c r="AW520" i="26" a="1"/>
  <c r="AW520" i="26" s="1"/>
  <c r="AY520" i="26" a="1"/>
  <c r="AY520" i="26" s="1"/>
  <c r="BC520" i="26" s="1"/>
  <c r="BG520" i="26" s="1"/>
  <c r="AX520" i="26" a="1"/>
  <c r="AX520" i="26" s="1"/>
  <c r="AU520" i="26" a="1"/>
  <c r="AU520" i="26" s="1"/>
  <c r="AT520" i="26" a="1"/>
  <c r="AT520" i="26" s="1"/>
  <c r="AS520" i="26" a="1"/>
  <c r="AS520" i="26" s="1"/>
  <c r="AX528" i="26" a="1"/>
  <c r="AX528" i="26" s="1"/>
  <c r="AW528" i="26" a="1"/>
  <c r="AW528" i="26" s="1"/>
  <c r="AY528" i="26" a="1"/>
  <c r="AY528" i="26" s="1"/>
  <c r="BC528" i="26" s="1"/>
  <c r="BG528" i="26" s="1"/>
  <c r="AU528" i="26" a="1"/>
  <c r="AU528" i="26" s="1"/>
  <c r="AS528" i="26" a="1"/>
  <c r="AS528" i="26" s="1"/>
  <c r="AT528" i="26" a="1"/>
  <c r="AT528" i="26" s="1"/>
  <c r="AY536" i="26" a="1"/>
  <c r="AY536" i="26" s="1"/>
  <c r="BC536" i="26" s="1"/>
  <c r="BG536" i="26" s="1"/>
  <c r="AX536" i="26" a="1"/>
  <c r="AX536" i="26" s="1"/>
  <c r="AW536" i="26" a="1"/>
  <c r="AW536" i="26" s="1"/>
  <c r="AU536" i="26" a="1"/>
  <c r="AU536" i="26" s="1"/>
  <c r="AS536" i="26" a="1"/>
  <c r="AS536" i="26" s="1"/>
  <c r="AT536" i="26" a="1"/>
  <c r="AT536" i="26" s="1"/>
  <c r="AY544" i="26" a="1"/>
  <c r="AY544" i="26" s="1"/>
  <c r="AX544" i="26" a="1"/>
  <c r="AX544" i="26" s="1"/>
  <c r="AW544" i="26" a="1"/>
  <c r="AW544" i="26" s="1"/>
  <c r="AU544" i="26" a="1"/>
  <c r="AU544" i="26" s="1"/>
  <c r="AT544" i="26" a="1"/>
  <c r="AT544" i="26" s="1"/>
  <c r="AS544" i="26" a="1"/>
  <c r="AS544" i="26" s="1"/>
  <c r="AW552" i="26" a="1"/>
  <c r="AW552" i="26" s="1"/>
  <c r="AY552" i="26" a="1"/>
  <c r="AY552" i="26" s="1"/>
  <c r="BC552" i="26" s="1"/>
  <c r="BG552" i="26" s="1"/>
  <c r="AX552" i="26" a="1"/>
  <c r="AX552" i="26" s="1"/>
  <c r="AU552" i="26" a="1"/>
  <c r="AU552" i="26" s="1"/>
  <c r="AT552" i="26" a="1"/>
  <c r="AT552" i="26" s="1"/>
  <c r="AS552" i="26" a="1"/>
  <c r="AS552" i="26" s="1"/>
  <c r="AX560" i="26" a="1"/>
  <c r="AX560" i="26" s="1"/>
  <c r="AW560" i="26" a="1"/>
  <c r="AW560" i="26" s="1"/>
  <c r="AY560" i="26" a="1"/>
  <c r="AY560" i="26" s="1"/>
  <c r="BC560" i="26" s="1"/>
  <c r="BG560" i="26" s="1"/>
  <c r="AU560" i="26" a="1"/>
  <c r="AU560" i="26" s="1"/>
  <c r="AT560" i="26" a="1"/>
  <c r="AT560" i="26" s="1"/>
  <c r="AS560" i="26" a="1"/>
  <c r="AS560" i="26" s="1"/>
  <c r="AY568" i="26" a="1"/>
  <c r="AY568" i="26" s="1"/>
  <c r="AX568" i="26" a="1"/>
  <c r="AX568" i="26" s="1"/>
  <c r="AW568" i="26" a="1"/>
  <c r="AW568" i="26" s="1"/>
  <c r="AU568" i="26" a="1"/>
  <c r="AU568" i="26" s="1"/>
  <c r="AS568" i="26" a="1"/>
  <c r="AS568" i="26" s="1"/>
  <c r="AT568" i="26" a="1"/>
  <c r="AT568" i="26" s="1"/>
  <c r="AY321" i="26" a="1"/>
  <c r="AY321" i="26" s="1"/>
  <c r="AU321" i="26" a="1"/>
  <c r="AU321" i="26" s="1"/>
  <c r="AX321" i="26" a="1"/>
  <c r="AX321" i="26" s="1"/>
  <c r="AW321" i="26" a="1"/>
  <c r="AW321" i="26" s="1"/>
  <c r="AS321" i="26" a="1"/>
  <c r="AS321" i="26" s="1"/>
  <c r="AT321" i="26" a="1"/>
  <c r="AT321" i="26" s="1"/>
  <c r="AW327" i="26" a="1"/>
  <c r="AW327" i="26" s="1"/>
  <c r="AX327" i="26" a="1"/>
  <c r="AX327" i="26" s="1"/>
  <c r="AU327" i="26" a="1"/>
  <c r="AU327" i="26" s="1"/>
  <c r="AT327" i="26" a="1"/>
  <c r="AT327" i="26" s="1"/>
  <c r="AY327" i="26" a="1"/>
  <c r="AY327" i="26" s="1"/>
  <c r="BC327" i="26" s="1"/>
  <c r="BG327" i="26" s="1"/>
  <c r="AS327" i="26" a="1"/>
  <c r="AS327" i="26" s="1"/>
  <c r="AW399" i="26" a="1"/>
  <c r="AW399" i="26" s="1"/>
  <c r="AX399" i="26" a="1"/>
  <c r="AX399" i="26" s="1"/>
  <c r="AY399" i="26" a="1"/>
  <c r="AY399" i="26" s="1"/>
  <c r="BC399" i="26" s="1"/>
  <c r="BG399" i="26" s="1"/>
  <c r="AU399" i="26" a="1"/>
  <c r="AU399" i="26" s="1"/>
  <c r="AT399" i="26" a="1"/>
  <c r="AT399" i="26" s="1"/>
  <c r="AS399" i="26" a="1"/>
  <c r="AS399" i="26" s="1"/>
  <c r="AY407" i="26" a="1"/>
  <c r="AY407" i="26" s="1"/>
  <c r="BC407" i="26" s="1"/>
  <c r="BG407" i="26" s="1"/>
  <c r="AU407" i="26" a="1"/>
  <c r="AU407" i="26" s="1"/>
  <c r="AX407" i="26" a="1"/>
  <c r="AX407" i="26" s="1"/>
  <c r="AW407" i="26" a="1"/>
  <c r="AW407" i="26" s="1"/>
  <c r="AT407" i="26" a="1"/>
  <c r="AT407" i="26" s="1"/>
  <c r="AS407" i="26" a="1"/>
  <c r="AS407" i="26" s="1"/>
  <c r="AW415" i="26" a="1"/>
  <c r="AW415" i="26" s="1"/>
  <c r="AX415" i="26" a="1"/>
  <c r="AX415" i="26" s="1"/>
  <c r="AY415" i="26" a="1"/>
  <c r="AY415" i="26" s="1"/>
  <c r="BC415" i="26" s="1"/>
  <c r="BG415" i="26" s="1"/>
  <c r="AU415" i="26" a="1"/>
  <c r="AU415" i="26" s="1"/>
  <c r="AT415" i="26" a="1"/>
  <c r="AT415" i="26" s="1"/>
  <c r="AS415" i="26" a="1"/>
  <c r="AS415" i="26" s="1"/>
  <c r="AW423" i="26" a="1"/>
  <c r="AW423" i="26" s="1"/>
  <c r="AU423" i="26" a="1"/>
  <c r="AU423" i="26" s="1"/>
  <c r="AY423" i="26" a="1"/>
  <c r="AY423" i="26" s="1"/>
  <c r="AX423" i="26" a="1"/>
  <c r="AX423" i="26" s="1"/>
  <c r="AT423" i="26" a="1"/>
  <c r="AT423" i="26" s="1"/>
  <c r="AS423" i="26" a="1"/>
  <c r="AS423" i="26" s="1"/>
  <c r="AY431" i="26" a="1"/>
  <c r="AY431" i="26" s="1"/>
  <c r="AX431" i="26" a="1"/>
  <c r="AX431" i="26" s="1"/>
  <c r="AW431" i="26" a="1"/>
  <c r="AW431" i="26" s="1"/>
  <c r="AU431" i="26" a="1"/>
  <c r="AU431" i="26" s="1"/>
  <c r="AT431" i="26" a="1"/>
  <c r="AT431" i="26" s="1"/>
  <c r="AS431" i="26" a="1"/>
  <c r="AS431" i="26" s="1"/>
  <c r="AW439" i="26" a="1"/>
  <c r="AW439" i="26" s="1"/>
  <c r="AX439" i="26" a="1"/>
  <c r="AX439" i="26" s="1"/>
  <c r="AU439" i="26" a="1"/>
  <c r="AU439" i="26" s="1"/>
  <c r="AY439" i="26" a="1"/>
  <c r="AY439" i="26" s="1"/>
  <c r="AT439" i="26" a="1"/>
  <c r="AT439" i="26" s="1"/>
  <c r="AS439" i="26" a="1"/>
  <c r="AS439" i="26" s="1"/>
  <c r="AU447" i="26" a="1"/>
  <c r="AU447" i="26" s="1"/>
  <c r="AY447" i="26" a="1"/>
  <c r="AY447" i="26" s="1"/>
  <c r="AX447" i="26" a="1"/>
  <c r="AX447" i="26" s="1"/>
  <c r="AW447" i="26" a="1"/>
  <c r="AW447" i="26" s="1"/>
  <c r="AT447" i="26" a="1"/>
  <c r="AT447" i="26" s="1"/>
  <c r="AS447" i="26" a="1"/>
  <c r="AS447" i="26" s="1"/>
  <c r="AY455" i="26" a="1"/>
  <c r="AY455" i="26" s="1"/>
  <c r="BC455" i="26" s="1"/>
  <c r="BG455" i="26" s="1"/>
  <c r="AX455" i="26" a="1"/>
  <c r="AX455" i="26" s="1"/>
  <c r="AW455" i="26" a="1"/>
  <c r="AW455" i="26" s="1"/>
  <c r="AU455" i="26" a="1"/>
  <c r="AU455" i="26" s="1"/>
  <c r="AT455" i="26" a="1"/>
  <c r="AT455" i="26" s="1"/>
  <c r="AS455" i="26" a="1"/>
  <c r="AS455" i="26" s="1"/>
  <c r="AY463" i="26" a="1"/>
  <c r="AY463" i="26" s="1"/>
  <c r="BC463" i="26" s="1"/>
  <c r="BG463" i="26" s="1"/>
  <c r="AW463" i="26" a="1"/>
  <c r="AW463" i="26" s="1"/>
  <c r="AU463" i="26" a="1"/>
  <c r="AU463" i="26" s="1"/>
  <c r="AX463" i="26" a="1"/>
  <c r="AX463" i="26" s="1"/>
  <c r="AT463" i="26" a="1"/>
  <c r="AT463" i="26" s="1"/>
  <c r="AS463" i="26" a="1"/>
  <c r="AS463" i="26" s="1"/>
  <c r="AW471" i="26" a="1"/>
  <c r="AW471" i="26" s="1"/>
  <c r="AU471" i="26" a="1"/>
  <c r="AU471" i="26" s="1"/>
  <c r="AY471" i="26" a="1"/>
  <c r="AY471" i="26" s="1"/>
  <c r="BC471" i="26" s="1"/>
  <c r="BG471" i="26" s="1"/>
  <c r="AX471" i="26" a="1"/>
  <c r="AX471" i="26" s="1"/>
  <c r="AT471" i="26" a="1"/>
  <c r="AT471" i="26" s="1"/>
  <c r="AS471" i="26" a="1"/>
  <c r="AS471" i="26" s="1"/>
  <c r="AX479" i="26" a="1"/>
  <c r="AX479" i="26" s="1"/>
  <c r="AW479" i="26" a="1"/>
  <c r="AW479" i="26" s="1"/>
  <c r="AY479" i="26" a="1"/>
  <c r="AY479" i="26" s="1"/>
  <c r="BC479" i="26" s="1"/>
  <c r="BG479" i="26" s="1"/>
  <c r="AU479" i="26" a="1"/>
  <c r="AU479" i="26" s="1"/>
  <c r="AT479" i="26" a="1"/>
  <c r="AT479" i="26" s="1"/>
  <c r="AS479" i="26" a="1"/>
  <c r="AS479" i="26" s="1"/>
  <c r="AW487" i="26" a="1"/>
  <c r="AW487" i="26" s="1"/>
  <c r="AY487" i="26" a="1"/>
  <c r="AY487" i="26" s="1"/>
  <c r="BC487" i="26" s="1"/>
  <c r="BG487" i="26" s="1"/>
  <c r="AX487" i="26" a="1"/>
  <c r="AX487" i="26" s="1"/>
  <c r="AU487" i="26" a="1"/>
  <c r="AU487" i="26" s="1"/>
  <c r="AT487" i="26" a="1"/>
  <c r="AT487" i="26" s="1"/>
  <c r="AS487" i="26" a="1"/>
  <c r="AS487" i="26" s="1"/>
  <c r="AY495" i="26" a="1"/>
  <c r="AY495" i="26" s="1"/>
  <c r="BC495" i="26" s="1"/>
  <c r="BG495" i="26" s="1"/>
  <c r="AW495" i="26" a="1"/>
  <c r="AW495" i="26" s="1"/>
  <c r="AX495" i="26" a="1"/>
  <c r="AX495" i="26" s="1"/>
  <c r="AU495" i="26" a="1"/>
  <c r="AU495" i="26" s="1"/>
  <c r="AT495" i="26" a="1"/>
  <c r="AT495" i="26" s="1"/>
  <c r="AS495" i="26" a="1"/>
  <c r="AS495" i="26" s="1"/>
  <c r="AX503" i="26" a="1"/>
  <c r="AX503" i="26" s="1"/>
  <c r="AW503" i="26" a="1"/>
  <c r="AW503" i="26" s="1"/>
  <c r="AY503" i="26" a="1"/>
  <c r="AY503" i="26" s="1"/>
  <c r="BC503" i="26" s="1"/>
  <c r="BG503" i="26" s="1"/>
  <c r="AU503" i="26" a="1"/>
  <c r="AU503" i="26" s="1"/>
  <c r="AT503" i="26" a="1"/>
  <c r="AT503" i="26" s="1"/>
  <c r="AS503" i="26" a="1"/>
  <c r="AS503" i="26" s="1"/>
  <c r="AY511" i="26" a="1"/>
  <c r="AY511" i="26" s="1"/>
  <c r="AX511" i="26" a="1"/>
  <c r="AX511" i="26" s="1"/>
  <c r="AW511" i="26" a="1"/>
  <c r="AW511" i="26" s="1"/>
  <c r="AU511" i="26" a="1"/>
  <c r="AU511" i="26" s="1"/>
  <c r="AT511" i="26" a="1"/>
  <c r="AT511" i="26" s="1"/>
  <c r="AS511" i="26" a="1"/>
  <c r="AS511" i="26" s="1"/>
  <c r="AY519" i="26" a="1"/>
  <c r="AY519" i="26" s="1"/>
  <c r="BC519" i="26" s="1"/>
  <c r="BG519" i="26" s="1"/>
  <c r="AX519" i="26" a="1"/>
  <c r="AX519" i="26" s="1"/>
  <c r="AW519" i="26" a="1"/>
  <c r="AW519" i="26" s="1"/>
  <c r="AU519" i="26" a="1"/>
  <c r="AU519" i="26" s="1"/>
  <c r="AT519" i="26" a="1"/>
  <c r="AT519" i="26" s="1"/>
  <c r="AS519" i="26" a="1"/>
  <c r="AS519" i="26" s="1"/>
  <c r="AX527" i="26" a="1"/>
  <c r="AX527" i="26" s="1"/>
  <c r="AW527" i="26" a="1"/>
  <c r="AW527" i="26" s="1"/>
  <c r="AY527" i="26" a="1"/>
  <c r="AY527" i="26" s="1"/>
  <c r="BC527" i="26" s="1"/>
  <c r="BG527" i="26" s="1"/>
  <c r="AU527" i="26" a="1"/>
  <c r="AU527" i="26" s="1"/>
  <c r="AT527" i="26" a="1"/>
  <c r="AT527" i="26" s="1"/>
  <c r="AS527" i="26" a="1"/>
  <c r="AS527" i="26" s="1"/>
  <c r="AY535" i="26" a="1"/>
  <c r="AY535" i="26" s="1"/>
  <c r="BC535" i="26" s="1"/>
  <c r="BG535" i="26" s="1"/>
  <c r="AX535" i="26" a="1"/>
  <c r="AX535" i="26" s="1"/>
  <c r="AW535" i="26" a="1"/>
  <c r="AW535" i="26" s="1"/>
  <c r="AU535" i="26" a="1"/>
  <c r="AU535" i="26" s="1"/>
  <c r="AT535" i="26" a="1"/>
  <c r="AT535" i="26" s="1"/>
  <c r="AS535" i="26" a="1"/>
  <c r="AS535" i="26" s="1"/>
  <c r="AY543" i="26" a="1"/>
  <c r="AY543" i="26" s="1"/>
  <c r="AX543" i="26" a="1"/>
  <c r="AX543" i="26" s="1"/>
  <c r="AW543" i="26" a="1"/>
  <c r="AW543" i="26" s="1"/>
  <c r="AU543" i="26" a="1"/>
  <c r="AU543" i="26" s="1"/>
  <c r="AT543" i="26" a="1"/>
  <c r="AT543" i="26" s="1"/>
  <c r="AS543" i="26" a="1"/>
  <c r="AS543" i="26" s="1"/>
  <c r="AY551" i="26" a="1"/>
  <c r="AY551" i="26" s="1"/>
  <c r="BC551" i="26" s="1"/>
  <c r="BG551" i="26" s="1"/>
  <c r="AX551" i="26" a="1"/>
  <c r="AX551" i="26" s="1"/>
  <c r="AW551" i="26" a="1"/>
  <c r="AW551" i="26" s="1"/>
  <c r="AU551" i="26" a="1"/>
  <c r="AU551" i="26" s="1"/>
  <c r="AT551" i="26" a="1"/>
  <c r="AT551" i="26" s="1"/>
  <c r="AS551" i="26" a="1"/>
  <c r="AS551" i="26" s="1"/>
  <c r="AY559" i="26" a="1"/>
  <c r="AY559" i="26" s="1"/>
  <c r="BC559" i="26" s="1"/>
  <c r="BG559" i="26" s="1"/>
  <c r="AX559" i="26" a="1"/>
  <c r="AX559" i="26" s="1"/>
  <c r="AW559" i="26" a="1"/>
  <c r="AW559" i="26" s="1"/>
  <c r="AU559" i="26" a="1"/>
  <c r="AU559" i="26" s="1"/>
  <c r="AT559" i="26" a="1"/>
  <c r="AT559" i="26" s="1"/>
  <c r="AS559" i="26" a="1"/>
  <c r="AS559" i="26" s="1"/>
  <c r="AW567" i="26" a="1"/>
  <c r="AW567" i="26" s="1"/>
  <c r="AX567" i="26" a="1"/>
  <c r="AX567" i="26" s="1"/>
  <c r="AY567" i="26" a="1"/>
  <c r="AY567" i="26" s="1"/>
  <c r="BC567" i="26" s="1"/>
  <c r="BG567" i="26" s="1"/>
  <c r="AU567" i="26" a="1"/>
  <c r="AU567" i="26" s="1"/>
  <c r="AT567" i="26" a="1"/>
  <c r="AT567" i="26" s="1"/>
  <c r="AS567" i="26" a="1"/>
  <c r="AS567" i="26" s="1"/>
  <c r="AW329" i="26" a="1"/>
  <c r="AW329" i="26" s="1"/>
  <c r="AU329" i="26" a="1"/>
  <c r="AU329" i="26" s="1"/>
  <c r="AY329" i="26" a="1"/>
  <c r="AY329" i="26" s="1"/>
  <c r="BC329" i="26" s="1"/>
  <c r="BG329" i="26" s="1"/>
  <c r="AX329" i="26" a="1"/>
  <c r="AX329" i="26" s="1"/>
  <c r="AT329" i="26" a="1"/>
  <c r="AT329" i="26" s="1"/>
  <c r="AS329" i="26" a="1"/>
  <c r="AS329" i="26" s="1"/>
  <c r="AU320" i="26" a="1"/>
  <c r="AU320" i="26" s="1"/>
  <c r="AY320" i="26" a="1"/>
  <c r="AY320" i="26" s="1"/>
  <c r="BC320" i="26" s="1"/>
  <c r="BG320" i="26" s="1"/>
  <c r="AX320" i="26" a="1"/>
  <c r="AX320" i="26" s="1"/>
  <c r="AW320" i="26" a="1"/>
  <c r="AW320" i="26" s="1"/>
  <c r="AT320" i="26" a="1"/>
  <c r="AT320" i="26" s="1"/>
  <c r="AS320" i="26" a="1"/>
  <c r="AS320" i="26" s="1"/>
  <c r="AY336" i="26" a="1"/>
  <c r="AY336" i="26" s="1"/>
  <c r="BC336" i="26" s="1"/>
  <c r="BG336" i="26" s="1"/>
  <c r="AU336" i="26" a="1"/>
  <c r="AU336" i="26" s="1"/>
  <c r="AX336" i="26" a="1"/>
  <c r="AX336" i="26" s="1"/>
  <c r="AW336" i="26" a="1"/>
  <c r="AW336" i="26" s="1"/>
  <c r="AT336" i="26" a="1"/>
  <c r="AT336" i="26" s="1"/>
  <c r="AS336" i="26" a="1"/>
  <c r="AS336" i="26" s="1"/>
  <c r="AU303" i="26" a="1"/>
  <c r="AU303" i="26" s="1"/>
  <c r="AT303" i="26" a="1"/>
  <c r="AT303" i="26" s="1"/>
  <c r="AY303" i="26" a="1"/>
  <c r="AY303" i="26" s="1"/>
  <c r="BC303" i="26" s="1"/>
  <c r="BG303" i="26" s="1"/>
  <c r="AX303" i="26" a="1"/>
  <c r="AX303" i="26" s="1"/>
  <c r="AW303" i="26" a="1"/>
  <c r="AW303" i="26" s="1"/>
  <c r="AS303" i="26" a="1"/>
  <c r="AS303" i="26" s="1"/>
  <c r="AW367" i="26" a="1"/>
  <c r="AW367" i="26" s="1"/>
  <c r="AY367" i="26" a="1"/>
  <c r="AY367" i="26" s="1"/>
  <c r="AX367" i="26" a="1"/>
  <c r="AX367" i="26" s="1"/>
  <c r="AU367" i="26" a="1"/>
  <c r="AU367" i="26" s="1"/>
  <c r="AT367" i="26" a="1"/>
  <c r="AT367" i="26" s="1"/>
  <c r="AS367" i="26" a="1"/>
  <c r="AS367" i="26" s="1"/>
  <c r="AY375" i="26" a="1"/>
  <c r="AY375" i="26" s="1"/>
  <c r="BC375" i="26" s="1"/>
  <c r="BG375" i="26" s="1"/>
  <c r="AX375" i="26" a="1"/>
  <c r="AX375" i="26" s="1"/>
  <c r="AU375" i="26" a="1"/>
  <c r="AU375" i="26" s="1"/>
  <c r="AW375" i="26" a="1"/>
  <c r="AW375" i="26" s="1"/>
  <c r="AT375" i="26" a="1"/>
  <c r="AT375" i="26" s="1"/>
  <c r="AS375" i="26" a="1"/>
  <c r="AS375" i="26" s="1"/>
  <c r="AY350" i="26" a="1"/>
  <c r="AY350" i="26" s="1"/>
  <c r="BC350" i="26" s="1"/>
  <c r="BG350" i="26" s="1"/>
  <c r="AX350" i="26" a="1"/>
  <c r="AX350" i="26" s="1"/>
  <c r="AW350" i="26" a="1"/>
  <c r="AW350" i="26" s="1"/>
  <c r="AT350" i="26" a="1"/>
  <c r="AT350" i="26" s="1"/>
  <c r="AU350" i="26" a="1"/>
  <c r="AU350" i="26" s="1"/>
  <c r="AS350" i="26" a="1"/>
  <c r="AS350" i="26" s="1"/>
  <c r="AY358" i="26" a="1"/>
  <c r="AY358" i="26" s="1"/>
  <c r="BC358" i="26" s="1"/>
  <c r="BG358" i="26" s="1"/>
  <c r="AX358" i="26" a="1"/>
  <c r="AX358" i="26" s="1"/>
  <c r="AW358" i="26" a="1"/>
  <c r="AW358" i="26" s="1"/>
  <c r="AU358" i="26" a="1"/>
  <c r="AU358" i="26" s="1"/>
  <c r="AT358" i="26" a="1"/>
  <c r="AT358" i="26" s="1"/>
  <c r="AS358" i="26" a="1"/>
  <c r="AS358" i="26" s="1"/>
  <c r="AX422" i="26" a="1"/>
  <c r="AX422" i="26" s="1"/>
  <c r="AW422" i="26" a="1"/>
  <c r="AW422" i="26" s="1"/>
  <c r="AY422" i="26" a="1"/>
  <c r="AY422" i="26" s="1"/>
  <c r="BC422" i="26" s="1"/>
  <c r="BG422" i="26" s="1"/>
  <c r="AT422" i="26" a="1"/>
  <c r="AT422" i="26" s="1"/>
  <c r="AS422" i="26" a="1"/>
  <c r="AS422" i="26" s="1"/>
  <c r="AU422" i="26" a="1"/>
  <c r="AU422" i="26" s="1"/>
  <c r="AW438" i="26" a="1"/>
  <c r="AW438" i="26" s="1"/>
  <c r="AY438" i="26" a="1"/>
  <c r="AY438" i="26" s="1"/>
  <c r="BC438" i="26" s="1"/>
  <c r="BG438" i="26" s="1"/>
  <c r="AX438" i="26" a="1"/>
  <c r="AX438" i="26" s="1"/>
  <c r="AT438" i="26" a="1"/>
  <c r="AT438" i="26" s="1"/>
  <c r="AS438" i="26" a="1"/>
  <c r="AS438" i="26" s="1"/>
  <c r="AU438" i="26" a="1"/>
  <c r="AU438" i="26" s="1"/>
  <c r="AW446" i="26" a="1"/>
  <c r="AW446" i="26" s="1"/>
  <c r="AX446" i="26" a="1"/>
  <c r="AX446" i="26" s="1"/>
  <c r="AY446" i="26" a="1"/>
  <c r="AY446" i="26" s="1"/>
  <c r="BC446" i="26" s="1"/>
  <c r="BG446" i="26" s="1"/>
  <c r="AT446" i="26" a="1"/>
  <c r="AT446" i="26" s="1"/>
  <c r="AU446" i="26" a="1"/>
  <c r="AU446" i="26" s="1"/>
  <c r="AS446" i="26" a="1"/>
  <c r="AS446" i="26" s="1"/>
  <c r="AY454" i="26" a="1"/>
  <c r="AY454" i="26" s="1"/>
  <c r="BC454" i="26" s="1"/>
  <c r="BG454" i="26" s="1"/>
  <c r="AX454" i="26" a="1"/>
  <c r="AX454" i="26" s="1"/>
  <c r="AW454" i="26" a="1"/>
  <c r="AW454" i="26" s="1"/>
  <c r="AT454" i="26" a="1"/>
  <c r="AT454" i="26" s="1"/>
  <c r="AS454" i="26" a="1"/>
  <c r="AS454" i="26" s="1"/>
  <c r="AU454" i="26" a="1"/>
  <c r="AU454" i="26" s="1"/>
  <c r="AX462" i="26" a="1"/>
  <c r="AX462" i="26" s="1"/>
  <c r="AW462" i="26" a="1"/>
  <c r="AW462" i="26" s="1"/>
  <c r="AY462" i="26" a="1"/>
  <c r="AY462" i="26" s="1"/>
  <c r="AT462" i="26" a="1"/>
  <c r="AT462" i="26" s="1"/>
  <c r="AU462" i="26" a="1"/>
  <c r="AU462" i="26" s="1"/>
  <c r="AS462" i="26" a="1"/>
  <c r="AS462" i="26" s="1"/>
  <c r="AY470" i="26" a="1"/>
  <c r="AY470" i="26" s="1"/>
  <c r="BC470" i="26" s="1"/>
  <c r="BG470" i="26" s="1"/>
  <c r="AW470" i="26" a="1"/>
  <c r="AW470" i="26" s="1"/>
  <c r="AX470" i="26" a="1"/>
  <c r="AX470" i="26" s="1"/>
  <c r="AT470" i="26" a="1"/>
  <c r="AT470" i="26" s="1"/>
  <c r="AU470" i="26" a="1"/>
  <c r="AU470" i="26" s="1"/>
  <c r="AS470" i="26" a="1"/>
  <c r="AS470" i="26" s="1"/>
  <c r="AY478" i="26" a="1"/>
  <c r="AY478" i="26" s="1"/>
  <c r="BC478" i="26" s="1"/>
  <c r="BG478" i="26" s="1"/>
  <c r="AX478" i="26" a="1"/>
  <c r="AX478" i="26" s="1"/>
  <c r="AW478" i="26" a="1"/>
  <c r="AW478" i="26" s="1"/>
  <c r="AT478" i="26" a="1"/>
  <c r="AT478" i="26" s="1"/>
  <c r="AU478" i="26" a="1"/>
  <c r="AU478" i="26" s="1"/>
  <c r="AS478" i="26" a="1"/>
  <c r="AS478" i="26" s="1"/>
  <c r="AY486" i="26" a="1"/>
  <c r="AY486" i="26" s="1"/>
  <c r="BC486" i="26" s="1"/>
  <c r="BG486" i="26" s="1"/>
  <c r="AX486" i="26" a="1"/>
  <c r="AX486" i="26" s="1"/>
  <c r="AW486" i="26" a="1"/>
  <c r="AW486" i="26" s="1"/>
  <c r="AT486" i="26" a="1"/>
  <c r="AT486" i="26" s="1"/>
  <c r="AS486" i="26" a="1"/>
  <c r="AS486" i="26" s="1"/>
  <c r="AU486" i="26" a="1"/>
  <c r="AU486" i="26" s="1"/>
  <c r="AW494" i="26" a="1"/>
  <c r="AW494" i="26" s="1"/>
  <c r="AX494" i="26" a="1"/>
  <c r="AX494" i="26" s="1"/>
  <c r="AY494" i="26" a="1"/>
  <c r="AY494" i="26" s="1"/>
  <c r="BC494" i="26" s="1"/>
  <c r="BG494" i="26" s="1"/>
  <c r="AT494" i="26" a="1"/>
  <c r="AT494" i="26" s="1"/>
  <c r="AU494" i="26" a="1"/>
  <c r="AU494" i="26" s="1"/>
  <c r="AS494" i="26" a="1"/>
  <c r="AS494" i="26" s="1"/>
  <c r="AY502" i="26" a="1"/>
  <c r="AY502" i="26" s="1"/>
  <c r="BC502" i="26" s="1"/>
  <c r="BG502" i="26" s="1"/>
  <c r="AX502" i="26" a="1"/>
  <c r="AX502" i="26" s="1"/>
  <c r="AW502" i="26" a="1"/>
  <c r="AW502" i="26" s="1"/>
  <c r="AT502" i="26" a="1"/>
  <c r="AT502" i="26" s="1"/>
  <c r="AS502" i="26" a="1"/>
  <c r="AS502" i="26" s="1"/>
  <c r="AU502" i="26" a="1"/>
  <c r="AU502" i="26" s="1"/>
  <c r="AX510" i="26" a="1"/>
  <c r="AX510" i="26" s="1"/>
  <c r="AW510" i="26" a="1"/>
  <c r="AW510" i="26" s="1"/>
  <c r="AY510" i="26" a="1"/>
  <c r="AY510" i="26" s="1"/>
  <c r="BC510" i="26" s="1"/>
  <c r="BG510" i="26" s="1"/>
  <c r="AT510" i="26" a="1"/>
  <c r="AT510" i="26" s="1"/>
  <c r="AU510" i="26" a="1"/>
  <c r="AU510" i="26" s="1"/>
  <c r="AS510" i="26" a="1"/>
  <c r="AS510" i="26" s="1"/>
  <c r="AY518" i="26" a="1"/>
  <c r="AY518" i="26" s="1"/>
  <c r="BC518" i="26" s="1"/>
  <c r="BG518" i="26" s="1"/>
  <c r="AX518" i="26" a="1"/>
  <c r="AX518" i="26" s="1"/>
  <c r="AW518" i="26" a="1"/>
  <c r="AW518" i="26" s="1"/>
  <c r="AT518" i="26" a="1"/>
  <c r="AT518" i="26" s="1"/>
  <c r="AS518" i="26" a="1"/>
  <c r="AS518" i="26" s="1"/>
  <c r="AU518" i="26" a="1"/>
  <c r="AU518" i="26" s="1"/>
  <c r="AY526" i="26" a="1"/>
  <c r="AY526" i="26" s="1"/>
  <c r="AX526" i="26" a="1"/>
  <c r="AX526" i="26" s="1"/>
  <c r="AW526" i="26" a="1"/>
  <c r="AW526" i="26" s="1"/>
  <c r="AT526" i="26" a="1"/>
  <c r="AT526" i="26" s="1"/>
  <c r="AU526" i="26" a="1"/>
  <c r="AU526" i="26" s="1"/>
  <c r="AS526" i="26" a="1"/>
  <c r="AS526" i="26" s="1"/>
  <c r="AX534" i="26" a="1"/>
  <c r="AX534" i="26" s="1"/>
  <c r="AW534" i="26" a="1"/>
  <c r="AW534" i="26" s="1"/>
  <c r="AY534" i="26" a="1"/>
  <c r="AY534" i="26" s="1"/>
  <c r="AT534" i="26" a="1"/>
  <c r="AT534" i="26" s="1"/>
  <c r="AS534" i="26" a="1"/>
  <c r="AS534" i="26" s="1"/>
  <c r="AU534" i="26" a="1"/>
  <c r="AU534" i="26" s="1"/>
  <c r="AY542" i="26" a="1"/>
  <c r="AY542" i="26" s="1"/>
  <c r="BC542" i="26" s="1"/>
  <c r="BG542" i="26" s="1"/>
  <c r="AX542" i="26" a="1"/>
  <c r="AX542" i="26" s="1"/>
  <c r="AW542" i="26" a="1"/>
  <c r="AW542" i="26" s="1"/>
  <c r="AT542" i="26" a="1"/>
  <c r="AT542" i="26" s="1"/>
  <c r="AU542" i="26" a="1"/>
  <c r="AU542" i="26" s="1"/>
  <c r="AS542" i="26" a="1"/>
  <c r="AS542" i="26" s="1"/>
  <c r="AW550" i="26" a="1"/>
  <c r="AW550" i="26" s="1"/>
  <c r="AX550" i="26" a="1"/>
  <c r="AX550" i="26" s="1"/>
  <c r="AY550" i="26" a="1"/>
  <c r="AY550" i="26" s="1"/>
  <c r="BC550" i="26" s="1"/>
  <c r="BG550" i="26" s="1"/>
  <c r="AT550" i="26" a="1"/>
  <c r="AT550" i="26" s="1"/>
  <c r="AS550" i="26" a="1"/>
  <c r="AS550" i="26" s="1"/>
  <c r="AU550" i="26" a="1"/>
  <c r="AU550" i="26" s="1"/>
  <c r="AX558" i="26" a="1"/>
  <c r="AX558" i="26" s="1"/>
  <c r="AW558" i="26" a="1"/>
  <c r="AW558" i="26" s="1"/>
  <c r="AY558" i="26" a="1"/>
  <c r="AY558" i="26" s="1"/>
  <c r="BC558" i="26" s="1"/>
  <c r="BG558" i="26" s="1"/>
  <c r="AT558" i="26" a="1"/>
  <c r="AT558" i="26" s="1"/>
  <c r="AU558" i="26" a="1"/>
  <c r="AU558" i="26" s="1"/>
  <c r="AS558" i="26" a="1"/>
  <c r="AS558" i="26" s="1"/>
  <c r="AY566" i="26" a="1"/>
  <c r="AY566" i="26" s="1"/>
  <c r="BC566" i="26" s="1"/>
  <c r="BG566" i="26" s="1"/>
  <c r="AX566" i="26" a="1"/>
  <c r="AX566" i="26" s="1"/>
  <c r="AW566" i="26" a="1"/>
  <c r="AW566" i="26" s="1"/>
  <c r="AT566" i="26" a="1"/>
  <c r="AT566" i="26" s="1"/>
  <c r="AS566" i="26" a="1"/>
  <c r="AS566" i="26" s="1"/>
  <c r="AU566" i="26" a="1"/>
  <c r="AU566" i="26" s="1"/>
  <c r="AX345" i="26" a="1"/>
  <c r="AX345" i="26" s="1"/>
  <c r="AW345" i="26" a="1"/>
  <c r="AW345" i="26" s="1"/>
  <c r="AY345" i="26" a="1"/>
  <c r="AY345" i="26" s="1"/>
  <c r="BC345" i="26" s="1"/>
  <c r="BG345" i="26" s="1"/>
  <c r="AU345" i="26" a="1"/>
  <c r="AU345" i="26" s="1"/>
  <c r="AS345" i="26" a="1"/>
  <c r="AS345" i="26" s="1"/>
  <c r="AT345" i="26" a="1"/>
  <c r="AT345" i="26" s="1"/>
  <c r="AX353" i="26" a="1"/>
  <c r="AX353" i="26" s="1"/>
  <c r="AW353" i="26" a="1"/>
  <c r="AW353" i="26" s="1"/>
  <c r="AY353" i="26" a="1"/>
  <c r="AY353" i="26" s="1"/>
  <c r="BC353" i="26" s="1"/>
  <c r="BG353" i="26" s="1"/>
  <c r="AU353" i="26" a="1"/>
  <c r="AU353" i="26" s="1"/>
  <c r="AT353" i="26" a="1"/>
  <c r="AT353" i="26" s="1"/>
  <c r="AS353" i="26" a="1"/>
  <c r="AS353" i="26" s="1"/>
  <c r="AY328" i="26" a="1"/>
  <c r="AY328" i="26" s="1"/>
  <c r="AX328" i="26" a="1"/>
  <c r="AX328" i="26" s="1"/>
  <c r="AU328" i="26" a="1"/>
  <c r="AU328" i="26" s="1"/>
  <c r="AW328" i="26" a="1"/>
  <c r="AW328" i="26" s="1"/>
  <c r="AT328" i="26" a="1"/>
  <c r="AT328" i="26" s="1"/>
  <c r="AS328" i="26" a="1"/>
  <c r="AS328" i="26" s="1"/>
  <c r="AW343" i="26" a="1"/>
  <c r="AW343" i="26" s="1"/>
  <c r="AU343" i="26" a="1"/>
  <c r="AU343" i="26" s="1"/>
  <c r="AY343" i="26" a="1"/>
  <c r="AY343" i="26" s="1"/>
  <c r="AT343" i="26" a="1"/>
  <c r="AT343" i="26" s="1"/>
  <c r="AX343" i="26" a="1"/>
  <c r="AX343" i="26" s="1"/>
  <c r="AS343" i="26" a="1"/>
  <c r="AS343" i="26" s="1"/>
  <c r="AW398" i="26" a="1"/>
  <c r="AW398" i="26" s="1"/>
  <c r="AY398" i="26" a="1"/>
  <c r="AY398" i="26" s="1"/>
  <c r="AX398" i="26" a="1"/>
  <c r="AX398" i="26" s="1"/>
  <c r="AT398" i="26" a="1"/>
  <c r="AT398" i="26" s="1"/>
  <c r="AU398" i="26" a="1"/>
  <c r="AU398" i="26" s="1"/>
  <c r="AS398" i="26" a="1"/>
  <c r="AS398" i="26" s="1"/>
  <c r="AX301" i="26" a="1"/>
  <c r="AX301" i="26" s="1"/>
  <c r="AW301" i="26" a="1"/>
  <c r="AW301" i="26" s="1"/>
  <c r="AS301" i="26" a="1"/>
  <c r="AS301" i="26" s="1"/>
  <c r="AT301" i="26" a="1"/>
  <c r="AT301" i="26" s="1"/>
  <c r="AU301" i="26" a="1"/>
  <c r="AU301" i="26" s="1"/>
  <c r="AY301" i="26" a="1"/>
  <c r="AY301" i="26" s="1"/>
  <c r="BC301" i="26" s="1"/>
  <c r="BG301" i="26" s="1"/>
  <c r="AX309" i="26" a="1"/>
  <c r="AX309" i="26" s="1"/>
  <c r="AS309" i="26" a="1"/>
  <c r="AS309" i="26" s="1"/>
  <c r="AT309" i="26" a="1"/>
  <c r="AT309" i="26" s="1"/>
  <c r="AY309" i="26" a="1"/>
  <c r="AY309" i="26" s="1"/>
  <c r="AW309" i="26" a="1"/>
  <c r="AW309" i="26" s="1"/>
  <c r="AU309" i="26" a="1"/>
  <c r="AU309" i="26" s="1"/>
  <c r="AY317" i="26" a="1"/>
  <c r="AY317" i="26" s="1"/>
  <c r="BC317" i="26" s="1"/>
  <c r="BG317" i="26" s="1"/>
  <c r="AW317" i="26" a="1"/>
  <c r="AW317" i="26" s="1"/>
  <c r="AS317" i="26" a="1"/>
  <c r="AS317" i="26" s="1"/>
  <c r="AU317" i="26" a="1"/>
  <c r="AU317" i="26" s="1"/>
  <c r="AT317" i="26" a="1"/>
  <c r="AT317" i="26" s="1"/>
  <c r="AX317" i="26" a="1"/>
  <c r="AX317" i="26" s="1"/>
  <c r="AW325" i="26" a="1"/>
  <c r="AW325" i="26" s="1"/>
  <c r="AY325" i="26" a="1"/>
  <c r="AY325" i="26" s="1"/>
  <c r="AS325" i="26" a="1"/>
  <c r="AS325" i="26" s="1"/>
  <c r="AT325" i="26" a="1"/>
  <c r="AT325" i="26" s="1"/>
  <c r="AX325" i="26" a="1"/>
  <c r="AX325" i="26" s="1"/>
  <c r="AU325" i="26" a="1"/>
  <c r="AU325" i="26" s="1"/>
  <c r="AY333" i="26" a="1"/>
  <c r="AY333" i="26" s="1"/>
  <c r="BC333" i="26" s="1"/>
  <c r="BG333" i="26" s="1"/>
  <c r="AW333" i="26" a="1"/>
  <c r="AW333" i="26" s="1"/>
  <c r="AU333" i="26" a="1"/>
  <c r="AU333" i="26" s="1"/>
  <c r="AS333" i="26" a="1"/>
  <c r="AS333" i="26" s="1"/>
  <c r="AT333" i="26" a="1"/>
  <c r="AT333" i="26" s="1"/>
  <c r="AX333" i="26" a="1"/>
  <c r="AX333" i="26" s="1"/>
  <c r="AW341" i="26" a="1"/>
  <c r="AW341" i="26" s="1"/>
  <c r="AS341" i="26" a="1"/>
  <c r="AS341" i="26" s="1"/>
  <c r="AT341" i="26" a="1"/>
  <c r="AT341" i="26" s="1"/>
  <c r="AU341" i="26" a="1"/>
  <c r="AU341" i="26" s="1"/>
  <c r="AY341" i="26" a="1"/>
  <c r="AY341" i="26" s="1"/>
  <c r="BC341" i="26" s="1"/>
  <c r="BG341" i="26" s="1"/>
  <c r="AX341" i="26" a="1"/>
  <c r="AX341" i="26" s="1"/>
  <c r="AY349" i="26" a="1"/>
  <c r="AY349" i="26" s="1"/>
  <c r="BC349" i="26" s="1"/>
  <c r="BG349" i="26" s="1"/>
  <c r="AW349" i="26" a="1"/>
  <c r="AW349" i="26" s="1"/>
  <c r="AS349" i="26" a="1"/>
  <c r="AS349" i="26" s="1"/>
  <c r="AT349" i="26" a="1"/>
  <c r="AT349" i="26" s="1"/>
  <c r="AU349" i="26" a="1"/>
  <c r="AU349" i="26" s="1"/>
  <c r="AX349" i="26" a="1"/>
  <c r="AX349" i="26" s="1"/>
  <c r="AW357" i="26" a="1"/>
  <c r="AW357" i="26" s="1"/>
  <c r="AS357" i="26" a="1"/>
  <c r="AS357" i="26" s="1"/>
  <c r="AY357" i="26" a="1"/>
  <c r="AY357" i="26" s="1"/>
  <c r="BC357" i="26" s="1"/>
  <c r="BG357" i="26" s="1"/>
  <c r="AU357" i="26" a="1"/>
  <c r="AU357" i="26" s="1"/>
  <c r="AX357" i="26" a="1"/>
  <c r="AX357" i="26" s="1"/>
  <c r="AT357" i="26" a="1"/>
  <c r="AT357" i="26" s="1"/>
  <c r="AY365" i="26" a="1"/>
  <c r="AY365" i="26" s="1"/>
  <c r="BC365" i="26" s="1"/>
  <c r="BG365" i="26" s="1"/>
  <c r="AX365" i="26" a="1"/>
  <c r="AX365" i="26" s="1"/>
  <c r="AW365" i="26" a="1"/>
  <c r="AW365" i="26" s="1"/>
  <c r="AS365" i="26" a="1"/>
  <c r="AS365" i="26" s="1"/>
  <c r="AT365" i="26" a="1"/>
  <c r="AT365" i="26" s="1"/>
  <c r="AU365" i="26" a="1"/>
  <c r="AU365" i="26" s="1"/>
  <c r="AY373" i="26" a="1"/>
  <c r="AY373" i="26" s="1"/>
  <c r="AU373" i="26" a="1"/>
  <c r="AU373" i="26" s="1"/>
  <c r="AX373" i="26" a="1"/>
  <c r="AX373" i="26" s="1"/>
  <c r="AW373" i="26" a="1"/>
  <c r="AW373" i="26" s="1"/>
  <c r="AS373" i="26" a="1"/>
  <c r="AS373" i="26" s="1"/>
  <c r="AT373" i="26" a="1"/>
  <c r="AT373" i="26" s="1"/>
  <c r="AW381" i="26" a="1"/>
  <c r="AW381" i="26" s="1"/>
  <c r="AX381" i="26" a="1"/>
  <c r="AX381" i="26" s="1"/>
  <c r="AY381" i="26" a="1"/>
  <c r="AY381" i="26" s="1"/>
  <c r="AU381" i="26" a="1"/>
  <c r="AU381" i="26" s="1"/>
  <c r="AS381" i="26" a="1"/>
  <c r="AS381" i="26" s="1"/>
  <c r="AT381" i="26" a="1"/>
  <c r="AT381" i="26" s="1"/>
  <c r="AY389" i="26" a="1"/>
  <c r="AY389" i="26" s="1"/>
  <c r="BC389" i="26" s="1"/>
  <c r="BG389" i="26" s="1"/>
  <c r="AX389" i="26" a="1"/>
  <c r="AX389" i="26" s="1"/>
  <c r="AW389" i="26" a="1"/>
  <c r="AW389" i="26" s="1"/>
  <c r="AU389" i="26" a="1"/>
  <c r="AU389" i="26" s="1"/>
  <c r="AS389" i="26" a="1"/>
  <c r="AS389" i="26" s="1"/>
  <c r="AT389" i="26" a="1"/>
  <c r="AT389" i="26" s="1"/>
  <c r="AW397" i="26" a="1"/>
  <c r="AW397" i="26" s="1"/>
  <c r="AX397" i="26" a="1"/>
  <c r="AX397" i="26" s="1"/>
  <c r="AU397" i="26" a="1"/>
  <c r="AU397" i="26" s="1"/>
  <c r="AY397" i="26" a="1"/>
  <c r="AY397" i="26" s="1"/>
  <c r="AS397" i="26" a="1"/>
  <c r="AS397" i="26" s="1"/>
  <c r="AT397" i="26" a="1"/>
  <c r="AT397" i="26" s="1"/>
  <c r="AY405" i="26" a="1"/>
  <c r="AY405" i="26" s="1"/>
  <c r="AX405" i="26" a="1"/>
  <c r="AX405" i="26" s="1"/>
  <c r="AU405" i="26" a="1"/>
  <c r="AU405" i="26" s="1"/>
  <c r="AW405" i="26" a="1"/>
  <c r="AW405" i="26" s="1"/>
  <c r="BA405" i="26" s="1"/>
  <c r="BE405" i="26" s="1"/>
  <c r="AS405" i="26" a="1"/>
  <c r="AS405" i="26" s="1"/>
  <c r="AT405" i="26" a="1"/>
  <c r="AT405" i="26" s="1"/>
  <c r="AY413" i="26" a="1"/>
  <c r="AY413" i="26" s="1"/>
  <c r="BC413" i="26" s="1"/>
  <c r="BG413" i="26" s="1"/>
  <c r="AX413" i="26" a="1"/>
  <c r="AX413" i="26" s="1"/>
  <c r="AU413" i="26" a="1"/>
  <c r="AU413" i="26" s="1"/>
  <c r="AW413" i="26" a="1"/>
  <c r="AW413" i="26" s="1"/>
  <c r="AS413" i="26" a="1"/>
  <c r="AS413" i="26" s="1"/>
  <c r="AT413" i="26" a="1"/>
  <c r="AT413" i="26" s="1"/>
  <c r="AX421" i="26" a="1"/>
  <c r="AX421" i="26" s="1"/>
  <c r="AW421" i="26" a="1"/>
  <c r="AW421" i="26" s="1"/>
  <c r="AY421" i="26" a="1"/>
  <c r="AY421" i="26" s="1"/>
  <c r="BC421" i="26" s="1"/>
  <c r="BG421" i="26" s="1"/>
  <c r="AU421" i="26" a="1"/>
  <c r="AU421" i="26" s="1"/>
  <c r="AS421" i="26" a="1"/>
  <c r="AS421" i="26" s="1"/>
  <c r="AT421" i="26" a="1"/>
  <c r="AT421" i="26" s="1"/>
  <c r="AY429" i="26" a="1"/>
  <c r="AY429" i="26" s="1"/>
  <c r="BC429" i="26" s="1"/>
  <c r="BG429" i="26" s="1"/>
  <c r="AX429" i="26" a="1"/>
  <c r="AX429" i="26" s="1"/>
  <c r="AW429" i="26" a="1"/>
  <c r="AW429" i="26" s="1"/>
  <c r="AU429" i="26" a="1"/>
  <c r="AU429" i="26" s="1"/>
  <c r="AS429" i="26" a="1"/>
  <c r="AS429" i="26" s="1"/>
  <c r="AT429" i="26" a="1"/>
  <c r="AT429" i="26" s="1"/>
  <c r="AY437" i="26" a="1"/>
  <c r="AY437" i="26" s="1"/>
  <c r="AU437" i="26" a="1"/>
  <c r="AU437" i="26" s="1"/>
  <c r="AX437" i="26" a="1"/>
  <c r="AX437" i="26" s="1"/>
  <c r="AW437" i="26" a="1"/>
  <c r="AW437" i="26" s="1"/>
  <c r="AS437" i="26" a="1"/>
  <c r="AS437" i="26" s="1"/>
  <c r="AT437" i="26" a="1"/>
  <c r="AT437" i="26" s="1"/>
  <c r="AY445" i="26" a="1"/>
  <c r="AY445" i="26" s="1"/>
  <c r="BC445" i="26" s="1"/>
  <c r="BG445" i="26" s="1"/>
  <c r="AX445" i="26" a="1"/>
  <c r="AX445" i="26" s="1"/>
  <c r="AW445" i="26" a="1"/>
  <c r="AW445" i="26" s="1"/>
  <c r="AU445" i="26" a="1"/>
  <c r="AU445" i="26" s="1"/>
  <c r="AS445" i="26" a="1"/>
  <c r="AS445" i="26" s="1"/>
  <c r="AT445" i="26" a="1"/>
  <c r="AT445" i="26" s="1"/>
  <c r="AX453" i="26" a="1"/>
  <c r="AX453" i="26" s="1"/>
  <c r="AW453" i="26" a="1"/>
  <c r="AW453" i="26" s="1"/>
  <c r="AU453" i="26" a="1"/>
  <c r="AU453" i="26" s="1"/>
  <c r="AY453" i="26" a="1"/>
  <c r="AY453" i="26" s="1"/>
  <c r="BC453" i="26" s="1"/>
  <c r="BG453" i="26" s="1"/>
  <c r="AS453" i="26" a="1"/>
  <c r="AS453" i="26" s="1"/>
  <c r="AT453" i="26" a="1"/>
  <c r="AT453" i="26" s="1"/>
  <c r="AX461" i="26" a="1"/>
  <c r="AX461" i="26" s="1"/>
  <c r="AW461" i="26" a="1"/>
  <c r="AW461" i="26" s="1"/>
  <c r="AY461" i="26" a="1"/>
  <c r="AY461" i="26" s="1"/>
  <c r="BC461" i="26" s="1"/>
  <c r="BG461" i="26" s="1"/>
  <c r="AU461" i="26" a="1"/>
  <c r="AU461" i="26" s="1"/>
  <c r="AS461" i="26" a="1"/>
  <c r="AS461" i="26" s="1"/>
  <c r="AT461" i="26" a="1"/>
  <c r="AT461" i="26" s="1"/>
  <c r="AY469" i="26" a="1"/>
  <c r="AY469" i="26" s="1"/>
  <c r="AU469" i="26" a="1"/>
  <c r="AU469" i="26" s="1"/>
  <c r="AX469" i="26" a="1"/>
  <c r="AX469" i="26" s="1"/>
  <c r="AW469" i="26" a="1"/>
  <c r="AW469" i="26" s="1"/>
  <c r="AS469" i="26" a="1"/>
  <c r="AS469" i="26" s="1"/>
  <c r="AT469" i="26" a="1"/>
  <c r="AT469" i="26" s="1"/>
  <c r="AY477" i="26" a="1"/>
  <c r="AY477" i="26" s="1"/>
  <c r="BC477" i="26" s="1"/>
  <c r="BG477" i="26" s="1"/>
  <c r="AX477" i="26" a="1"/>
  <c r="AX477" i="26" s="1"/>
  <c r="AU477" i="26" a="1"/>
  <c r="AU477" i="26" s="1"/>
  <c r="AW477" i="26" a="1"/>
  <c r="AW477" i="26" s="1"/>
  <c r="AS477" i="26" a="1"/>
  <c r="AS477" i="26" s="1"/>
  <c r="AT477" i="26" a="1"/>
  <c r="AT477" i="26" s="1"/>
  <c r="AY485" i="26" a="1"/>
  <c r="AY485" i="26" s="1"/>
  <c r="BC485" i="26" s="1"/>
  <c r="BG485" i="26" s="1"/>
  <c r="AX485" i="26" a="1"/>
  <c r="AX485" i="26" s="1"/>
  <c r="AW485" i="26" a="1"/>
  <c r="AW485" i="26" s="1"/>
  <c r="AU485" i="26" a="1"/>
  <c r="AU485" i="26" s="1"/>
  <c r="AS485" i="26" a="1"/>
  <c r="AS485" i="26" s="1"/>
  <c r="AT485" i="26" a="1"/>
  <c r="AT485" i="26" s="1"/>
  <c r="AY493" i="26" a="1"/>
  <c r="AY493" i="26" s="1"/>
  <c r="BC493" i="26" s="1"/>
  <c r="BG493" i="26" s="1"/>
  <c r="AX493" i="26" a="1"/>
  <c r="AX493" i="26" s="1"/>
  <c r="AW493" i="26" a="1"/>
  <c r="AW493" i="26" s="1"/>
  <c r="AU493" i="26" a="1"/>
  <c r="AU493" i="26" s="1"/>
  <c r="AS493" i="26" a="1"/>
  <c r="AS493" i="26" s="1"/>
  <c r="AT493" i="26" a="1"/>
  <c r="AT493" i="26" s="1"/>
  <c r="AW501" i="26" a="1"/>
  <c r="AW501" i="26" s="1"/>
  <c r="AX501" i="26" a="1"/>
  <c r="AX501" i="26" s="1"/>
  <c r="AY501" i="26" a="1"/>
  <c r="AY501" i="26" s="1"/>
  <c r="BC501" i="26" s="1"/>
  <c r="BG501" i="26" s="1"/>
  <c r="AU501" i="26" a="1"/>
  <c r="AU501" i="26" s="1"/>
  <c r="AS501" i="26" a="1"/>
  <c r="AS501" i="26" s="1"/>
  <c r="AT501" i="26" a="1"/>
  <c r="AT501" i="26" s="1"/>
  <c r="AY509" i="26" a="1"/>
  <c r="AY509" i="26" s="1"/>
  <c r="BC509" i="26" s="1"/>
  <c r="BG509" i="26" s="1"/>
  <c r="AW509" i="26" a="1"/>
  <c r="AW509" i="26" s="1"/>
  <c r="AX509" i="26" a="1"/>
  <c r="AX509" i="26" s="1"/>
  <c r="AU509" i="26" a="1"/>
  <c r="AU509" i="26" s="1"/>
  <c r="AS509" i="26" a="1"/>
  <c r="AS509" i="26" s="1"/>
  <c r="AT509" i="26" a="1"/>
  <c r="AT509" i="26" s="1"/>
  <c r="AY517" i="26" a="1"/>
  <c r="AY517" i="26" s="1"/>
  <c r="BC517" i="26" s="1"/>
  <c r="BG517" i="26" s="1"/>
  <c r="AX517" i="26" a="1"/>
  <c r="AX517" i="26" s="1"/>
  <c r="AW517" i="26" a="1"/>
  <c r="AW517" i="26" s="1"/>
  <c r="AU517" i="26" a="1"/>
  <c r="AU517" i="26" s="1"/>
  <c r="AS517" i="26" a="1"/>
  <c r="AS517" i="26" s="1"/>
  <c r="AT517" i="26" a="1"/>
  <c r="AT517" i="26" s="1"/>
  <c r="AW525" i="26" a="1"/>
  <c r="AW525" i="26" s="1"/>
  <c r="AY525" i="26" a="1"/>
  <c r="AY525" i="26" s="1"/>
  <c r="AX525" i="26" a="1"/>
  <c r="AX525" i="26" s="1"/>
  <c r="AT525" i="26" a="1"/>
  <c r="AT525" i="26" s="1"/>
  <c r="AU525" i="26" a="1"/>
  <c r="AU525" i="26" s="1"/>
  <c r="AS525" i="26" a="1"/>
  <c r="AS525" i="26" s="1"/>
  <c r="AY533" i="26" a="1"/>
  <c r="AY533" i="26" s="1"/>
  <c r="AX533" i="26" a="1"/>
  <c r="AX533" i="26" s="1"/>
  <c r="AW533" i="26" a="1"/>
  <c r="AW533" i="26" s="1"/>
  <c r="AT533" i="26" a="1"/>
  <c r="AT533" i="26" s="1"/>
  <c r="AU533" i="26" a="1"/>
  <c r="AU533" i="26" s="1"/>
  <c r="AS533" i="26" a="1"/>
  <c r="AS533" i="26" s="1"/>
  <c r="AW541" i="26" a="1"/>
  <c r="AW541" i="26" s="1"/>
  <c r="AY541" i="26" a="1"/>
  <c r="AY541" i="26" s="1"/>
  <c r="BC541" i="26" s="1"/>
  <c r="BG541" i="26" s="1"/>
  <c r="AX541" i="26" a="1"/>
  <c r="AX541" i="26" s="1"/>
  <c r="AT541" i="26" a="1"/>
  <c r="AT541" i="26" s="1"/>
  <c r="AU541" i="26" a="1"/>
  <c r="AU541" i="26" s="1"/>
  <c r="AS541" i="26" a="1"/>
  <c r="AS541" i="26" s="1"/>
  <c r="AY549" i="26" a="1"/>
  <c r="AY549" i="26" s="1"/>
  <c r="BC549" i="26" s="1"/>
  <c r="BG549" i="26" s="1"/>
  <c r="AX549" i="26" a="1"/>
  <c r="AX549" i="26" s="1"/>
  <c r="AW549" i="26" a="1"/>
  <c r="AW549" i="26" s="1"/>
  <c r="AT549" i="26" a="1"/>
  <c r="AT549" i="26" s="1"/>
  <c r="AU549" i="26" a="1"/>
  <c r="AU549" i="26" s="1"/>
  <c r="AS549" i="26" a="1"/>
  <c r="AS549" i="26" s="1"/>
  <c r="AY557" i="26" a="1"/>
  <c r="AY557" i="26" s="1"/>
  <c r="BC557" i="26" s="1"/>
  <c r="BG557" i="26" s="1"/>
  <c r="AX557" i="26" a="1"/>
  <c r="AX557" i="26" s="1"/>
  <c r="AW557" i="26" a="1"/>
  <c r="AW557" i="26" s="1"/>
  <c r="AT557" i="26" a="1"/>
  <c r="AT557" i="26" s="1"/>
  <c r="AU557" i="26" a="1"/>
  <c r="AU557" i="26" s="1"/>
  <c r="AS557" i="26" a="1"/>
  <c r="AS557" i="26" s="1"/>
  <c r="AW565" i="26" a="1"/>
  <c r="AW565" i="26" s="1"/>
  <c r="AY565" i="26" a="1"/>
  <c r="AY565" i="26" s="1"/>
  <c r="AX565" i="26" a="1"/>
  <c r="AX565" i="26" s="1"/>
  <c r="AT565" i="26" a="1"/>
  <c r="AT565" i="26" s="1"/>
  <c r="AU565" i="26" a="1"/>
  <c r="AU565" i="26" s="1"/>
  <c r="AS565" i="26" a="1"/>
  <c r="AS565" i="26" s="1"/>
  <c r="AX297" i="26" a="1"/>
  <c r="AX297" i="26" s="1"/>
  <c r="AU297" i="26" a="1"/>
  <c r="AU297" i="26" s="1"/>
  <c r="AW297" i="26" a="1"/>
  <c r="AW297" i="26" s="1"/>
  <c r="AY297" i="26" a="1"/>
  <c r="AY297" i="26" s="1"/>
  <c r="AT297" i="26" a="1"/>
  <c r="AT297" i="26" s="1"/>
  <c r="AS297" i="26" a="1"/>
  <c r="AS297" i="26" s="1"/>
  <c r="AU313" i="26" a="1"/>
  <c r="AU313" i="26" s="1"/>
  <c r="AY313" i="26" a="1"/>
  <c r="AY313" i="26" s="1"/>
  <c r="BC313" i="26" s="1"/>
  <c r="BG313" i="26" s="1"/>
  <c r="AX313" i="26" a="1"/>
  <c r="AX313" i="26" s="1"/>
  <c r="AW313" i="26" a="1"/>
  <c r="AW313" i="26" s="1"/>
  <c r="AT313" i="26" a="1"/>
  <c r="AT313" i="26" s="1"/>
  <c r="AS313" i="26" a="1"/>
  <c r="AS313" i="26" s="1"/>
  <c r="AU304" i="26" a="1"/>
  <c r="AU304" i="26" s="1"/>
  <c r="AY304" i="26" a="1"/>
  <c r="AY304" i="26" s="1"/>
  <c r="BC304" i="26" s="1"/>
  <c r="BG304" i="26" s="1"/>
  <c r="AW304" i="26" a="1"/>
  <c r="AW304" i="26" s="1"/>
  <c r="AX304" i="26" a="1"/>
  <c r="AX304" i="26" s="1"/>
  <c r="AT304" i="26" a="1"/>
  <c r="AT304" i="26" s="1"/>
  <c r="AS304" i="26" a="1"/>
  <c r="AS304" i="26" s="1"/>
  <c r="AY312" i="26" a="1"/>
  <c r="AY312" i="26" s="1"/>
  <c r="AX312" i="26" a="1"/>
  <c r="AX312" i="26" s="1"/>
  <c r="AU312" i="26" a="1"/>
  <c r="AU312" i="26" s="1"/>
  <c r="AW312" i="26" a="1"/>
  <c r="AW312" i="26" s="1"/>
  <c r="AT312" i="26" a="1"/>
  <c r="AT312" i="26" s="1"/>
  <c r="AS312" i="26" a="1"/>
  <c r="AS312" i="26" s="1"/>
  <c r="AU295" i="26" a="1"/>
  <c r="AU295" i="26" s="1"/>
  <c r="AY295" i="26" a="1"/>
  <c r="AY295" i="26" s="1"/>
  <c r="BC295" i="26" s="1"/>
  <c r="BG295" i="26" s="1"/>
  <c r="AT295" i="26" a="1"/>
  <c r="AT295" i="26" s="1"/>
  <c r="AX295" i="26" a="1"/>
  <c r="AX295" i="26" s="1"/>
  <c r="AS295" i="26" a="1"/>
  <c r="AS295" i="26" s="1"/>
  <c r="AY319" i="26" a="1"/>
  <c r="AY319" i="26" s="1"/>
  <c r="BC319" i="26" s="1"/>
  <c r="BG319" i="26" s="1"/>
  <c r="AX319" i="26" a="1"/>
  <c r="AX319" i="26" s="1"/>
  <c r="AU319" i="26" a="1"/>
  <c r="AU319" i="26" s="1"/>
  <c r="AT319" i="26" a="1"/>
  <c r="AT319" i="26" s="1"/>
  <c r="AW319" i="26" a="1"/>
  <c r="AW319" i="26" s="1"/>
  <c r="AS319" i="26" a="1"/>
  <c r="AS319" i="26" s="1"/>
  <c r="AW335" i="26" a="1"/>
  <c r="AW335" i="26" s="1"/>
  <c r="AY335" i="26" a="1"/>
  <c r="AY335" i="26" s="1"/>
  <c r="AX335" i="26" a="1"/>
  <c r="AX335" i="26" s="1"/>
  <c r="AU335" i="26" a="1"/>
  <c r="AU335" i="26" s="1"/>
  <c r="AT335" i="26" a="1"/>
  <c r="AT335" i="26" s="1"/>
  <c r="AS335" i="26" a="1"/>
  <c r="AS335" i="26" s="1"/>
  <c r="AW391" i="26" a="1"/>
  <c r="AW391" i="26" s="1"/>
  <c r="AX391" i="26" a="1"/>
  <c r="AX391" i="26" s="1"/>
  <c r="AU391" i="26" a="1"/>
  <c r="AU391" i="26" s="1"/>
  <c r="AY391" i="26" a="1"/>
  <c r="AY391" i="26" s="1"/>
  <c r="AT391" i="26" a="1"/>
  <c r="AT391" i="26" s="1"/>
  <c r="AS391" i="26" a="1"/>
  <c r="AS391" i="26" s="1"/>
  <c r="AX310" i="26" a="1"/>
  <c r="AX310" i="26" s="1"/>
  <c r="AW310" i="26" a="1"/>
  <c r="AW310" i="26" s="1"/>
  <c r="AT310" i="26" a="1"/>
  <c r="AT310" i="26" s="1"/>
  <c r="AY310" i="26" a="1"/>
  <c r="AY310" i="26" s="1"/>
  <c r="AU310" i="26" a="1"/>
  <c r="AU310" i="26" s="1"/>
  <c r="AS310" i="26" a="1"/>
  <c r="AS310" i="26" s="1"/>
  <c r="AW374" i="26" a="1"/>
  <c r="AW374" i="26" s="1"/>
  <c r="AX374" i="26" a="1"/>
  <c r="AX374" i="26" s="1"/>
  <c r="AY374" i="26" a="1"/>
  <c r="AY374" i="26" s="1"/>
  <c r="BC374" i="26" s="1"/>
  <c r="BG374" i="26" s="1"/>
  <c r="AT374" i="26" a="1"/>
  <c r="AT374" i="26" s="1"/>
  <c r="AS374" i="26" a="1"/>
  <c r="AS374" i="26" s="1"/>
  <c r="AU374" i="26" a="1"/>
  <c r="AU374" i="26" s="1"/>
  <c r="W583" i="26"/>
  <c r="AQ583" i="26" s="1"/>
  <c r="AX293" i="26" a="1"/>
  <c r="AX293" i="26" s="1"/>
  <c r="AU293" i="26" a="1"/>
  <c r="AU293" i="26" s="1"/>
  <c r="AT293" i="26" a="1"/>
  <c r="AT293" i="26" s="1"/>
  <c r="AY293" i="26" a="1"/>
  <c r="AY293" i="26" s="1"/>
  <c r="BC293" i="26" s="1"/>
  <c r="BG293" i="26" s="1"/>
  <c r="AW293" i="26" a="1"/>
  <c r="AW293" i="26" s="1"/>
  <c r="AS293" i="26" a="1"/>
  <c r="AS293" i="26" s="1"/>
  <c r="AW300" i="26" a="1"/>
  <c r="AW300" i="26" s="1"/>
  <c r="AY300" i="26" a="1"/>
  <c r="AY300" i="26" s="1"/>
  <c r="AS300" i="26" a="1"/>
  <c r="AS300" i="26" s="1"/>
  <c r="AX300" i="26" a="1"/>
  <c r="AX300" i="26" s="1"/>
  <c r="AU300" i="26" a="1"/>
  <c r="AU300" i="26" s="1"/>
  <c r="AT300" i="26" a="1"/>
  <c r="AT300" i="26" s="1"/>
  <c r="AW308" i="26" a="1"/>
  <c r="AW308" i="26" s="1"/>
  <c r="AU308" i="26" a="1"/>
  <c r="AU308" i="26" s="1"/>
  <c r="AS308" i="26" a="1"/>
  <c r="AS308" i="26" s="1"/>
  <c r="AY308" i="26" a="1"/>
  <c r="AY308" i="26" s="1"/>
  <c r="AX308" i="26" a="1"/>
  <c r="AX308" i="26" s="1"/>
  <c r="AT308" i="26" a="1"/>
  <c r="AT308" i="26" s="1"/>
  <c r="AW316" i="26" a="1"/>
  <c r="AW316" i="26" s="1"/>
  <c r="AS316" i="26" a="1"/>
  <c r="AS316" i="26" s="1"/>
  <c r="AU316" i="26" a="1"/>
  <c r="AU316" i="26" s="1"/>
  <c r="AY316" i="26" a="1"/>
  <c r="AY316" i="26" s="1"/>
  <c r="BC316" i="26" s="1"/>
  <c r="BG316" i="26" s="1"/>
  <c r="AX316" i="26" a="1"/>
  <c r="AX316" i="26" s="1"/>
  <c r="AT316" i="26" a="1"/>
  <c r="AT316" i="26" s="1"/>
  <c r="AY324" i="26" a="1"/>
  <c r="AY324" i="26" s="1"/>
  <c r="BC324" i="26" s="1"/>
  <c r="BG324" i="26" s="1"/>
  <c r="AW324" i="26" a="1"/>
  <c r="AW324" i="26" s="1"/>
  <c r="AS324" i="26" a="1"/>
  <c r="AS324" i="26" s="1"/>
  <c r="AX324" i="26" a="1"/>
  <c r="AX324" i="26" s="1"/>
  <c r="AU324" i="26" a="1"/>
  <c r="AU324" i="26" s="1"/>
  <c r="AT324" i="26" a="1"/>
  <c r="AT324" i="26" s="1"/>
  <c r="AX332" i="26" a="1"/>
  <c r="AX332" i="26" s="1"/>
  <c r="AW332" i="26" a="1"/>
  <c r="AW332" i="26" s="1"/>
  <c r="AU332" i="26" a="1"/>
  <c r="AU332" i="26" s="1"/>
  <c r="AS332" i="26" a="1"/>
  <c r="AS332" i="26" s="1"/>
  <c r="AY332" i="26" a="1"/>
  <c r="AY332" i="26" s="1"/>
  <c r="BC332" i="26" s="1"/>
  <c r="BG332" i="26" s="1"/>
  <c r="AT332" i="26" a="1"/>
  <c r="AT332" i="26" s="1"/>
  <c r="AW340" i="26" a="1"/>
  <c r="AW340" i="26" s="1"/>
  <c r="AX340" i="26" a="1"/>
  <c r="AX340" i="26" s="1"/>
  <c r="AY340" i="26" a="1"/>
  <c r="AY340" i="26" s="1"/>
  <c r="AS340" i="26" a="1"/>
  <c r="AS340" i="26" s="1"/>
  <c r="AU340" i="26" a="1"/>
  <c r="AU340" i="26" s="1"/>
  <c r="AT340" i="26" a="1"/>
  <c r="AT340" i="26" s="1"/>
  <c r="AW348" i="26" a="1"/>
  <c r="AW348" i="26" s="1"/>
  <c r="AX348" i="26" a="1"/>
  <c r="AX348" i="26" s="1"/>
  <c r="AY348" i="26" a="1"/>
  <c r="AY348" i="26" s="1"/>
  <c r="BC348" i="26" s="1"/>
  <c r="BG348" i="26" s="1"/>
  <c r="AS348" i="26" a="1"/>
  <c r="AS348" i="26" s="1"/>
  <c r="AU348" i="26" a="1"/>
  <c r="AU348" i="26" s="1"/>
  <c r="AT348" i="26" a="1"/>
  <c r="AT348" i="26" s="1"/>
  <c r="AW356" i="26" a="1"/>
  <c r="AW356" i="26" s="1"/>
  <c r="AX356" i="26" a="1"/>
  <c r="AX356" i="26" s="1"/>
  <c r="AY356" i="26" a="1"/>
  <c r="AY356" i="26" s="1"/>
  <c r="BC356" i="26" s="1"/>
  <c r="BG356" i="26" s="1"/>
  <c r="AS356" i="26" a="1"/>
  <c r="AS356" i="26" s="1"/>
  <c r="AU356" i="26" a="1"/>
  <c r="AU356" i="26" s="1"/>
  <c r="AT356" i="26" a="1"/>
  <c r="AT356" i="26" s="1"/>
  <c r="AW364" i="26" a="1"/>
  <c r="AW364" i="26" s="1"/>
  <c r="AX364" i="26" a="1"/>
  <c r="AX364" i="26" s="1"/>
  <c r="AY364" i="26" a="1"/>
  <c r="AY364" i="26" s="1"/>
  <c r="BC364" i="26" s="1"/>
  <c r="BG364" i="26" s="1"/>
  <c r="AS364" i="26" a="1"/>
  <c r="AS364" i="26" s="1"/>
  <c r="AU364" i="26" a="1"/>
  <c r="AU364" i="26" s="1"/>
  <c r="AT364" i="26" a="1"/>
  <c r="AT364" i="26" s="1"/>
  <c r="AW372" i="26" a="1"/>
  <c r="AW372" i="26" s="1"/>
  <c r="AY372" i="26" a="1"/>
  <c r="AY372" i="26" s="1"/>
  <c r="BC372" i="26" s="1"/>
  <c r="BG372" i="26" s="1"/>
  <c r="AX372" i="26" a="1"/>
  <c r="AX372" i="26" s="1"/>
  <c r="AU372" i="26" a="1"/>
  <c r="AU372" i="26" s="1"/>
  <c r="AS372" i="26" a="1"/>
  <c r="AS372" i="26" s="1"/>
  <c r="AT372" i="26" a="1"/>
  <c r="AT372" i="26" s="1"/>
  <c r="AW380" i="26" a="1"/>
  <c r="AW380" i="26" s="1"/>
  <c r="AY380" i="26" a="1"/>
  <c r="AY380" i="26" s="1"/>
  <c r="BC380" i="26" s="1"/>
  <c r="BG380" i="26" s="1"/>
  <c r="AX380" i="26" a="1"/>
  <c r="AX380" i="26" s="1"/>
  <c r="AS380" i="26" a="1"/>
  <c r="AS380" i="26" s="1"/>
  <c r="AU380" i="26" a="1"/>
  <c r="AU380" i="26" s="1"/>
  <c r="AT380" i="26" a="1"/>
  <c r="AT380" i="26" s="1"/>
  <c r="AW388" i="26" a="1"/>
  <c r="AW388" i="26" s="1"/>
  <c r="AX388" i="26" a="1"/>
  <c r="AX388" i="26" s="1"/>
  <c r="AY388" i="26" a="1"/>
  <c r="AY388" i="26" s="1"/>
  <c r="BC388" i="26" s="1"/>
  <c r="BG388" i="26" s="1"/>
  <c r="AU388" i="26" a="1"/>
  <c r="AU388" i="26" s="1"/>
  <c r="AS388" i="26" a="1"/>
  <c r="AS388" i="26" s="1"/>
  <c r="AT388" i="26" a="1"/>
  <c r="AT388" i="26" s="1"/>
  <c r="AW396" i="26" a="1"/>
  <c r="AW396" i="26" s="1"/>
  <c r="AY396" i="26" a="1"/>
  <c r="AY396" i="26" s="1"/>
  <c r="AX396" i="26" a="1"/>
  <c r="AX396" i="26" s="1"/>
  <c r="AS396" i="26" a="1"/>
  <c r="AS396" i="26" s="1"/>
  <c r="AU396" i="26" a="1"/>
  <c r="AU396" i="26" s="1"/>
  <c r="AT396" i="26" a="1"/>
  <c r="AT396" i="26" s="1"/>
  <c r="AW404" i="26" a="1"/>
  <c r="AW404" i="26" s="1"/>
  <c r="AX404" i="26" a="1"/>
  <c r="AX404" i="26" s="1"/>
  <c r="AY404" i="26" a="1"/>
  <c r="AY404" i="26" s="1"/>
  <c r="AU404" i="26" a="1"/>
  <c r="AU404" i="26" s="1"/>
  <c r="AS404" i="26" a="1"/>
  <c r="AS404" i="26" s="1"/>
  <c r="AT404" i="26" a="1"/>
  <c r="AT404" i="26" s="1"/>
  <c r="AY412" i="26" a="1"/>
  <c r="AY412" i="26" s="1"/>
  <c r="BC412" i="26" s="1"/>
  <c r="BG412" i="26" s="1"/>
  <c r="AX412" i="26" a="1"/>
  <c r="AX412" i="26" s="1"/>
  <c r="AW412" i="26" a="1"/>
  <c r="AW412" i="26" s="1"/>
  <c r="AS412" i="26" a="1"/>
  <c r="AS412" i="26" s="1"/>
  <c r="AU412" i="26" a="1"/>
  <c r="AU412" i="26" s="1"/>
  <c r="AT412" i="26" a="1"/>
  <c r="AT412" i="26" s="1"/>
  <c r="AY420" i="26" a="1"/>
  <c r="AY420" i="26" s="1"/>
  <c r="BC420" i="26" s="1"/>
  <c r="BG420" i="26" s="1"/>
  <c r="AX420" i="26" a="1"/>
  <c r="AX420" i="26" s="1"/>
  <c r="AW420" i="26" a="1"/>
  <c r="AW420" i="26" s="1"/>
  <c r="AU420" i="26" a="1"/>
  <c r="AU420" i="26" s="1"/>
  <c r="AS420" i="26" a="1"/>
  <c r="AS420" i="26" s="1"/>
  <c r="AT420" i="26" a="1"/>
  <c r="AT420" i="26" s="1"/>
  <c r="AX428" i="26" a="1"/>
  <c r="AX428" i="26" s="1"/>
  <c r="AW428" i="26" a="1"/>
  <c r="AW428" i="26" s="1"/>
  <c r="AY428" i="26" a="1"/>
  <c r="AY428" i="26" s="1"/>
  <c r="BC428" i="26" s="1"/>
  <c r="BG428" i="26" s="1"/>
  <c r="AS428" i="26" a="1"/>
  <c r="AS428" i="26" s="1"/>
  <c r="AU428" i="26" a="1"/>
  <c r="AU428" i="26" s="1"/>
  <c r="AT428" i="26" a="1"/>
  <c r="AT428" i="26" s="1"/>
  <c r="AW436" i="26" a="1"/>
  <c r="AW436" i="26" s="1"/>
  <c r="AY436" i="26" a="1"/>
  <c r="AY436" i="26" s="1"/>
  <c r="BC436" i="26" s="1"/>
  <c r="BG436" i="26" s="1"/>
  <c r="AX436" i="26" a="1"/>
  <c r="AX436" i="26" s="1"/>
  <c r="AU436" i="26" a="1"/>
  <c r="AU436" i="26" s="1"/>
  <c r="AS436" i="26" a="1"/>
  <c r="AS436" i="26" s="1"/>
  <c r="AT436" i="26" a="1"/>
  <c r="AT436" i="26" s="1"/>
  <c r="AW444" i="26" a="1"/>
  <c r="AW444" i="26" s="1"/>
  <c r="AY444" i="26" a="1"/>
  <c r="AY444" i="26" s="1"/>
  <c r="BC444" i="26" s="1"/>
  <c r="BG444" i="26" s="1"/>
  <c r="AX444" i="26" a="1"/>
  <c r="AX444" i="26" s="1"/>
  <c r="AS444" i="26" a="1"/>
  <c r="AS444" i="26" s="1"/>
  <c r="AU444" i="26" a="1"/>
  <c r="AU444" i="26" s="1"/>
  <c r="AT444" i="26" a="1"/>
  <c r="AT444" i="26" s="1"/>
  <c r="AX452" i="26" a="1"/>
  <c r="AX452" i="26" s="1"/>
  <c r="AW452" i="26" a="1"/>
  <c r="AW452" i="26" s="1"/>
  <c r="AY452" i="26" a="1"/>
  <c r="AY452" i="26" s="1"/>
  <c r="BC452" i="26" s="1"/>
  <c r="BG452" i="26" s="1"/>
  <c r="AU452" i="26" a="1"/>
  <c r="AU452" i="26" s="1"/>
  <c r="AS452" i="26" a="1"/>
  <c r="AS452" i="26" s="1"/>
  <c r="AT452" i="26" a="1"/>
  <c r="AT452" i="26" s="1"/>
  <c r="AW460" i="26" a="1"/>
  <c r="AW460" i="26" s="1"/>
  <c r="AY460" i="26" a="1"/>
  <c r="AY460" i="26" s="1"/>
  <c r="AX460" i="26" a="1"/>
  <c r="AX460" i="26" s="1"/>
  <c r="AS460" i="26" a="1"/>
  <c r="AS460" i="26" s="1"/>
  <c r="AU460" i="26" a="1"/>
  <c r="AU460" i="26" s="1"/>
  <c r="AT460" i="26" a="1"/>
  <c r="AT460" i="26" s="1"/>
  <c r="AY468" i="26" a="1"/>
  <c r="AY468" i="26" s="1"/>
  <c r="BC468" i="26" s="1"/>
  <c r="BG468" i="26" s="1"/>
  <c r="AX468" i="26" a="1"/>
  <c r="AX468" i="26" s="1"/>
  <c r="AW468" i="26" a="1"/>
  <c r="AW468" i="26" s="1"/>
  <c r="AU468" i="26" a="1"/>
  <c r="AU468" i="26" s="1"/>
  <c r="AS468" i="26" a="1"/>
  <c r="AS468" i="26" s="1"/>
  <c r="AT468" i="26" a="1"/>
  <c r="AT468" i="26" s="1"/>
  <c r="AX476" i="26" a="1"/>
  <c r="AX476" i="26" s="1"/>
  <c r="AW476" i="26" a="1"/>
  <c r="AW476" i="26" s="1"/>
  <c r="AY476" i="26" a="1"/>
  <c r="AY476" i="26" s="1"/>
  <c r="BC476" i="26" s="1"/>
  <c r="BG476" i="26" s="1"/>
  <c r="AS476" i="26" a="1"/>
  <c r="AS476" i="26" s="1"/>
  <c r="AU476" i="26" a="1"/>
  <c r="AU476" i="26" s="1"/>
  <c r="AT476" i="26" a="1"/>
  <c r="AT476" i="26" s="1"/>
  <c r="AY484" i="26" a="1"/>
  <c r="AY484" i="26" s="1"/>
  <c r="BC484" i="26" s="1"/>
  <c r="BG484" i="26" s="1"/>
  <c r="AX484" i="26" a="1"/>
  <c r="AX484" i="26" s="1"/>
  <c r="AW484" i="26" a="1"/>
  <c r="AW484" i="26" s="1"/>
  <c r="AU484" i="26" a="1"/>
  <c r="AU484" i="26" s="1"/>
  <c r="AS484" i="26" a="1"/>
  <c r="AS484" i="26" s="1"/>
  <c r="AT484" i="26" a="1"/>
  <c r="AT484" i="26" s="1"/>
  <c r="AY492" i="26" a="1"/>
  <c r="AY492" i="26" s="1"/>
  <c r="AX492" i="26" a="1"/>
  <c r="AX492" i="26" s="1"/>
  <c r="AW492" i="26" a="1"/>
  <c r="AW492" i="26" s="1"/>
  <c r="AS492" i="26" a="1"/>
  <c r="AS492" i="26" s="1"/>
  <c r="AU492" i="26" a="1"/>
  <c r="AU492" i="26" s="1"/>
  <c r="AT492" i="26" a="1"/>
  <c r="AT492" i="26" s="1"/>
  <c r="AY500" i="26" a="1"/>
  <c r="AY500" i="26" s="1"/>
  <c r="BC500" i="26" s="1"/>
  <c r="BG500" i="26" s="1"/>
  <c r="AX500" i="26" a="1"/>
  <c r="AX500" i="26" s="1"/>
  <c r="AW500" i="26" a="1"/>
  <c r="AW500" i="26" s="1"/>
  <c r="AU500" i="26" a="1"/>
  <c r="AU500" i="26" s="1"/>
  <c r="AS500" i="26" a="1"/>
  <c r="AS500" i="26" s="1"/>
  <c r="AT500" i="26" a="1"/>
  <c r="AT500" i="26" s="1"/>
  <c r="AX508" i="26" a="1"/>
  <c r="AX508" i="26" s="1"/>
  <c r="AW508" i="26" a="1"/>
  <c r="AW508" i="26" s="1"/>
  <c r="AY508" i="26" a="1"/>
  <c r="AY508" i="26" s="1"/>
  <c r="BC508" i="26" s="1"/>
  <c r="BG508" i="26" s="1"/>
  <c r="AS508" i="26" a="1"/>
  <c r="AS508" i="26" s="1"/>
  <c r="AU508" i="26" a="1"/>
  <c r="AU508" i="26" s="1"/>
  <c r="AT508" i="26" a="1"/>
  <c r="AT508" i="26" s="1"/>
  <c r="AY516" i="26" a="1"/>
  <c r="AY516" i="26" s="1"/>
  <c r="BC516" i="26" s="1"/>
  <c r="BG516" i="26" s="1"/>
  <c r="AX516" i="26" a="1"/>
  <c r="AX516" i="26" s="1"/>
  <c r="AW516" i="26" a="1"/>
  <c r="AW516" i="26" s="1"/>
  <c r="AU516" i="26" a="1"/>
  <c r="AU516" i="26" s="1"/>
  <c r="AS516" i="26" a="1"/>
  <c r="AS516" i="26" s="1"/>
  <c r="AT516" i="26" a="1"/>
  <c r="AT516" i="26" s="1"/>
  <c r="AY524" i="26" a="1"/>
  <c r="AY524" i="26" s="1"/>
  <c r="AX524" i="26" a="1"/>
  <c r="AX524" i="26" s="1"/>
  <c r="AW524" i="26" a="1"/>
  <c r="AW524" i="26" s="1"/>
  <c r="AS524" i="26" a="1"/>
  <c r="AS524" i="26" s="1"/>
  <c r="AU524" i="26" a="1"/>
  <c r="AU524" i="26" s="1"/>
  <c r="AT524" i="26" a="1"/>
  <c r="AT524" i="26" s="1"/>
  <c r="AX532" i="26" a="1"/>
  <c r="AX532" i="26" s="1"/>
  <c r="AW532" i="26" a="1"/>
  <c r="AW532" i="26" s="1"/>
  <c r="AY532" i="26" a="1"/>
  <c r="AY532" i="26" s="1"/>
  <c r="AT532" i="26" a="1"/>
  <c r="AT532" i="26" s="1"/>
  <c r="AU532" i="26" a="1"/>
  <c r="AU532" i="26" s="1"/>
  <c r="AS532" i="26" a="1"/>
  <c r="AS532" i="26" s="1"/>
  <c r="AY540" i="26" a="1"/>
  <c r="AY540" i="26" s="1"/>
  <c r="BC540" i="26" s="1"/>
  <c r="BG540" i="26" s="1"/>
  <c r="AX540" i="26" a="1"/>
  <c r="AX540" i="26" s="1"/>
  <c r="AW540" i="26" a="1"/>
  <c r="AW540" i="26" s="1"/>
  <c r="AT540" i="26" a="1"/>
  <c r="AT540" i="26" s="1"/>
  <c r="AS540" i="26" a="1"/>
  <c r="AS540" i="26" s="1"/>
  <c r="AU540" i="26" a="1"/>
  <c r="AU540" i="26" s="1"/>
  <c r="AW548" i="26" a="1"/>
  <c r="AW548" i="26" s="1"/>
  <c r="AY548" i="26" a="1"/>
  <c r="AY548" i="26" s="1"/>
  <c r="BC548" i="26" s="1"/>
  <c r="BG548" i="26" s="1"/>
  <c r="AX548" i="26" a="1"/>
  <c r="AX548" i="26" s="1"/>
  <c r="AT548" i="26" a="1"/>
  <c r="AT548" i="26" s="1"/>
  <c r="AU548" i="26" a="1"/>
  <c r="AU548" i="26" s="1"/>
  <c r="AS548" i="26" a="1"/>
  <c r="AS548" i="26" s="1"/>
  <c r="AX556" i="26" a="1"/>
  <c r="AX556" i="26" s="1"/>
  <c r="AW556" i="26" a="1"/>
  <c r="AW556" i="26" s="1"/>
  <c r="AY556" i="26" a="1"/>
  <c r="AY556" i="26" s="1"/>
  <c r="BC556" i="26" s="1"/>
  <c r="BG556" i="26" s="1"/>
  <c r="AT556" i="26" a="1"/>
  <c r="AT556" i="26" s="1"/>
  <c r="AS556" i="26" a="1"/>
  <c r="AS556" i="26" s="1"/>
  <c r="AU556" i="26" a="1"/>
  <c r="AU556" i="26" s="1"/>
  <c r="AY564" i="26" a="1"/>
  <c r="AY564" i="26" s="1"/>
  <c r="BC564" i="26" s="1"/>
  <c r="BG564" i="26" s="1"/>
  <c r="AX564" i="26" a="1"/>
  <c r="AX564" i="26" s="1"/>
  <c r="AW564" i="26" a="1"/>
  <c r="AW564" i="26" s="1"/>
  <c r="AT564" i="26" a="1"/>
  <c r="AT564" i="26" s="1"/>
  <c r="AU564" i="26" a="1"/>
  <c r="AU564" i="26" s="1"/>
  <c r="AS564" i="26" a="1"/>
  <c r="AS564" i="26" s="1"/>
  <c r="AX361" i="26" a="1"/>
  <c r="AX361" i="26" s="1"/>
  <c r="AW361" i="26" a="1"/>
  <c r="AW361" i="26" s="1"/>
  <c r="AY361" i="26" a="1"/>
  <c r="AY361" i="26" s="1"/>
  <c r="BC361" i="26" s="1"/>
  <c r="BG361" i="26" s="1"/>
  <c r="AU361" i="26" a="1"/>
  <c r="AU361" i="26" s="1"/>
  <c r="AS361" i="26" a="1"/>
  <c r="AS361" i="26" s="1"/>
  <c r="AT361" i="26" a="1"/>
  <c r="AT361" i="26" s="1"/>
  <c r="AX369" i="26" a="1"/>
  <c r="AX369" i="26" s="1"/>
  <c r="AW369" i="26" a="1"/>
  <c r="AW369" i="26" s="1"/>
  <c r="AY369" i="26" a="1"/>
  <c r="AY369" i="26" s="1"/>
  <c r="BC369" i="26" s="1"/>
  <c r="BG369" i="26" s="1"/>
  <c r="AU369" i="26" a="1"/>
  <c r="AU369" i="26" s="1"/>
  <c r="AT369" i="26" a="1"/>
  <c r="AT369" i="26" s="1"/>
  <c r="AS369" i="26" a="1"/>
  <c r="AS369" i="26" s="1"/>
  <c r="AY368" i="26" a="1"/>
  <c r="AY368" i="26" s="1"/>
  <c r="AU368" i="26" a="1"/>
  <c r="AU368" i="26" s="1"/>
  <c r="AX368" i="26" a="1"/>
  <c r="AX368" i="26" s="1"/>
  <c r="BB368" i="26" s="1"/>
  <c r="BF368" i="26" s="1"/>
  <c r="AW368" i="26" a="1"/>
  <c r="AW368" i="26" s="1"/>
  <c r="AT368" i="26" a="1"/>
  <c r="AT368" i="26" s="1"/>
  <c r="AS368" i="26" a="1"/>
  <c r="AS368" i="26" s="1"/>
  <c r="AU311" i="26" a="1"/>
  <c r="AU311" i="26" s="1"/>
  <c r="AX311" i="26" a="1"/>
  <c r="AX311" i="26" s="1"/>
  <c r="AT311" i="26" a="1"/>
  <c r="AT311" i="26" s="1"/>
  <c r="AW311" i="26" a="1"/>
  <c r="AW311" i="26" s="1"/>
  <c r="AS311" i="26" a="1"/>
  <c r="AS311" i="26" s="1"/>
  <c r="AY311" i="26" a="1"/>
  <c r="AY311" i="26" s="1"/>
  <c r="BC311" i="26" s="1"/>
  <c r="BG311" i="26" s="1"/>
  <c r="AW351" i="26" a="1"/>
  <c r="AW351" i="26" s="1"/>
  <c r="AY351" i="26" a="1"/>
  <c r="AY351" i="26" s="1"/>
  <c r="BC351" i="26" s="1"/>
  <c r="BG351" i="26" s="1"/>
  <c r="AX351" i="26" a="1"/>
  <c r="AX351" i="26" s="1"/>
  <c r="AU351" i="26" a="1"/>
  <c r="AU351" i="26" s="1"/>
  <c r="AT351" i="26" a="1"/>
  <c r="AT351" i="26" s="1"/>
  <c r="AS351" i="26" a="1"/>
  <c r="AS351" i="26" s="1"/>
  <c r="AX383" i="26" a="1"/>
  <c r="AX383" i="26" s="1"/>
  <c r="AW383" i="26" a="1"/>
  <c r="AW383" i="26" s="1"/>
  <c r="AY383" i="26" a="1"/>
  <c r="AY383" i="26" s="1"/>
  <c r="BC383" i="26" s="1"/>
  <c r="BG383" i="26" s="1"/>
  <c r="AU383" i="26" a="1"/>
  <c r="AU383" i="26" s="1"/>
  <c r="AT383" i="26" a="1"/>
  <c r="AT383" i="26" s="1"/>
  <c r="AS383" i="26" a="1"/>
  <c r="AS383" i="26" s="1"/>
  <c r="AY302" i="26" a="1"/>
  <c r="AY302" i="26" s="1"/>
  <c r="AX302" i="26" a="1"/>
  <c r="AX302" i="26" s="1"/>
  <c r="AW302" i="26" a="1"/>
  <c r="AW302" i="26" s="1"/>
  <c r="AT302" i="26" a="1"/>
  <c r="AT302" i="26" s="1"/>
  <c r="AU302" i="26" a="1"/>
  <c r="AU302" i="26" s="1"/>
  <c r="AS302" i="26" a="1"/>
  <c r="AS302" i="26" s="1"/>
  <c r="AW318" i="26" a="1"/>
  <c r="AW318" i="26" s="1"/>
  <c r="AY318" i="26" a="1"/>
  <c r="AY318" i="26" s="1"/>
  <c r="BC318" i="26" s="1"/>
  <c r="BG318" i="26" s="1"/>
  <c r="AU318" i="26" a="1"/>
  <c r="AU318" i="26" s="1"/>
  <c r="AT318" i="26" a="1"/>
  <c r="AT318" i="26" s="1"/>
  <c r="AX318" i="26" a="1"/>
  <c r="AX318" i="26" s="1"/>
  <c r="AS318" i="26" a="1"/>
  <c r="AS318" i="26" s="1"/>
  <c r="AY326" i="26" a="1"/>
  <c r="AY326" i="26" s="1"/>
  <c r="BC326" i="26" s="1"/>
  <c r="BG326" i="26" s="1"/>
  <c r="AX326" i="26" a="1"/>
  <c r="AX326" i="26" s="1"/>
  <c r="AT326" i="26" a="1"/>
  <c r="AT326" i="26" s="1"/>
  <c r="AW326" i="26" a="1"/>
  <c r="AW326" i="26" s="1"/>
  <c r="AU326" i="26" a="1"/>
  <c r="AU326" i="26" s="1"/>
  <c r="AS326" i="26" a="1"/>
  <c r="AS326" i="26" s="1"/>
  <c r="AY342" i="26" a="1"/>
  <c r="AY342" i="26" s="1"/>
  <c r="BC342" i="26" s="1"/>
  <c r="BG342" i="26" s="1"/>
  <c r="AX342" i="26" a="1"/>
  <c r="AX342" i="26" s="1"/>
  <c r="AW342" i="26" a="1"/>
  <c r="AW342" i="26" s="1"/>
  <c r="AT342" i="26" a="1"/>
  <c r="AT342" i="26" s="1"/>
  <c r="AU342" i="26" a="1"/>
  <c r="AU342" i="26" s="1"/>
  <c r="AS342" i="26" a="1"/>
  <c r="AS342" i="26" s="1"/>
  <c r="AW382" i="26" a="1"/>
  <c r="AW382" i="26" s="1"/>
  <c r="AY382" i="26" a="1"/>
  <c r="AY382" i="26" s="1"/>
  <c r="AX382" i="26" a="1"/>
  <c r="AX382" i="26" s="1"/>
  <c r="AT382" i="26" a="1"/>
  <c r="AT382" i="26" s="1"/>
  <c r="AU382" i="26" a="1"/>
  <c r="AU382" i="26" s="1"/>
  <c r="AS382" i="26" a="1"/>
  <c r="AS382" i="26" s="1"/>
  <c r="AY414" i="26" a="1"/>
  <c r="AY414" i="26" s="1"/>
  <c r="BC414" i="26" s="1"/>
  <c r="BG414" i="26" s="1"/>
  <c r="AX414" i="26" a="1"/>
  <c r="AX414" i="26" s="1"/>
  <c r="AW414" i="26" a="1"/>
  <c r="AW414" i="26" s="1"/>
  <c r="AT414" i="26" a="1"/>
  <c r="AT414" i="26" s="1"/>
  <c r="AU414" i="26" a="1"/>
  <c r="AU414" i="26" s="1"/>
  <c r="AS414" i="26" a="1"/>
  <c r="AS414" i="26" s="1"/>
  <c r="AY299" i="26" a="1"/>
  <c r="AY299" i="26" s="1"/>
  <c r="BC299" i="26" s="1"/>
  <c r="BG299" i="26" s="1"/>
  <c r="AX299" i="26" a="1"/>
  <c r="AX299" i="26" s="1"/>
  <c r="AW299" i="26" a="1"/>
  <c r="AW299" i="26" s="1"/>
  <c r="AU299" i="26" a="1"/>
  <c r="AU299" i="26" s="1"/>
  <c r="AT299" i="26" a="1"/>
  <c r="AT299" i="26" s="1"/>
  <c r="AS299" i="26" a="1"/>
  <c r="AS299" i="26" s="1"/>
  <c r="AY307" i="26" a="1"/>
  <c r="AY307" i="26" s="1"/>
  <c r="BC307" i="26" s="1"/>
  <c r="BG307" i="26" s="1"/>
  <c r="AX307" i="26" a="1"/>
  <c r="AX307" i="26" s="1"/>
  <c r="AU307" i="26" a="1"/>
  <c r="AU307" i="26" s="1"/>
  <c r="AS307" i="26" a="1"/>
  <c r="AS307" i="26" s="1"/>
  <c r="AW307" i="26" a="1"/>
  <c r="AW307" i="26" s="1"/>
  <c r="AT307" i="26" a="1"/>
  <c r="AT307" i="26" s="1"/>
  <c r="AX315" i="26" a="1"/>
  <c r="AX315" i="26" s="1"/>
  <c r="AW315" i="26" a="1"/>
  <c r="AW315" i="26" s="1"/>
  <c r="AS315" i="26" a="1"/>
  <c r="AS315" i="26" s="1"/>
  <c r="AU315" i="26" a="1"/>
  <c r="AU315" i="26" s="1"/>
  <c r="AT315" i="26" a="1"/>
  <c r="AT315" i="26" s="1"/>
  <c r="AY315" i="26" a="1"/>
  <c r="AY315" i="26" s="1"/>
  <c r="BC315" i="26" s="1"/>
  <c r="BG315" i="26" s="1"/>
  <c r="AW323" i="26" a="1"/>
  <c r="AW323" i="26" s="1"/>
  <c r="AX323" i="26" a="1"/>
  <c r="AX323" i="26" s="1"/>
  <c r="AS323" i="26" a="1"/>
  <c r="AS323" i="26" s="1"/>
  <c r="AU323" i="26" a="1"/>
  <c r="AU323" i="26" s="1"/>
  <c r="AT323" i="26" a="1"/>
  <c r="AT323" i="26" s="1"/>
  <c r="AY323" i="26" a="1"/>
  <c r="AY323" i="26" s="1"/>
  <c r="BC323" i="26" s="1"/>
  <c r="BG323" i="26" s="1"/>
  <c r="AX331" i="26" a="1"/>
  <c r="AX331" i="26" s="1"/>
  <c r="AW331" i="26" a="1"/>
  <c r="AW331" i="26" s="1"/>
  <c r="AU331" i="26" a="1"/>
  <c r="AU331" i="26" s="1"/>
  <c r="AS331" i="26" a="1"/>
  <c r="AS331" i="26" s="1"/>
  <c r="AY331" i="26" a="1"/>
  <c r="AY331" i="26" s="1"/>
  <c r="AT331" i="26" a="1"/>
  <c r="AT331" i="26" s="1"/>
  <c r="AY339" i="26" a="1"/>
  <c r="AY339" i="26" s="1"/>
  <c r="BC339" i="26" s="1"/>
  <c r="BG339" i="26" s="1"/>
  <c r="AX339" i="26" a="1"/>
  <c r="AX339" i="26" s="1"/>
  <c r="AW339" i="26" a="1"/>
  <c r="AW339" i="26" s="1"/>
  <c r="AS339" i="26" a="1"/>
  <c r="AS339" i="26" s="1"/>
  <c r="AU339" i="26" a="1"/>
  <c r="AU339" i="26" s="1"/>
  <c r="AT339" i="26" a="1"/>
  <c r="AT339" i="26" s="1"/>
  <c r="AY347" i="26" a="1"/>
  <c r="AY347" i="26" s="1"/>
  <c r="AX347" i="26" a="1"/>
  <c r="AX347" i="26" s="1"/>
  <c r="AU347" i="26" a="1"/>
  <c r="AU347" i="26" s="1"/>
  <c r="AW347" i="26" a="1"/>
  <c r="AW347" i="26" s="1"/>
  <c r="BA347" i="26" s="1"/>
  <c r="BE347" i="26" s="1"/>
  <c r="AS347" i="26" a="1"/>
  <c r="AS347" i="26" s="1"/>
  <c r="AT347" i="26" a="1"/>
  <c r="AT347" i="26" s="1"/>
  <c r="AY355" i="26" a="1"/>
  <c r="AY355" i="26" s="1"/>
  <c r="BC355" i="26" s="1"/>
  <c r="BG355" i="26" s="1"/>
  <c r="AX355" i="26" a="1"/>
  <c r="AX355" i="26" s="1"/>
  <c r="AW355" i="26" a="1"/>
  <c r="AW355" i="26" s="1"/>
  <c r="AS355" i="26" a="1"/>
  <c r="AS355" i="26" s="1"/>
  <c r="AU355" i="26" a="1"/>
  <c r="AU355" i="26" s="1"/>
  <c r="AT355" i="26" a="1"/>
  <c r="AT355" i="26" s="1"/>
  <c r="AY363" i="26" a="1"/>
  <c r="AY363" i="26" s="1"/>
  <c r="BC363" i="26" s="1"/>
  <c r="BG363" i="26" s="1"/>
  <c r="AX363" i="26" a="1"/>
  <c r="AX363" i="26" s="1"/>
  <c r="AW363" i="26" a="1"/>
  <c r="AW363" i="26" s="1"/>
  <c r="AS363" i="26" a="1"/>
  <c r="AS363" i="26" s="1"/>
  <c r="AU363" i="26" a="1"/>
  <c r="AU363" i="26" s="1"/>
  <c r="AT363" i="26" a="1"/>
  <c r="AT363" i="26" s="1"/>
  <c r="AY371" i="26" a="1"/>
  <c r="AY371" i="26" s="1"/>
  <c r="BC371" i="26" s="1"/>
  <c r="BG371" i="26" s="1"/>
  <c r="AX371" i="26" a="1"/>
  <c r="AX371" i="26" s="1"/>
  <c r="AW371" i="26" a="1"/>
  <c r="AW371" i="26" s="1"/>
  <c r="AU371" i="26" a="1"/>
  <c r="AU371" i="26" s="1"/>
  <c r="AS371" i="26" a="1"/>
  <c r="AS371" i="26" s="1"/>
  <c r="AT371" i="26" a="1"/>
  <c r="AT371" i="26" s="1"/>
  <c r="AY379" i="26" a="1"/>
  <c r="AY379" i="26" s="1"/>
  <c r="AX379" i="26" a="1"/>
  <c r="AX379" i="26" s="1"/>
  <c r="AW379" i="26" a="1"/>
  <c r="AW379" i="26" s="1"/>
  <c r="AS379" i="26" a="1"/>
  <c r="AS379" i="26" s="1"/>
  <c r="AU379" i="26" a="1"/>
  <c r="AU379" i="26" s="1"/>
  <c r="AT379" i="26" a="1"/>
  <c r="AT379" i="26" s="1"/>
  <c r="AY387" i="26" a="1"/>
  <c r="AY387" i="26" s="1"/>
  <c r="BC387" i="26" s="1"/>
  <c r="BG387" i="26" s="1"/>
  <c r="AX387" i="26" a="1"/>
  <c r="AX387" i="26" s="1"/>
  <c r="AW387" i="26" a="1"/>
  <c r="AW387" i="26" s="1"/>
  <c r="AU387" i="26" a="1"/>
  <c r="AU387" i="26" s="1"/>
  <c r="AS387" i="26" a="1"/>
  <c r="AS387" i="26" s="1"/>
  <c r="AT387" i="26" a="1"/>
  <c r="AT387" i="26" s="1"/>
  <c r="AW395" i="26" a="1"/>
  <c r="AW395" i="26" s="1"/>
  <c r="AY395" i="26" a="1"/>
  <c r="AY395" i="26" s="1"/>
  <c r="BC395" i="26" s="1"/>
  <c r="BG395" i="26" s="1"/>
  <c r="AX395" i="26" a="1"/>
  <c r="AX395" i="26" s="1"/>
  <c r="AS395" i="26" a="1"/>
  <c r="AS395" i="26" s="1"/>
  <c r="AU395" i="26" a="1"/>
  <c r="AU395" i="26" s="1"/>
  <c r="AT395" i="26" a="1"/>
  <c r="AT395" i="26" s="1"/>
  <c r="AY403" i="26" a="1"/>
  <c r="AY403" i="26" s="1"/>
  <c r="BC403" i="26" s="1"/>
  <c r="BG403" i="26" s="1"/>
  <c r="AX403" i="26" a="1"/>
  <c r="AX403" i="26" s="1"/>
  <c r="AW403" i="26" a="1"/>
  <c r="AW403" i="26" s="1"/>
  <c r="AU403" i="26" a="1"/>
  <c r="AU403" i="26" s="1"/>
  <c r="AS403" i="26" a="1"/>
  <c r="AS403" i="26" s="1"/>
  <c r="AT403" i="26" a="1"/>
  <c r="AT403" i="26" s="1"/>
  <c r="AY411" i="26" a="1"/>
  <c r="AY411" i="26" s="1"/>
  <c r="AX411" i="26" a="1"/>
  <c r="AX411" i="26" s="1"/>
  <c r="AW411" i="26" a="1"/>
  <c r="AW411" i="26" s="1"/>
  <c r="AS411" i="26" a="1"/>
  <c r="AS411" i="26" s="1"/>
  <c r="AU411" i="26" a="1"/>
  <c r="AU411" i="26" s="1"/>
  <c r="AT411" i="26" a="1"/>
  <c r="AT411" i="26" s="1"/>
  <c r="AY419" i="26" a="1"/>
  <c r="AY419" i="26" s="1"/>
  <c r="BC419" i="26" s="1"/>
  <c r="BG419" i="26" s="1"/>
  <c r="AX419" i="26" a="1"/>
  <c r="AX419" i="26" s="1"/>
  <c r="AW419" i="26" a="1"/>
  <c r="AW419" i="26" s="1"/>
  <c r="AU419" i="26" a="1"/>
  <c r="AU419" i="26" s="1"/>
  <c r="AS419" i="26" a="1"/>
  <c r="AS419" i="26" s="1"/>
  <c r="AT419" i="26" a="1"/>
  <c r="AT419" i="26" s="1"/>
  <c r="AX427" i="26" a="1"/>
  <c r="AX427" i="26" s="1"/>
  <c r="AW427" i="26" a="1"/>
  <c r="AW427" i="26" s="1"/>
  <c r="AY427" i="26" a="1"/>
  <c r="AY427" i="26" s="1"/>
  <c r="BC427" i="26" s="1"/>
  <c r="BG427" i="26" s="1"/>
  <c r="AS427" i="26" a="1"/>
  <c r="AS427" i="26" s="1"/>
  <c r="AU427" i="26" a="1"/>
  <c r="AU427" i="26" s="1"/>
  <c r="AT427" i="26" a="1"/>
  <c r="AT427" i="26" s="1"/>
  <c r="AX435" i="26" a="1"/>
  <c r="AX435" i="26" s="1"/>
  <c r="AW435" i="26" a="1"/>
  <c r="AW435" i="26" s="1"/>
  <c r="AY435" i="26" a="1"/>
  <c r="AY435" i="26" s="1"/>
  <c r="BC435" i="26" s="1"/>
  <c r="BG435" i="26" s="1"/>
  <c r="AU435" i="26" a="1"/>
  <c r="AU435" i="26" s="1"/>
  <c r="AS435" i="26" a="1"/>
  <c r="AS435" i="26" s="1"/>
  <c r="AT435" i="26" a="1"/>
  <c r="AT435" i="26" s="1"/>
  <c r="AX443" i="26" a="1"/>
  <c r="AX443" i="26" s="1"/>
  <c r="AW443" i="26" a="1"/>
  <c r="AW443" i="26" s="1"/>
  <c r="AY443" i="26" a="1"/>
  <c r="AY443" i="26" s="1"/>
  <c r="BC443" i="26" s="1"/>
  <c r="BG443" i="26" s="1"/>
  <c r="AS443" i="26" a="1"/>
  <c r="AS443" i="26" s="1"/>
  <c r="AU443" i="26" a="1"/>
  <c r="AU443" i="26" s="1"/>
  <c r="AT443" i="26" a="1"/>
  <c r="AT443" i="26" s="1"/>
  <c r="AW451" i="26" a="1"/>
  <c r="AW451" i="26" s="1"/>
  <c r="AY451" i="26" a="1"/>
  <c r="AY451" i="26" s="1"/>
  <c r="BC451" i="26" s="1"/>
  <c r="BG451" i="26" s="1"/>
  <c r="AX451" i="26" a="1"/>
  <c r="AX451" i="26" s="1"/>
  <c r="AU451" i="26" a="1"/>
  <c r="AU451" i="26" s="1"/>
  <c r="AS451" i="26" a="1"/>
  <c r="AS451" i="26" s="1"/>
  <c r="AT451" i="26" a="1"/>
  <c r="AT451" i="26" s="1"/>
  <c r="AY459" i="26" a="1"/>
  <c r="AY459" i="26" s="1"/>
  <c r="BC459" i="26" s="1"/>
  <c r="BG459" i="26" s="1"/>
  <c r="AW459" i="26" a="1"/>
  <c r="AW459" i="26" s="1"/>
  <c r="AX459" i="26" a="1"/>
  <c r="AX459" i="26" s="1"/>
  <c r="AS459" i="26" a="1"/>
  <c r="AS459" i="26" s="1"/>
  <c r="AU459" i="26" a="1"/>
  <c r="AU459" i="26" s="1"/>
  <c r="AT459" i="26" a="1"/>
  <c r="AT459" i="26" s="1"/>
  <c r="AW467" i="26" a="1"/>
  <c r="AW467" i="26" s="1"/>
  <c r="AX467" i="26" a="1"/>
  <c r="AX467" i="26" s="1"/>
  <c r="AY467" i="26" a="1"/>
  <c r="AY467" i="26" s="1"/>
  <c r="BC467" i="26" s="1"/>
  <c r="BG467" i="26" s="1"/>
  <c r="AU467" i="26" a="1"/>
  <c r="AU467" i="26" s="1"/>
  <c r="AS467" i="26" a="1"/>
  <c r="AS467" i="26" s="1"/>
  <c r="AT467" i="26" a="1"/>
  <c r="AT467" i="26" s="1"/>
  <c r="AX475" i="26" a="1"/>
  <c r="AX475" i="26" s="1"/>
  <c r="AW475" i="26" a="1"/>
  <c r="AW475" i="26" s="1"/>
  <c r="AY475" i="26" a="1"/>
  <c r="AY475" i="26" s="1"/>
  <c r="BC475" i="26" s="1"/>
  <c r="BG475" i="26" s="1"/>
  <c r="AS475" i="26" a="1"/>
  <c r="AS475" i="26" s="1"/>
  <c r="AU475" i="26" a="1"/>
  <c r="AU475" i="26" s="1"/>
  <c r="AT475" i="26" a="1"/>
  <c r="AT475" i="26" s="1"/>
  <c r="AW483" i="26" a="1"/>
  <c r="AW483" i="26" s="1"/>
  <c r="AX483" i="26" a="1"/>
  <c r="AX483" i="26" s="1"/>
  <c r="AY483" i="26" a="1"/>
  <c r="AY483" i="26" s="1"/>
  <c r="AU483" i="26" a="1"/>
  <c r="AU483" i="26" s="1"/>
  <c r="AS483" i="26" a="1"/>
  <c r="AS483" i="26" s="1"/>
  <c r="AT483" i="26" a="1"/>
  <c r="AT483" i="26" s="1"/>
  <c r="AW491" i="26" a="1"/>
  <c r="AW491" i="26" s="1"/>
  <c r="AY491" i="26" a="1"/>
  <c r="AY491" i="26" s="1"/>
  <c r="BC491" i="26" s="1"/>
  <c r="BG491" i="26" s="1"/>
  <c r="AX491" i="26" a="1"/>
  <c r="AX491" i="26" s="1"/>
  <c r="AS491" i="26" a="1"/>
  <c r="AS491" i="26" s="1"/>
  <c r="AU491" i="26" a="1"/>
  <c r="AU491" i="26" s="1"/>
  <c r="AT491" i="26" a="1"/>
  <c r="AT491" i="26" s="1"/>
  <c r="AY499" i="26" a="1"/>
  <c r="AY499" i="26" s="1"/>
  <c r="BC499" i="26" s="1"/>
  <c r="BG499" i="26" s="1"/>
  <c r="AW499" i="26" a="1"/>
  <c r="AW499" i="26" s="1"/>
  <c r="AX499" i="26" a="1"/>
  <c r="AX499" i="26" s="1"/>
  <c r="AU499" i="26" a="1"/>
  <c r="AU499" i="26" s="1"/>
  <c r="AS499" i="26" a="1"/>
  <c r="AS499" i="26" s="1"/>
  <c r="AT499" i="26" a="1"/>
  <c r="AT499" i="26" s="1"/>
  <c r="AY507" i="26" a="1"/>
  <c r="AY507" i="26" s="1"/>
  <c r="AX507" i="26" a="1"/>
  <c r="AX507" i="26" s="1"/>
  <c r="AW507" i="26" a="1"/>
  <c r="AW507" i="26" s="1"/>
  <c r="AS507" i="26" a="1"/>
  <c r="AS507" i="26" s="1"/>
  <c r="AU507" i="26" a="1"/>
  <c r="AU507" i="26" s="1"/>
  <c r="AT507" i="26" a="1"/>
  <c r="AT507" i="26" s="1"/>
  <c r="AX515" i="26" a="1"/>
  <c r="AX515" i="26" s="1"/>
  <c r="AW515" i="26" a="1"/>
  <c r="AW515" i="26" s="1"/>
  <c r="AY515" i="26" a="1"/>
  <c r="AY515" i="26" s="1"/>
  <c r="BC515" i="26" s="1"/>
  <c r="BG515" i="26" s="1"/>
  <c r="AU515" i="26" a="1"/>
  <c r="AU515" i="26" s="1"/>
  <c r="AS515" i="26" a="1"/>
  <c r="AS515" i="26" s="1"/>
  <c r="AT515" i="26" a="1"/>
  <c r="AT515" i="26" s="1"/>
  <c r="AY523" i="26" a="1"/>
  <c r="AY523" i="26" s="1"/>
  <c r="BC523" i="26" s="1"/>
  <c r="BG523" i="26" s="1"/>
  <c r="AX523" i="26" a="1"/>
  <c r="AX523" i="26" s="1"/>
  <c r="AW523" i="26" a="1"/>
  <c r="AW523" i="26" s="1"/>
  <c r="AS523" i="26" a="1"/>
  <c r="AS523" i="26" s="1"/>
  <c r="AU523" i="26" a="1"/>
  <c r="AU523" i="26" s="1"/>
  <c r="AT523" i="26" a="1"/>
  <c r="AT523" i="26" s="1"/>
  <c r="AY531" i="26" a="1"/>
  <c r="AY531" i="26" s="1"/>
  <c r="BC531" i="26" s="1"/>
  <c r="BG531" i="26" s="1"/>
  <c r="AX531" i="26" a="1"/>
  <c r="AX531" i="26" s="1"/>
  <c r="AW531" i="26" a="1"/>
  <c r="AW531" i="26" s="1"/>
  <c r="AU531" i="26" a="1"/>
  <c r="AU531" i="26" s="1"/>
  <c r="AT531" i="26" a="1"/>
  <c r="AT531" i="26" s="1"/>
  <c r="AS531" i="26" a="1"/>
  <c r="AS531" i="26" s="1"/>
  <c r="AW539" i="26" a="1"/>
  <c r="AW539" i="26" s="1"/>
  <c r="AY539" i="26" a="1"/>
  <c r="AY539" i="26" s="1"/>
  <c r="AX539" i="26" a="1"/>
  <c r="AX539" i="26" s="1"/>
  <c r="AS539" i="26" a="1"/>
  <c r="AS539" i="26" s="1"/>
  <c r="AU539" i="26" a="1"/>
  <c r="AU539" i="26" s="1"/>
  <c r="AT539" i="26" a="1"/>
  <c r="AT539" i="26" s="1"/>
  <c r="AY547" i="26" a="1"/>
  <c r="AY547" i="26" s="1"/>
  <c r="BC547" i="26" s="1"/>
  <c r="BG547" i="26" s="1"/>
  <c r="AX547" i="26" a="1"/>
  <c r="AX547" i="26" s="1"/>
  <c r="AW547" i="26" a="1"/>
  <c r="AW547" i="26" s="1"/>
  <c r="AU547" i="26" a="1"/>
  <c r="AU547" i="26" s="1"/>
  <c r="AS547" i="26" a="1"/>
  <c r="AS547" i="26" s="1"/>
  <c r="AT547" i="26" a="1"/>
  <c r="AT547" i="26" s="1"/>
  <c r="AY555" i="26" a="1"/>
  <c r="AY555" i="26" s="1"/>
  <c r="BC555" i="26" s="1"/>
  <c r="BG555" i="26" s="1"/>
  <c r="AX555" i="26" a="1"/>
  <c r="AX555" i="26" s="1"/>
  <c r="AW555" i="26" a="1"/>
  <c r="AW555" i="26" s="1"/>
  <c r="AT555" i="26" a="1"/>
  <c r="AT555" i="26" s="1"/>
  <c r="AS555" i="26" a="1"/>
  <c r="AS555" i="26" s="1"/>
  <c r="AU555" i="26" a="1"/>
  <c r="AU555" i="26" s="1"/>
  <c r="AX563" i="26" a="1"/>
  <c r="AX563" i="26" s="1"/>
  <c r="AW563" i="26" a="1"/>
  <c r="AW563" i="26" s="1"/>
  <c r="AY563" i="26" a="1"/>
  <c r="AY563" i="26" s="1"/>
  <c r="BC563" i="26" s="1"/>
  <c r="BG563" i="26" s="1"/>
  <c r="AU563" i="26" a="1"/>
  <c r="AU563" i="26" s="1"/>
  <c r="AS563" i="26" a="1"/>
  <c r="AS563" i="26" s="1"/>
  <c r="AT563" i="26" a="1"/>
  <c r="AT563" i="26" s="1"/>
  <c r="AX305" i="26" a="1"/>
  <c r="AX305" i="26" s="1"/>
  <c r="AU305" i="26" a="1"/>
  <c r="AU305" i="26" s="1"/>
  <c r="AW305" i="26" a="1"/>
  <c r="AW305" i="26" s="1"/>
  <c r="AY305" i="26" a="1"/>
  <c r="AY305" i="26" s="1"/>
  <c r="BC305" i="26" s="1"/>
  <c r="BG305" i="26" s="1"/>
  <c r="AS305" i="26" a="1"/>
  <c r="AS305" i="26" s="1"/>
  <c r="AT305" i="26" a="1"/>
  <c r="AT305" i="26" s="1"/>
  <c r="AY344" i="26" a="1"/>
  <c r="AY344" i="26" s="1"/>
  <c r="BC344" i="26" s="1"/>
  <c r="BG344" i="26" s="1"/>
  <c r="AU344" i="26" a="1"/>
  <c r="AU344" i="26" s="1"/>
  <c r="AX344" i="26" a="1"/>
  <c r="AX344" i="26" s="1"/>
  <c r="AW344" i="26" a="1"/>
  <c r="AW344" i="26" s="1"/>
  <c r="AT344" i="26" a="1"/>
  <c r="AT344" i="26" s="1"/>
  <c r="AS344" i="26" a="1"/>
  <c r="AS344" i="26" s="1"/>
  <c r="AY352" i="26" a="1"/>
  <c r="AY352" i="26" s="1"/>
  <c r="BC352" i="26" s="1"/>
  <c r="BG352" i="26" s="1"/>
  <c r="AU352" i="26" a="1"/>
  <c r="AU352" i="26" s="1"/>
  <c r="AX352" i="26" a="1"/>
  <c r="AX352" i="26" s="1"/>
  <c r="AW352" i="26" a="1"/>
  <c r="AW352" i="26" s="1"/>
  <c r="AT352" i="26" a="1"/>
  <c r="AT352" i="26" s="1"/>
  <c r="AS352" i="26" a="1"/>
  <c r="AS352" i="26" s="1"/>
  <c r="AY360" i="26" a="1"/>
  <c r="AY360" i="26" s="1"/>
  <c r="BC360" i="26" s="1"/>
  <c r="BG360" i="26" s="1"/>
  <c r="AU360" i="26" a="1"/>
  <c r="AU360" i="26" s="1"/>
  <c r="AX360" i="26" a="1"/>
  <c r="AX360" i="26" s="1"/>
  <c r="AW360" i="26" a="1"/>
  <c r="AW360" i="26" s="1"/>
  <c r="AS360" i="26" a="1"/>
  <c r="AS360" i="26" s="1"/>
  <c r="AT360" i="26" a="1"/>
  <c r="AT360" i="26" s="1"/>
  <c r="AW359" i="26" a="1"/>
  <c r="AW359" i="26" s="1"/>
  <c r="AU359" i="26" a="1"/>
  <c r="AU359" i="26" s="1"/>
  <c r="AY359" i="26" a="1"/>
  <c r="AY359" i="26" s="1"/>
  <c r="BC359" i="26" s="1"/>
  <c r="BG359" i="26" s="1"/>
  <c r="AX359" i="26" a="1"/>
  <c r="AX359" i="26" s="1"/>
  <c r="AT359" i="26" a="1"/>
  <c r="AT359" i="26" s="1"/>
  <c r="AS359" i="26" a="1"/>
  <c r="AS359" i="26" s="1"/>
  <c r="AY294" i="26" a="1"/>
  <c r="AY294" i="26" s="1"/>
  <c r="BC294" i="26" s="1"/>
  <c r="BG294" i="26" s="1"/>
  <c r="AX294" i="26" a="1"/>
  <c r="AX294" i="26" s="1"/>
  <c r="AW294" i="26" a="1"/>
  <c r="AW294" i="26" s="1"/>
  <c r="AU294" i="26" a="1"/>
  <c r="AU294" i="26" s="1"/>
  <c r="AT294" i="26" a="1"/>
  <c r="AT294" i="26" s="1"/>
  <c r="AS294" i="26" a="1"/>
  <c r="AS294" i="26" s="1"/>
  <c r="AY334" i="26" a="1"/>
  <c r="AY334" i="26" s="1"/>
  <c r="BC334" i="26" s="1"/>
  <c r="BG334" i="26" s="1"/>
  <c r="AX334" i="26" a="1"/>
  <c r="AX334" i="26" s="1"/>
  <c r="AW334" i="26" a="1"/>
  <c r="AW334" i="26" s="1"/>
  <c r="AT334" i="26" a="1"/>
  <c r="AT334" i="26" s="1"/>
  <c r="AU334" i="26" a="1"/>
  <c r="AU334" i="26" s="1"/>
  <c r="AS334" i="26" a="1"/>
  <c r="AS334" i="26" s="1"/>
  <c r="AY366" i="26" a="1"/>
  <c r="AY366" i="26" s="1"/>
  <c r="BC366" i="26" s="1"/>
  <c r="BG366" i="26" s="1"/>
  <c r="AX366" i="26" a="1"/>
  <c r="AX366" i="26" s="1"/>
  <c r="AW366" i="26" a="1"/>
  <c r="AW366" i="26" s="1"/>
  <c r="AT366" i="26" a="1"/>
  <c r="AT366" i="26" s="1"/>
  <c r="AU366" i="26" a="1"/>
  <c r="AU366" i="26" s="1"/>
  <c r="AS366" i="26" a="1"/>
  <c r="AS366" i="26" s="1"/>
  <c r="AY390" i="26" a="1"/>
  <c r="AY390" i="26" s="1"/>
  <c r="BC390" i="26" s="1"/>
  <c r="BG390" i="26" s="1"/>
  <c r="AX390" i="26" a="1"/>
  <c r="AX390" i="26" s="1"/>
  <c r="AW390" i="26" a="1"/>
  <c r="AW390" i="26" s="1"/>
  <c r="AT390" i="26" a="1"/>
  <c r="AT390" i="26" s="1"/>
  <c r="AS390" i="26" a="1"/>
  <c r="AS390" i="26" s="1"/>
  <c r="AU390" i="26" a="1"/>
  <c r="AU390" i="26" s="1"/>
  <c r="AW406" i="26" a="1"/>
  <c r="AW406" i="26" s="1"/>
  <c r="AX406" i="26" a="1"/>
  <c r="AX406" i="26" s="1"/>
  <c r="AY406" i="26" a="1"/>
  <c r="AY406" i="26" s="1"/>
  <c r="BC406" i="26" s="1"/>
  <c r="BG406" i="26" s="1"/>
  <c r="AT406" i="26" a="1"/>
  <c r="AT406" i="26" s="1"/>
  <c r="AS406" i="26" a="1"/>
  <c r="AS406" i="26" s="1"/>
  <c r="AU406" i="26" a="1"/>
  <c r="AU406" i="26" s="1"/>
  <c r="AW430" i="26" a="1"/>
  <c r="AW430" i="26" s="1"/>
  <c r="AY430" i="26" a="1"/>
  <c r="AY430" i="26" s="1"/>
  <c r="BC430" i="26" s="1"/>
  <c r="BG430" i="26" s="1"/>
  <c r="AX430" i="26" a="1"/>
  <c r="AX430" i="26" s="1"/>
  <c r="AT430" i="26" a="1"/>
  <c r="AT430" i="26" s="1"/>
  <c r="AU430" i="26" a="1"/>
  <c r="AU430" i="26" s="1"/>
  <c r="AS430" i="26" a="1"/>
  <c r="AS430" i="26" s="1"/>
  <c r="AY298" i="26" a="1"/>
  <c r="AY298" i="26" s="1"/>
  <c r="BC298" i="26" s="1"/>
  <c r="BG298" i="26" s="1"/>
  <c r="AX298" i="26" a="1"/>
  <c r="AX298" i="26" s="1"/>
  <c r="AW298" i="26" a="1"/>
  <c r="AW298" i="26" s="1"/>
  <c r="AT298" i="26" a="1"/>
  <c r="AT298" i="26" s="1"/>
  <c r="AS298" i="26" a="1"/>
  <c r="AS298" i="26" s="1"/>
  <c r="AU298" i="26" a="1"/>
  <c r="AU298" i="26" s="1"/>
  <c r="AY306" i="26" a="1"/>
  <c r="AY306" i="26" s="1"/>
  <c r="BC306" i="26" s="1"/>
  <c r="BG306" i="26" s="1"/>
  <c r="AX306" i="26" a="1"/>
  <c r="AX306" i="26" s="1"/>
  <c r="AW306" i="26" a="1"/>
  <c r="AW306" i="26" s="1"/>
  <c r="AU306" i="26" a="1"/>
  <c r="AU306" i="26" s="1"/>
  <c r="AT306" i="26" a="1"/>
  <c r="AT306" i="26" s="1"/>
  <c r="AS306" i="26" a="1"/>
  <c r="AS306" i="26" s="1"/>
  <c r="AX314" i="26" a="1"/>
  <c r="AX314" i="26" s="1"/>
  <c r="AW314" i="26" a="1"/>
  <c r="AW314" i="26" s="1"/>
  <c r="AY314" i="26" a="1"/>
  <c r="AY314" i="26" s="1"/>
  <c r="BC314" i="26" s="1"/>
  <c r="BG314" i="26" s="1"/>
  <c r="AU314" i="26" a="1"/>
  <c r="AU314" i="26" s="1"/>
  <c r="AT314" i="26" a="1"/>
  <c r="AT314" i="26" s="1"/>
  <c r="AS314" i="26" a="1"/>
  <c r="AS314" i="26" s="1"/>
  <c r="AY322" i="26" a="1"/>
  <c r="AY322" i="26" s="1"/>
  <c r="BC322" i="26" s="1"/>
  <c r="BG322" i="26" s="1"/>
  <c r="AX322" i="26" a="1"/>
  <c r="AX322" i="26" s="1"/>
  <c r="AU322" i="26" a="1"/>
  <c r="AU322" i="26" s="1"/>
  <c r="AW322" i="26" a="1"/>
  <c r="AW322" i="26" s="1"/>
  <c r="AT322" i="26" a="1"/>
  <c r="AT322" i="26" s="1"/>
  <c r="AS322" i="26" a="1"/>
  <c r="AS322" i="26" s="1"/>
  <c r="AX330" i="26" a="1"/>
  <c r="AX330" i="26" s="1"/>
  <c r="AW330" i="26" a="1"/>
  <c r="AW330" i="26" s="1"/>
  <c r="AY330" i="26" a="1"/>
  <c r="AY330" i="26" s="1"/>
  <c r="BC330" i="26" s="1"/>
  <c r="BG330" i="26" s="1"/>
  <c r="AU330" i="26" a="1"/>
  <c r="AU330" i="26" s="1"/>
  <c r="AT330" i="26" a="1"/>
  <c r="AT330" i="26" s="1"/>
  <c r="AS330" i="26" a="1"/>
  <c r="AS330" i="26" s="1"/>
  <c r="AX338" i="26" a="1"/>
  <c r="AX338" i="26" s="1"/>
  <c r="AW338" i="26" a="1"/>
  <c r="AW338" i="26" s="1"/>
  <c r="AT338" i="26" a="1"/>
  <c r="AT338" i="26" s="1"/>
  <c r="AU338" i="26" a="1"/>
  <c r="AU338" i="26" s="1"/>
  <c r="AY338" i="26" a="1"/>
  <c r="AY338" i="26" s="1"/>
  <c r="BC338" i="26" s="1"/>
  <c r="BG338" i="26" s="1"/>
  <c r="AS338" i="26" a="1"/>
  <c r="AS338" i="26" s="1"/>
  <c r="AX346" i="26" a="1"/>
  <c r="AX346" i="26" s="1"/>
  <c r="AW346" i="26" a="1"/>
  <c r="AW346" i="26" s="1"/>
  <c r="AU346" i="26" a="1"/>
  <c r="AU346" i="26" s="1"/>
  <c r="AY346" i="26" a="1"/>
  <c r="AY346" i="26" s="1"/>
  <c r="AT346" i="26" a="1"/>
  <c r="AT346" i="26" s="1"/>
  <c r="AS346" i="26" a="1"/>
  <c r="AS346" i="26" s="1"/>
  <c r="AX354" i="26" a="1"/>
  <c r="AX354" i="26" s="1"/>
  <c r="AY354" i="26" a="1"/>
  <c r="AY354" i="26" s="1"/>
  <c r="BC354" i="26" s="1"/>
  <c r="BG354" i="26" s="1"/>
  <c r="AW354" i="26" a="1"/>
  <c r="AW354" i="26" s="1"/>
  <c r="AU354" i="26" a="1"/>
  <c r="AU354" i="26" s="1"/>
  <c r="AT354" i="26" a="1"/>
  <c r="AT354" i="26" s="1"/>
  <c r="AS354" i="26" a="1"/>
  <c r="AS354" i="26" s="1"/>
  <c r="AX362" i="26" a="1"/>
  <c r="AX362" i="26" s="1"/>
  <c r="AW362" i="26" a="1"/>
  <c r="AW362" i="26" s="1"/>
  <c r="AY362" i="26" a="1"/>
  <c r="AY362" i="26" s="1"/>
  <c r="BC362" i="26" s="1"/>
  <c r="BG362" i="26" s="1"/>
  <c r="AT362" i="26" a="1"/>
  <c r="AT362" i="26" s="1"/>
  <c r="AU362" i="26" a="1"/>
  <c r="AU362" i="26" s="1"/>
  <c r="AS362" i="26" a="1"/>
  <c r="AS362" i="26" s="1"/>
  <c r="AY370" i="26" a="1"/>
  <c r="AY370" i="26" s="1"/>
  <c r="BC370" i="26" s="1"/>
  <c r="BG370" i="26" s="1"/>
  <c r="AX370" i="26" a="1"/>
  <c r="AX370" i="26" s="1"/>
  <c r="AW370" i="26" a="1"/>
  <c r="AW370" i="26" s="1"/>
  <c r="AU370" i="26" a="1"/>
  <c r="AU370" i="26" s="1"/>
  <c r="AT370" i="26" a="1"/>
  <c r="AT370" i="26" s="1"/>
  <c r="AS370" i="26" a="1"/>
  <c r="AS370" i="26" s="1"/>
  <c r="AY378" i="26" a="1"/>
  <c r="AY378" i="26" s="1"/>
  <c r="BC378" i="26" s="1"/>
  <c r="BG378" i="26" s="1"/>
  <c r="AX378" i="26" a="1"/>
  <c r="AX378" i="26" s="1"/>
  <c r="AW378" i="26" a="1"/>
  <c r="AW378" i="26" s="1"/>
  <c r="AT378" i="26" a="1"/>
  <c r="AT378" i="26" s="1"/>
  <c r="AU378" i="26" a="1"/>
  <c r="AU378" i="26" s="1"/>
  <c r="AS378" i="26" a="1"/>
  <c r="AS378" i="26" s="1"/>
  <c r="AX386" i="26" a="1"/>
  <c r="AX386" i="26" s="1"/>
  <c r="AW386" i="26" a="1"/>
  <c r="AW386" i="26" s="1"/>
  <c r="AY386" i="26" a="1"/>
  <c r="AY386" i="26" s="1"/>
  <c r="BC386" i="26" s="1"/>
  <c r="BG386" i="26" s="1"/>
  <c r="AU386" i="26" a="1"/>
  <c r="AU386" i="26" s="1"/>
  <c r="AT386" i="26" a="1"/>
  <c r="AT386" i="26" s="1"/>
  <c r="AS386" i="26" a="1"/>
  <c r="AS386" i="26" s="1"/>
  <c r="AW394" i="26" a="1"/>
  <c r="AW394" i="26" s="1"/>
  <c r="AY394" i="26" a="1"/>
  <c r="AY394" i="26" s="1"/>
  <c r="BC394" i="26" s="1"/>
  <c r="BG394" i="26" s="1"/>
  <c r="AX394" i="26" a="1"/>
  <c r="AX394" i="26" s="1"/>
  <c r="AT394" i="26" a="1"/>
  <c r="AT394" i="26" s="1"/>
  <c r="AU394" i="26" a="1"/>
  <c r="AU394" i="26" s="1"/>
  <c r="AS394" i="26" a="1"/>
  <c r="AS394" i="26" s="1"/>
  <c r="AY402" i="26" a="1"/>
  <c r="AY402" i="26" s="1"/>
  <c r="BC402" i="26" s="1"/>
  <c r="BG402" i="26" s="1"/>
  <c r="AX402" i="26" a="1"/>
  <c r="AX402" i="26" s="1"/>
  <c r="AW402" i="26" a="1"/>
  <c r="AW402" i="26" s="1"/>
  <c r="AU402" i="26" a="1"/>
  <c r="AU402" i="26" s="1"/>
  <c r="AT402" i="26" a="1"/>
  <c r="AT402" i="26" s="1"/>
  <c r="AS402" i="26" a="1"/>
  <c r="AS402" i="26" s="1"/>
  <c r="AX410" i="26" a="1"/>
  <c r="AX410" i="26" s="1"/>
  <c r="AW410" i="26" a="1"/>
  <c r="AW410" i="26" s="1"/>
  <c r="AY410" i="26" a="1"/>
  <c r="AY410" i="26" s="1"/>
  <c r="BC410" i="26" s="1"/>
  <c r="BG410" i="26" s="1"/>
  <c r="AT410" i="26" a="1"/>
  <c r="AT410" i="26" s="1"/>
  <c r="AU410" i="26" a="1"/>
  <c r="AU410" i="26" s="1"/>
  <c r="AS410" i="26" a="1"/>
  <c r="AS410" i="26" s="1"/>
  <c r="AX418" i="26" a="1"/>
  <c r="AX418" i="26" s="1"/>
  <c r="AW418" i="26" a="1"/>
  <c r="AW418" i="26" s="1"/>
  <c r="AY418" i="26" a="1"/>
  <c r="AY418" i="26" s="1"/>
  <c r="BC418" i="26" s="1"/>
  <c r="BG418" i="26" s="1"/>
  <c r="AU418" i="26" a="1"/>
  <c r="AU418" i="26" s="1"/>
  <c r="AT418" i="26" a="1"/>
  <c r="AT418" i="26" s="1"/>
  <c r="AS418" i="26" a="1"/>
  <c r="AS418" i="26" s="1"/>
  <c r="AY426" i="26" a="1"/>
  <c r="AY426" i="26" s="1"/>
  <c r="BC426" i="26" s="1"/>
  <c r="BG426" i="26" s="1"/>
  <c r="AX426" i="26" a="1"/>
  <c r="AX426" i="26" s="1"/>
  <c r="AW426" i="26" a="1"/>
  <c r="AW426" i="26" s="1"/>
  <c r="AT426" i="26" a="1"/>
  <c r="AT426" i="26" s="1"/>
  <c r="AU426" i="26" a="1"/>
  <c r="AU426" i="26" s="1"/>
  <c r="AS426" i="26" a="1"/>
  <c r="AS426" i="26" s="1"/>
  <c r="AY434" i="26" a="1"/>
  <c r="AY434" i="26" s="1"/>
  <c r="BC434" i="26" s="1"/>
  <c r="BG434" i="26" s="1"/>
  <c r="AX434" i="26" a="1"/>
  <c r="AX434" i="26" s="1"/>
  <c r="AW434" i="26" a="1"/>
  <c r="AW434" i="26" s="1"/>
  <c r="AU434" i="26" a="1"/>
  <c r="AU434" i="26" s="1"/>
  <c r="AT434" i="26" a="1"/>
  <c r="AT434" i="26" s="1"/>
  <c r="AS434" i="26" a="1"/>
  <c r="AS434" i="26" s="1"/>
  <c r="AX442" i="26" a="1"/>
  <c r="AX442" i="26" s="1"/>
  <c r="AW442" i="26" a="1"/>
  <c r="AW442" i="26" s="1"/>
  <c r="AY442" i="26" a="1"/>
  <c r="AY442" i="26" s="1"/>
  <c r="BC442" i="26" s="1"/>
  <c r="BG442" i="26" s="1"/>
  <c r="AT442" i="26" a="1"/>
  <c r="AT442" i="26" s="1"/>
  <c r="AU442" i="26" a="1"/>
  <c r="AU442" i="26" s="1"/>
  <c r="AS442" i="26" a="1"/>
  <c r="AS442" i="26" s="1"/>
  <c r="AY450" i="26" a="1"/>
  <c r="AY450" i="26" s="1"/>
  <c r="BC450" i="26" s="1"/>
  <c r="BG450" i="26" s="1"/>
  <c r="AX450" i="26" a="1"/>
  <c r="AX450" i="26" s="1"/>
  <c r="AW450" i="26" a="1"/>
  <c r="AW450" i="26" s="1"/>
  <c r="AU450" i="26" a="1"/>
  <c r="AU450" i="26" s="1"/>
  <c r="AT450" i="26" a="1"/>
  <c r="AT450" i="26" s="1"/>
  <c r="AS450" i="26" a="1"/>
  <c r="AS450" i="26" s="1"/>
  <c r="AW458" i="26" a="1"/>
  <c r="AW458" i="26" s="1"/>
  <c r="AY458" i="26" a="1"/>
  <c r="AY458" i="26" s="1"/>
  <c r="BC458" i="26" s="1"/>
  <c r="BG458" i="26" s="1"/>
  <c r="AX458" i="26" a="1"/>
  <c r="AX458" i="26" s="1"/>
  <c r="AT458" i="26" a="1"/>
  <c r="AT458" i="26" s="1"/>
  <c r="AU458" i="26" a="1"/>
  <c r="AU458" i="26" s="1"/>
  <c r="AS458" i="26" a="1"/>
  <c r="AS458" i="26" s="1"/>
  <c r="AX466" i="26" a="1"/>
  <c r="AX466" i="26" s="1"/>
  <c r="AY466" i="26" a="1"/>
  <c r="AY466" i="26" s="1"/>
  <c r="AW466" i="26" a="1"/>
  <c r="AW466" i="26" s="1"/>
  <c r="AU466" i="26" a="1"/>
  <c r="AU466" i="26" s="1"/>
  <c r="AT466" i="26" a="1"/>
  <c r="AT466" i="26" s="1"/>
  <c r="AS466" i="26" a="1"/>
  <c r="AS466" i="26" s="1"/>
  <c r="AW474" i="26" a="1"/>
  <c r="AW474" i="26" s="1"/>
  <c r="AX474" i="26" a="1"/>
  <c r="AX474" i="26" s="1"/>
  <c r="AY474" i="26" a="1"/>
  <c r="AY474" i="26" s="1"/>
  <c r="BC474" i="26" s="1"/>
  <c r="BG474" i="26" s="1"/>
  <c r="AT474" i="26" a="1"/>
  <c r="AT474" i="26" s="1"/>
  <c r="AU474" i="26" a="1"/>
  <c r="AU474" i="26" s="1"/>
  <c r="AS474" i="26" a="1"/>
  <c r="AS474" i="26" s="1"/>
  <c r="AX482" i="26" a="1"/>
  <c r="AX482" i="26" s="1"/>
  <c r="AW482" i="26" a="1"/>
  <c r="AW482" i="26" s="1"/>
  <c r="AY482" i="26" a="1"/>
  <c r="AY482" i="26" s="1"/>
  <c r="BC482" i="26" s="1"/>
  <c r="BG482" i="26" s="1"/>
  <c r="AU482" i="26" a="1"/>
  <c r="AU482" i="26" s="1"/>
  <c r="AT482" i="26" a="1"/>
  <c r="AT482" i="26" s="1"/>
  <c r="AS482" i="26" a="1"/>
  <c r="AS482" i="26" s="1"/>
  <c r="AY490" i="26" a="1"/>
  <c r="AY490" i="26" s="1"/>
  <c r="BC490" i="26" s="1"/>
  <c r="BG490" i="26" s="1"/>
  <c r="AW490" i="26" a="1"/>
  <c r="AW490" i="26" s="1"/>
  <c r="AX490" i="26" a="1"/>
  <c r="AX490" i="26" s="1"/>
  <c r="AT490" i="26" a="1"/>
  <c r="AT490" i="26" s="1"/>
  <c r="AU490" i="26" a="1"/>
  <c r="AU490" i="26" s="1"/>
  <c r="AS490" i="26" a="1"/>
  <c r="AS490" i="26" s="1"/>
  <c r="AX498" i="26" a="1"/>
  <c r="AX498" i="26" s="1"/>
  <c r="AW498" i="26" a="1"/>
  <c r="AW498" i="26" s="1"/>
  <c r="AY498" i="26" a="1"/>
  <c r="AY498" i="26" s="1"/>
  <c r="BC498" i="26" s="1"/>
  <c r="BG498" i="26" s="1"/>
  <c r="AU498" i="26" a="1"/>
  <c r="AU498" i="26" s="1"/>
  <c r="AT498" i="26" a="1"/>
  <c r="AT498" i="26" s="1"/>
  <c r="AS498" i="26" a="1"/>
  <c r="AS498" i="26" s="1"/>
  <c r="AW506" i="26" a="1"/>
  <c r="AW506" i="26" s="1"/>
  <c r="AY506" i="26" a="1"/>
  <c r="AY506" i="26" s="1"/>
  <c r="BC506" i="26" s="1"/>
  <c r="BG506" i="26" s="1"/>
  <c r="AX506" i="26" a="1"/>
  <c r="AX506" i="26" s="1"/>
  <c r="AU506" i="26" a="1"/>
  <c r="AU506" i="26" s="1"/>
  <c r="AT506" i="26" a="1"/>
  <c r="AT506" i="26" s="1"/>
  <c r="AS506" i="26" a="1"/>
  <c r="AS506" i="26" s="1"/>
  <c r="AY514" i="26" a="1"/>
  <c r="AY514" i="26" s="1"/>
  <c r="BC514" i="26" s="1"/>
  <c r="BG514" i="26" s="1"/>
  <c r="AX514" i="26" a="1"/>
  <c r="AX514" i="26" s="1"/>
  <c r="AW514" i="26" a="1"/>
  <c r="AW514" i="26" s="1"/>
  <c r="AU514" i="26" a="1"/>
  <c r="AU514" i="26" s="1"/>
  <c r="AT514" i="26" a="1"/>
  <c r="AT514" i="26" s="1"/>
  <c r="AS514" i="26" a="1"/>
  <c r="AS514" i="26" s="1"/>
  <c r="AY522" i="26" a="1"/>
  <c r="AY522" i="26" s="1"/>
  <c r="BC522" i="26" s="1"/>
  <c r="BG522" i="26" s="1"/>
  <c r="AX522" i="26" a="1"/>
  <c r="AX522" i="26" s="1"/>
  <c r="AW522" i="26" a="1"/>
  <c r="AW522" i="26" s="1"/>
  <c r="AT522" i="26" a="1"/>
  <c r="AT522" i="26" s="1"/>
  <c r="AU522" i="26" a="1"/>
  <c r="AU522" i="26" s="1"/>
  <c r="AS522" i="26" a="1"/>
  <c r="AS522" i="26" s="1"/>
  <c r="AW530" i="26" a="1"/>
  <c r="AW530" i="26" s="1"/>
  <c r="AY530" i="26" a="1"/>
  <c r="AY530" i="26" s="1"/>
  <c r="AX530" i="26" a="1"/>
  <c r="AX530" i="26" s="1"/>
  <c r="AU530" i="26" a="1"/>
  <c r="AU530" i="26" s="1"/>
  <c r="AT530" i="26" a="1"/>
  <c r="AT530" i="26" s="1"/>
  <c r="AS530" i="26" a="1"/>
  <c r="AS530" i="26" s="1"/>
  <c r="AY538" i="26" a="1"/>
  <c r="AY538" i="26" s="1"/>
  <c r="BC538" i="26" s="1"/>
  <c r="BG538" i="26" s="1"/>
  <c r="AX538" i="26" a="1"/>
  <c r="AX538" i="26" s="1"/>
  <c r="AW538" i="26" a="1"/>
  <c r="AW538" i="26" s="1"/>
  <c r="AT538" i="26" a="1"/>
  <c r="AT538" i="26" s="1"/>
  <c r="AU538" i="26" a="1"/>
  <c r="AU538" i="26" s="1"/>
  <c r="AS538" i="26" a="1"/>
  <c r="AS538" i="26" s="1"/>
  <c r="AY546" i="26" a="1"/>
  <c r="AY546" i="26" s="1"/>
  <c r="BC546" i="26" s="1"/>
  <c r="BG546" i="26" s="1"/>
  <c r="AX546" i="26" a="1"/>
  <c r="AX546" i="26" s="1"/>
  <c r="AW546" i="26" a="1"/>
  <c r="AW546" i="26" s="1"/>
  <c r="AT546" i="26" a="1"/>
  <c r="AT546" i="26" s="1"/>
  <c r="AU546" i="26" a="1"/>
  <c r="AU546" i="26" s="1"/>
  <c r="AS546" i="26" a="1"/>
  <c r="AS546" i="26" s="1"/>
  <c r="AX554" i="26" a="1"/>
  <c r="AX554" i="26" s="1"/>
  <c r="AW554" i="26" a="1"/>
  <c r="AW554" i="26" s="1"/>
  <c r="AY554" i="26" a="1"/>
  <c r="AY554" i="26" s="1"/>
  <c r="BC554" i="26" s="1"/>
  <c r="BG554" i="26" s="1"/>
  <c r="AU554" i="26" a="1"/>
  <c r="AU554" i="26" s="1"/>
  <c r="AT554" i="26" a="1"/>
  <c r="AT554" i="26" s="1"/>
  <c r="AS554" i="26" a="1"/>
  <c r="AS554" i="26" s="1"/>
  <c r="AY562" i="26" a="1"/>
  <c r="AY562" i="26" s="1"/>
  <c r="BC562" i="26" s="1"/>
  <c r="BG562" i="26" s="1"/>
  <c r="AX562" i="26" a="1"/>
  <c r="AX562" i="26" s="1"/>
  <c r="AW562" i="26" a="1"/>
  <c r="AW562" i="26" s="1"/>
  <c r="AU562" i="26" a="1"/>
  <c r="AU562" i="26" s="1"/>
  <c r="AS562" i="26" a="1"/>
  <c r="AS562" i="26" s="1"/>
  <c r="AT562" i="26" a="1"/>
  <c r="AT562" i="26" s="1"/>
  <c r="BC309" i="26"/>
  <c r="BG309" i="26" s="1"/>
  <c r="BC325" i="26"/>
  <c r="BG325" i="26" s="1"/>
  <c r="BC373" i="26"/>
  <c r="BG373" i="26" s="1"/>
  <c r="BC381" i="26"/>
  <c r="BG381" i="26" s="1"/>
  <c r="BC397" i="26"/>
  <c r="BG397" i="26" s="1"/>
  <c r="BC405" i="26"/>
  <c r="BG405" i="26" s="1"/>
  <c r="BC437" i="26"/>
  <c r="BG437" i="26" s="1"/>
  <c r="BC469" i="26"/>
  <c r="BG469" i="26" s="1"/>
  <c r="BC525" i="26"/>
  <c r="BG525" i="26" s="1"/>
  <c r="BC533" i="26"/>
  <c r="BG533" i="26" s="1"/>
  <c r="BC565" i="26"/>
  <c r="BG565" i="26" s="1"/>
  <c r="BC300" i="26"/>
  <c r="BG300" i="26" s="1"/>
  <c r="BC308" i="26"/>
  <c r="BG308" i="26" s="1"/>
  <c r="BC340" i="26"/>
  <c r="BG340" i="26" s="1"/>
  <c r="BC396" i="26"/>
  <c r="BG396" i="26" s="1"/>
  <c r="BC404" i="26"/>
  <c r="BG404" i="26" s="1"/>
  <c r="BC460" i="26"/>
  <c r="BG460" i="26" s="1"/>
  <c r="BC492" i="26"/>
  <c r="BG492" i="26" s="1"/>
  <c r="BC524" i="26"/>
  <c r="BG524" i="26" s="1"/>
  <c r="BC532" i="26"/>
  <c r="BG532" i="26" s="1"/>
  <c r="BC331" i="26"/>
  <c r="BG331" i="26" s="1"/>
  <c r="BC347" i="26"/>
  <c r="BG347" i="26" s="1"/>
  <c r="BC379" i="26"/>
  <c r="BG379" i="26" s="1"/>
  <c r="BC411" i="26"/>
  <c r="BG411" i="26" s="1"/>
  <c r="BC483" i="26"/>
  <c r="BG483" i="26" s="1"/>
  <c r="BC507" i="26"/>
  <c r="BG507" i="26" s="1"/>
  <c r="BC539" i="26"/>
  <c r="BG539" i="26" s="1"/>
  <c r="BC346" i="26"/>
  <c r="BG346" i="26" s="1"/>
  <c r="BC466" i="26"/>
  <c r="BG466" i="26" s="1"/>
  <c r="BC530" i="26"/>
  <c r="BG530" i="26" s="1"/>
  <c r="BC321" i="26"/>
  <c r="BG321" i="26" s="1"/>
  <c r="BC337" i="26"/>
  <c r="BG337" i="26" s="1"/>
  <c r="BC377" i="26"/>
  <c r="BG377" i="26" s="1"/>
  <c r="BC385" i="26"/>
  <c r="BG385" i="26" s="1"/>
  <c r="BC401" i="26"/>
  <c r="BG401" i="26" s="1"/>
  <c r="BC409" i="26"/>
  <c r="BG409" i="26" s="1"/>
  <c r="BB409" i="26"/>
  <c r="BF409" i="26" s="1"/>
  <c r="BC417" i="26"/>
  <c r="BG417" i="26" s="1"/>
  <c r="BC433" i="26"/>
  <c r="BG433" i="26" s="1"/>
  <c r="BC441" i="26"/>
  <c r="BG441" i="26" s="1"/>
  <c r="BC449" i="26"/>
  <c r="BG449" i="26" s="1"/>
  <c r="BB473" i="26"/>
  <c r="BF473" i="26" s="1"/>
  <c r="BC505" i="26"/>
  <c r="BG505" i="26" s="1"/>
  <c r="BC537" i="26"/>
  <c r="BG537" i="26" s="1"/>
  <c r="BB537" i="26"/>
  <c r="BF537" i="26" s="1"/>
  <c r="BC545" i="26"/>
  <c r="BG545" i="26" s="1"/>
  <c r="BC553" i="26"/>
  <c r="BG553" i="26" s="1"/>
  <c r="BC569" i="26"/>
  <c r="BG569" i="26" s="1"/>
  <c r="BC312" i="26"/>
  <c r="BG312" i="26" s="1"/>
  <c r="BC328" i="26"/>
  <c r="BG328" i="26" s="1"/>
  <c r="BC368" i="26"/>
  <c r="BG368" i="26" s="1"/>
  <c r="BC384" i="26"/>
  <c r="BG384" i="26" s="1"/>
  <c r="BC392" i="26"/>
  <c r="BG392" i="26" s="1"/>
  <c r="BC408" i="26"/>
  <c r="BG408" i="26" s="1"/>
  <c r="BC416" i="26"/>
  <c r="BG416" i="26" s="1"/>
  <c r="BC448" i="26"/>
  <c r="BG448" i="26" s="1"/>
  <c r="BC456" i="26"/>
  <c r="BG456" i="26" s="1"/>
  <c r="BC480" i="26"/>
  <c r="BG480" i="26" s="1"/>
  <c r="BC496" i="26"/>
  <c r="BG496" i="26" s="1"/>
  <c r="BC512" i="26"/>
  <c r="BG512" i="26" s="1"/>
  <c r="BC544" i="26"/>
  <c r="BG544" i="26" s="1"/>
  <c r="BC568" i="26"/>
  <c r="BG568" i="26" s="1"/>
  <c r="BC297" i="26"/>
  <c r="BG297" i="26" s="1"/>
  <c r="BC296" i="26"/>
  <c r="BG296" i="26" s="1"/>
  <c r="BC335" i="26"/>
  <c r="BG335" i="26" s="1"/>
  <c r="BC343" i="26"/>
  <c r="BG343" i="26" s="1"/>
  <c r="BC367" i="26"/>
  <c r="BG367" i="26" s="1"/>
  <c r="BC423" i="26"/>
  <c r="BG423" i="26" s="1"/>
  <c r="BC431" i="26"/>
  <c r="BG431" i="26" s="1"/>
  <c r="BC439" i="26"/>
  <c r="BG439" i="26" s="1"/>
  <c r="BC447" i="26"/>
  <c r="BG447" i="26" s="1"/>
  <c r="BC511" i="26"/>
  <c r="BG511" i="26" s="1"/>
  <c r="BC543" i="26"/>
  <c r="BG543" i="26" s="1"/>
  <c r="BC302" i="26"/>
  <c r="BG302" i="26" s="1"/>
  <c r="BC310" i="26"/>
  <c r="BG310" i="26" s="1"/>
  <c r="BC382" i="26"/>
  <c r="BG382" i="26" s="1"/>
  <c r="BC398" i="26"/>
  <c r="BG398" i="26" s="1"/>
  <c r="BC462" i="26"/>
  <c r="BG462" i="26" s="1"/>
  <c r="BA494" i="26"/>
  <c r="BE494" i="26" s="1"/>
  <c r="BC526" i="26"/>
  <c r="BG526" i="26" s="1"/>
  <c r="BC534" i="26"/>
  <c r="BG534" i="26" s="1"/>
  <c r="V588" i="26"/>
  <c r="AQ588" i="26" s="1"/>
  <c r="V604" i="26"/>
  <c r="AQ604" i="26" s="1"/>
  <c r="V587" i="26"/>
  <c r="AQ587" i="26" s="1"/>
  <c r="V591" i="26"/>
  <c r="AQ591" i="26" s="1"/>
  <c r="V595" i="26"/>
  <c r="AQ595" i="26" s="1"/>
  <c r="V599" i="26"/>
  <c r="AQ599" i="26" s="1"/>
  <c r="V603" i="26"/>
  <c r="AQ603" i="26" s="1"/>
  <c r="V607" i="26"/>
  <c r="AQ607" i="26" s="1"/>
  <c r="V611" i="26"/>
  <c r="AQ611" i="26" s="1"/>
  <c r="V615" i="26"/>
  <c r="AQ615" i="26" s="1"/>
  <c r="V619" i="26"/>
  <c r="AQ619" i="26" s="1"/>
  <c r="V623" i="26"/>
  <c r="AQ623" i="26" s="1"/>
  <c r="V627" i="26"/>
  <c r="AQ627" i="26" s="1"/>
  <c r="V631" i="26"/>
  <c r="AQ631" i="26" s="1"/>
  <c r="V635" i="26"/>
  <c r="AQ635" i="26" s="1"/>
  <c r="V639" i="26"/>
  <c r="AQ639" i="26" s="1"/>
  <c r="V643" i="26"/>
  <c r="AQ643" i="26" s="1"/>
  <c r="V647" i="26"/>
  <c r="AQ647" i="26" s="1"/>
  <c r="V651" i="26"/>
  <c r="AQ651" i="26" s="1"/>
  <c r="V655" i="26"/>
  <c r="AQ655" i="26" s="1"/>
  <c r="V659" i="26"/>
  <c r="AQ659" i="26" s="1"/>
  <c r="V663" i="26"/>
  <c r="AQ663" i="26" s="1"/>
  <c r="V667" i="26"/>
  <c r="AQ667" i="26" s="1"/>
  <c r="V671" i="26"/>
  <c r="AQ671" i="26" s="1"/>
  <c r="V675" i="26"/>
  <c r="AQ675" i="26" s="1"/>
  <c r="V679" i="26"/>
  <c r="AQ679" i="26" s="1"/>
  <c r="V683" i="26"/>
  <c r="AQ683" i="26" s="1"/>
  <c r="V687" i="26"/>
  <c r="AQ687" i="26" s="1"/>
  <c r="V691" i="26"/>
  <c r="AQ691" i="26" s="1"/>
  <c r="V695" i="26"/>
  <c r="AQ695" i="26" s="1"/>
  <c r="V699" i="26"/>
  <c r="AQ699" i="26" s="1"/>
  <c r="V703" i="26"/>
  <c r="AQ703" i="26" s="1"/>
  <c r="V707" i="26"/>
  <c r="AQ707" i="26" s="1"/>
  <c r="V711" i="26"/>
  <c r="AQ711" i="26" s="1"/>
  <c r="V715" i="26"/>
  <c r="AQ715" i="26" s="1"/>
  <c r="V719" i="26"/>
  <c r="AQ719" i="26" s="1"/>
  <c r="V723" i="26"/>
  <c r="AQ723" i="26" s="1"/>
  <c r="V727" i="26"/>
  <c r="AQ727" i="26" s="1"/>
  <c r="V731" i="26"/>
  <c r="AQ731" i="26" s="1"/>
  <c r="V735" i="26"/>
  <c r="AQ735" i="26" s="1"/>
  <c r="V739" i="26"/>
  <c r="AQ739" i="26" s="1"/>
  <c r="V743" i="26"/>
  <c r="AQ743" i="26" s="1"/>
  <c r="V747" i="26"/>
  <c r="AQ747" i="26" s="1"/>
  <c r="V751" i="26"/>
  <c r="AQ751" i="26" s="1"/>
  <c r="V755" i="26"/>
  <c r="AQ755" i="26" s="1"/>
  <c r="V759" i="26"/>
  <c r="AQ759" i="26" s="1"/>
  <c r="V763" i="26"/>
  <c r="AQ763" i="26" s="1"/>
  <c r="V767" i="26"/>
  <c r="AQ767" i="26" s="1"/>
  <c r="V771" i="26"/>
  <c r="AQ771" i="26" s="1"/>
  <c r="V775" i="26"/>
  <c r="AQ775" i="26" s="1"/>
  <c r="V779" i="26"/>
  <c r="AQ779" i="26" s="1"/>
  <c r="V783" i="26"/>
  <c r="AQ783" i="26" s="1"/>
  <c r="V787" i="26"/>
  <c r="AQ787" i="26" s="1"/>
  <c r="V791" i="26"/>
  <c r="AQ791" i="26" s="1"/>
  <c r="V795" i="26"/>
  <c r="AQ795" i="26" s="1"/>
  <c r="V799" i="26"/>
  <c r="AQ799" i="26" s="1"/>
  <c r="V803" i="26"/>
  <c r="AQ803" i="26" s="1"/>
  <c r="V807" i="26"/>
  <c r="AQ807" i="26" s="1"/>
  <c r="V811" i="26"/>
  <c r="AQ811" i="26" s="1"/>
  <c r="V815" i="26"/>
  <c r="AQ815" i="26" s="1"/>
  <c r="V819" i="26"/>
  <c r="AQ819" i="26" s="1"/>
  <c r="V823" i="26"/>
  <c r="AQ823" i="26" s="1"/>
  <c r="V827" i="26"/>
  <c r="AQ827" i="26" s="1"/>
  <c r="V831" i="26"/>
  <c r="AQ831" i="26" s="1"/>
  <c r="V835" i="26"/>
  <c r="AQ835" i="26" s="1"/>
  <c r="V839" i="26"/>
  <c r="AQ839" i="26" s="1"/>
  <c r="V843" i="26"/>
  <c r="AQ843" i="26" s="1"/>
  <c r="V847" i="26"/>
  <c r="AQ847" i="26" s="1"/>
  <c r="V851" i="26"/>
  <c r="AQ851" i="26" s="1"/>
  <c r="V855" i="26"/>
  <c r="AQ855" i="26" s="1"/>
  <c r="V859" i="26"/>
  <c r="AQ859" i="26" s="1"/>
  <c r="V586" i="26"/>
  <c r="AQ586" i="26" s="1"/>
  <c r="V590" i="26"/>
  <c r="AQ590" i="26" s="1"/>
  <c r="V594" i="26"/>
  <c r="AQ594" i="26" s="1"/>
  <c r="V598" i="26"/>
  <c r="AQ598" i="26" s="1"/>
  <c r="V602" i="26"/>
  <c r="AQ602" i="26" s="1"/>
  <c r="V606" i="26"/>
  <c r="AQ606" i="26" s="1"/>
  <c r="V610" i="26"/>
  <c r="AQ610" i="26" s="1"/>
  <c r="V614" i="26"/>
  <c r="AQ614" i="26" s="1"/>
  <c r="V618" i="26"/>
  <c r="AQ618" i="26" s="1"/>
  <c r="V622" i="26"/>
  <c r="AQ622" i="26" s="1"/>
  <c r="V626" i="26"/>
  <c r="AQ626" i="26" s="1"/>
  <c r="V630" i="26"/>
  <c r="AQ630" i="26" s="1"/>
  <c r="V634" i="26"/>
  <c r="AQ634" i="26" s="1"/>
  <c r="V638" i="26"/>
  <c r="AQ638" i="26" s="1"/>
  <c r="V642" i="26"/>
  <c r="AQ642" i="26" s="1"/>
  <c r="V646" i="26"/>
  <c r="AQ646" i="26" s="1"/>
  <c r="V650" i="26"/>
  <c r="AQ650" i="26" s="1"/>
  <c r="V654" i="26"/>
  <c r="AQ654" i="26" s="1"/>
  <c r="V658" i="26"/>
  <c r="AQ658" i="26" s="1"/>
  <c r="V662" i="26"/>
  <c r="AQ662" i="26" s="1"/>
  <c r="V666" i="26"/>
  <c r="AQ666" i="26" s="1"/>
  <c r="V670" i="26"/>
  <c r="AQ670" i="26" s="1"/>
  <c r="V674" i="26"/>
  <c r="AQ674" i="26" s="1"/>
  <c r="V678" i="26"/>
  <c r="AQ678" i="26" s="1"/>
  <c r="V682" i="26"/>
  <c r="AQ682" i="26" s="1"/>
  <c r="V686" i="26"/>
  <c r="AQ686" i="26" s="1"/>
  <c r="V690" i="26"/>
  <c r="AQ690" i="26" s="1"/>
  <c r="V694" i="26"/>
  <c r="AQ694" i="26" s="1"/>
  <c r="V698" i="26"/>
  <c r="AQ698" i="26" s="1"/>
  <c r="V702" i="26"/>
  <c r="AQ702" i="26" s="1"/>
  <c r="V706" i="26"/>
  <c r="AQ706" i="26" s="1"/>
  <c r="V710" i="26"/>
  <c r="AQ710" i="26" s="1"/>
  <c r="V714" i="26"/>
  <c r="AQ714" i="26" s="1"/>
  <c r="V718" i="26"/>
  <c r="AQ718" i="26" s="1"/>
  <c r="V722" i="26"/>
  <c r="AQ722" i="26" s="1"/>
  <c r="V726" i="26"/>
  <c r="AQ726" i="26" s="1"/>
  <c r="V730" i="26"/>
  <c r="AQ730" i="26" s="1"/>
  <c r="V734" i="26"/>
  <c r="AQ734" i="26" s="1"/>
  <c r="V738" i="26"/>
  <c r="AQ738" i="26" s="1"/>
  <c r="V742" i="26"/>
  <c r="AQ742" i="26" s="1"/>
  <c r="V746" i="26"/>
  <c r="AQ746" i="26" s="1"/>
  <c r="V750" i="26"/>
  <c r="AQ750" i="26" s="1"/>
  <c r="V754" i="26"/>
  <c r="AQ754" i="26" s="1"/>
  <c r="V758" i="26"/>
  <c r="AQ758" i="26" s="1"/>
  <c r="V762" i="26"/>
  <c r="AQ762" i="26" s="1"/>
  <c r="V766" i="26"/>
  <c r="AQ766" i="26" s="1"/>
  <c r="V770" i="26"/>
  <c r="AQ770" i="26" s="1"/>
  <c r="V774" i="26"/>
  <c r="AQ774" i="26" s="1"/>
  <c r="V778" i="26"/>
  <c r="AQ778" i="26" s="1"/>
  <c r="V782" i="26"/>
  <c r="AQ782" i="26" s="1"/>
  <c r="V786" i="26"/>
  <c r="AQ786" i="26" s="1"/>
  <c r="V790" i="26"/>
  <c r="AQ790" i="26" s="1"/>
  <c r="V794" i="26"/>
  <c r="AQ794" i="26" s="1"/>
  <c r="V798" i="26"/>
  <c r="AQ798" i="26" s="1"/>
  <c r="V802" i="26"/>
  <c r="AQ802" i="26" s="1"/>
  <c r="V806" i="26"/>
  <c r="AQ806" i="26" s="1"/>
  <c r="V810" i="26"/>
  <c r="AQ810" i="26" s="1"/>
  <c r="V814" i="26"/>
  <c r="AQ814" i="26" s="1"/>
  <c r="V818" i="26"/>
  <c r="AQ818" i="26" s="1"/>
  <c r="V822" i="26"/>
  <c r="AQ822" i="26" s="1"/>
  <c r="V826" i="26"/>
  <c r="AQ826" i="26" s="1"/>
  <c r="V830" i="26"/>
  <c r="AQ830" i="26" s="1"/>
  <c r="V834" i="26"/>
  <c r="AQ834" i="26" s="1"/>
  <c r="V838" i="26"/>
  <c r="AQ838" i="26" s="1"/>
  <c r="V842" i="26"/>
  <c r="AQ842" i="26" s="1"/>
  <c r="V846" i="26"/>
  <c r="AQ846" i="26" s="1"/>
  <c r="V850" i="26"/>
  <c r="AQ850" i="26" s="1"/>
  <c r="V854" i="26"/>
  <c r="AQ854" i="26" s="1"/>
  <c r="V858" i="26"/>
  <c r="AQ858" i="26" s="1"/>
  <c r="V584" i="26"/>
  <c r="AQ584" i="26" s="1"/>
  <c r="V600" i="26"/>
  <c r="AQ600" i="26" s="1"/>
  <c r="V585" i="26"/>
  <c r="AQ585" i="26" s="1"/>
  <c r="V589" i="26"/>
  <c r="AQ589" i="26" s="1"/>
  <c r="V593" i="26"/>
  <c r="AQ593" i="26" s="1"/>
  <c r="V597" i="26"/>
  <c r="AQ597" i="26" s="1"/>
  <c r="V601" i="26"/>
  <c r="AQ601" i="26" s="1"/>
  <c r="V605" i="26"/>
  <c r="AQ605" i="26" s="1"/>
  <c r="V609" i="26"/>
  <c r="AQ609" i="26" s="1"/>
  <c r="V613" i="26"/>
  <c r="AQ613" i="26" s="1"/>
  <c r="V617" i="26"/>
  <c r="AQ617" i="26" s="1"/>
  <c r="V621" i="26"/>
  <c r="AQ621" i="26" s="1"/>
  <c r="V625" i="26"/>
  <c r="AQ625" i="26" s="1"/>
  <c r="V629" i="26"/>
  <c r="AQ629" i="26" s="1"/>
  <c r="V633" i="26"/>
  <c r="AQ633" i="26" s="1"/>
  <c r="V637" i="26"/>
  <c r="AQ637" i="26" s="1"/>
  <c r="V641" i="26"/>
  <c r="AQ641" i="26" s="1"/>
  <c r="V645" i="26"/>
  <c r="AQ645" i="26" s="1"/>
  <c r="V649" i="26"/>
  <c r="AQ649" i="26" s="1"/>
  <c r="V653" i="26"/>
  <c r="AQ653" i="26" s="1"/>
  <c r="V657" i="26"/>
  <c r="AQ657" i="26" s="1"/>
  <c r="V661" i="26"/>
  <c r="AQ661" i="26" s="1"/>
  <c r="V665" i="26"/>
  <c r="AQ665" i="26" s="1"/>
  <c r="V669" i="26"/>
  <c r="AQ669" i="26" s="1"/>
  <c r="V673" i="26"/>
  <c r="AQ673" i="26" s="1"/>
  <c r="V677" i="26"/>
  <c r="AQ677" i="26" s="1"/>
  <c r="V681" i="26"/>
  <c r="AQ681" i="26" s="1"/>
  <c r="V685" i="26"/>
  <c r="AQ685" i="26" s="1"/>
  <c r="V689" i="26"/>
  <c r="AQ689" i="26" s="1"/>
  <c r="V693" i="26"/>
  <c r="AQ693" i="26" s="1"/>
  <c r="V697" i="26"/>
  <c r="AQ697" i="26" s="1"/>
  <c r="V701" i="26"/>
  <c r="AQ701" i="26" s="1"/>
  <c r="V705" i="26"/>
  <c r="AQ705" i="26" s="1"/>
  <c r="V709" i="26"/>
  <c r="AQ709" i="26" s="1"/>
  <c r="V713" i="26"/>
  <c r="AQ713" i="26" s="1"/>
  <c r="V717" i="26"/>
  <c r="AQ717" i="26" s="1"/>
  <c r="V721" i="26"/>
  <c r="AQ721" i="26" s="1"/>
  <c r="V725" i="26"/>
  <c r="AQ725" i="26" s="1"/>
  <c r="V729" i="26"/>
  <c r="AQ729" i="26" s="1"/>
  <c r="V733" i="26"/>
  <c r="AQ733" i="26" s="1"/>
  <c r="V737" i="26"/>
  <c r="AQ737" i="26" s="1"/>
  <c r="V741" i="26"/>
  <c r="AQ741" i="26" s="1"/>
  <c r="V745" i="26"/>
  <c r="AQ745" i="26" s="1"/>
  <c r="V749" i="26"/>
  <c r="AQ749" i="26" s="1"/>
  <c r="V753" i="26"/>
  <c r="AQ753" i="26" s="1"/>
  <c r="V757" i="26"/>
  <c r="AQ757" i="26" s="1"/>
  <c r="V761" i="26"/>
  <c r="AQ761" i="26" s="1"/>
  <c r="V765" i="26"/>
  <c r="AQ765" i="26" s="1"/>
  <c r="V769" i="26"/>
  <c r="AQ769" i="26" s="1"/>
  <c r="V773" i="26"/>
  <c r="AQ773" i="26" s="1"/>
  <c r="V777" i="26"/>
  <c r="AQ777" i="26" s="1"/>
  <c r="V781" i="26"/>
  <c r="AQ781" i="26" s="1"/>
  <c r="V785" i="26"/>
  <c r="AQ785" i="26" s="1"/>
  <c r="V789" i="26"/>
  <c r="AQ789" i="26" s="1"/>
  <c r="V793" i="26"/>
  <c r="AQ793" i="26" s="1"/>
  <c r="V797" i="26"/>
  <c r="AQ797" i="26" s="1"/>
  <c r="V801" i="26"/>
  <c r="AQ801" i="26" s="1"/>
  <c r="V805" i="26"/>
  <c r="AQ805" i="26" s="1"/>
  <c r="V809" i="26"/>
  <c r="AQ809" i="26" s="1"/>
  <c r="V813" i="26"/>
  <c r="AQ813" i="26" s="1"/>
  <c r="V817" i="26"/>
  <c r="AQ817" i="26" s="1"/>
  <c r="V821" i="26"/>
  <c r="AQ821" i="26" s="1"/>
  <c r="V825" i="26"/>
  <c r="AQ825" i="26" s="1"/>
  <c r="V829" i="26"/>
  <c r="AQ829" i="26" s="1"/>
  <c r="V833" i="26"/>
  <c r="AQ833" i="26" s="1"/>
  <c r="V837" i="26"/>
  <c r="AQ837" i="26" s="1"/>
  <c r="V841" i="26"/>
  <c r="AQ841" i="26" s="1"/>
  <c r="V845" i="26"/>
  <c r="AQ845" i="26" s="1"/>
  <c r="V849" i="26"/>
  <c r="AQ849" i="26" s="1"/>
  <c r="V853" i="26"/>
  <c r="AQ853" i="26" s="1"/>
  <c r="V857" i="26"/>
  <c r="AQ857" i="26" s="1"/>
  <c r="V592" i="26"/>
  <c r="AQ592" i="26" s="1"/>
  <c r="V596" i="26"/>
  <c r="AQ596" i="26" s="1"/>
  <c r="V608" i="26"/>
  <c r="AQ608" i="26" s="1"/>
  <c r="V612" i="26"/>
  <c r="AQ612" i="26" s="1"/>
  <c r="V616" i="26"/>
  <c r="AQ616" i="26" s="1"/>
  <c r="V620" i="26"/>
  <c r="AQ620" i="26" s="1"/>
  <c r="V624" i="26"/>
  <c r="AQ624" i="26" s="1"/>
  <c r="V628" i="26"/>
  <c r="AQ628" i="26" s="1"/>
  <c r="V632" i="26"/>
  <c r="AQ632" i="26" s="1"/>
  <c r="V636" i="26"/>
  <c r="AQ636" i="26" s="1"/>
  <c r="V640" i="26"/>
  <c r="AQ640" i="26" s="1"/>
  <c r="V644" i="26"/>
  <c r="AQ644" i="26" s="1"/>
  <c r="V648" i="26"/>
  <c r="AQ648" i="26" s="1"/>
  <c r="V652" i="26"/>
  <c r="AQ652" i="26" s="1"/>
  <c r="V656" i="26"/>
  <c r="AQ656" i="26" s="1"/>
  <c r="V660" i="26"/>
  <c r="AQ660" i="26" s="1"/>
  <c r="V664" i="26"/>
  <c r="AQ664" i="26" s="1"/>
  <c r="V668" i="26"/>
  <c r="AQ668" i="26" s="1"/>
  <c r="V672" i="26"/>
  <c r="AQ672" i="26" s="1"/>
  <c r="V676" i="26"/>
  <c r="AQ676" i="26" s="1"/>
  <c r="V680" i="26"/>
  <c r="AQ680" i="26" s="1"/>
  <c r="V684" i="26"/>
  <c r="AQ684" i="26" s="1"/>
  <c r="V688" i="26"/>
  <c r="AQ688" i="26" s="1"/>
  <c r="V692" i="26"/>
  <c r="AQ692" i="26" s="1"/>
  <c r="V696" i="26"/>
  <c r="AQ696" i="26" s="1"/>
  <c r="V700" i="26"/>
  <c r="AQ700" i="26" s="1"/>
  <c r="V704" i="26"/>
  <c r="AQ704" i="26" s="1"/>
  <c r="V708" i="26"/>
  <c r="AQ708" i="26" s="1"/>
  <c r="V712" i="26"/>
  <c r="AQ712" i="26" s="1"/>
  <c r="V716" i="26"/>
  <c r="AQ716" i="26" s="1"/>
  <c r="V720" i="26"/>
  <c r="AQ720" i="26" s="1"/>
  <c r="V724" i="26"/>
  <c r="AQ724" i="26" s="1"/>
  <c r="V728" i="26"/>
  <c r="AQ728" i="26" s="1"/>
  <c r="V732" i="26"/>
  <c r="AQ732" i="26" s="1"/>
  <c r="V736" i="26"/>
  <c r="AQ736" i="26" s="1"/>
  <c r="V740" i="26"/>
  <c r="AQ740" i="26" s="1"/>
  <c r="V744" i="26"/>
  <c r="AQ744" i="26" s="1"/>
  <c r="V748" i="26"/>
  <c r="AQ748" i="26" s="1"/>
  <c r="V752" i="26"/>
  <c r="AQ752" i="26" s="1"/>
  <c r="V756" i="26"/>
  <c r="AQ756" i="26" s="1"/>
  <c r="V760" i="26"/>
  <c r="AQ760" i="26" s="1"/>
  <c r="V764" i="26"/>
  <c r="AQ764" i="26" s="1"/>
  <c r="V768" i="26"/>
  <c r="AQ768" i="26" s="1"/>
  <c r="V772" i="26"/>
  <c r="AQ772" i="26" s="1"/>
  <c r="V776" i="26"/>
  <c r="AQ776" i="26" s="1"/>
  <c r="V780" i="26"/>
  <c r="AQ780" i="26" s="1"/>
  <c r="V784" i="26"/>
  <c r="AQ784" i="26" s="1"/>
  <c r="V788" i="26"/>
  <c r="AQ788" i="26" s="1"/>
  <c r="V792" i="26"/>
  <c r="AQ792" i="26" s="1"/>
  <c r="V796" i="26"/>
  <c r="AQ796" i="26" s="1"/>
  <c r="V800" i="26"/>
  <c r="AQ800" i="26" s="1"/>
  <c r="V804" i="26"/>
  <c r="AQ804" i="26" s="1"/>
  <c r="V808" i="26"/>
  <c r="AQ808" i="26" s="1"/>
  <c r="V812" i="26"/>
  <c r="AQ812" i="26" s="1"/>
  <c r="V816" i="26"/>
  <c r="AQ816" i="26" s="1"/>
  <c r="V820" i="26"/>
  <c r="AQ820" i="26" s="1"/>
  <c r="V824" i="26"/>
  <c r="AQ824" i="26" s="1"/>
  <c r="V828" i="26"/>
  <c r="AQ828" i="26" s="1"/>
  <c r="V832" i="26"/>
  <c r="AQ832" i="26" s="1"/>
  <c r="V836" i="26"/>
  <c r="AQ836" i="26" s="1"/>
  <c r="V840" i="26"/>
  <c r="AQ840" i="26" s="1"/>
  <c r="V844" i="26"/>
  <c r="AQ844" i="26" s="1"/>
  <c r="V848" i="26"/>
  <c r="AQ848" i="26" s="1"/>
  <c r="V852" i="26"/>
  <c r="AQ852" i="26" s="1"/>
  <c r="V856" i="26"/>
  <c r="AQ856" i="26" s="1"/>
  <c r="H10" i="23"/>
  <c r="BB391" i="26" l="1"/>
  <c r="BF391" i="26" s="1"/>
  <c r="BB496" i="26"/>
  <c r="BF496" i="26" s="1"/>
  <c r="BA560" i="26"/>
  <c r="BE560" i="26" s="1"/>
  <c r="BA455" i="26"/>
  <c r="BE455" i="26" s="1"/>
  <c r="BC391" i="26"/>
  <c r="BG391" i="26" s="1"/>
  <c r="D17" i="21"/>
  <c r="BB327" i="26"/>
  <c r="BF327" i="26" s="1"/>
  <c r="BA456" i="26"/>
  <c r="BE456" i="26" s="1"/>
  <c r="BB491" i="26"/>
  <c r="BF491" i="26" s="1"/>
  <c r="BA498" i="26"/>
  <c r="BE498" i="26" s="1"/>
  <c r="BB513" i="26"/>
  <c r="BF513" i="26" s="1"/>
  <c r="BA386" i="26"/>
  <c r="BE386" i="26" s="1"/>
  <c r="BA345" i="26"/>
  <c r="BE345" i="26" s="1"/>
  <c r="BB293" i="26"/>
  <c r="BF293" i="26" s="1"/>
  <c r="BB298" i="26"/>
  <c r="BF298" i="26" s="1"/>
  <c r="BB342" i="26"/>
  <c r="BF342" i="26" s="1"/>
  <c r="BA517" i="26"/>
  <c r="BE517" i="26" s="1"/>
  <c r="BB370" i="26"/>
  <c r="BF370" i="26" s="1"/>
  <c r="BA322" i="26"/>
  <c r="BE322" i="26" s="1"/>
  <c r="BB406" i="26"/>
  <c r="BF406" i="26" s="1"/>
  <c r="BB555" i="26"/>
  <c r="BF555" i="26" s="1"/>
  <c r="AW3" i="26"/>
  <c r="D30" i="21" s="1"/>
  <c r="BB434" i="26"/>
  <c r="BF434" i="26" s="1"/>
  <c r="BA450" i="26"/>
  <c r="BE450" i="26" s="1"/>
  <c r="BA293" i="26"/>
  <c r="BE293" i="26" s="1"/>
  <c r="BA426" i="26"/>
  <c r="BE426" i="26" s="1"/>
  <c r="BA516" i="26"/>
  <c r="BE516" i="26" s="1"/>
  <c r="AV3" i="26"/>
  <c r="D29" i="21" s="1"/>
  <c r="AU3" i="26"/>
  <c r="D28" i="21" s="1"/>
  <c r="BA557" i="26"/>
  <c r="BE557" i="26" s="1"/>
  <c r="BA362" i="26"/>
  <c r="BE362" i="26" s="1"/>
  <c r="BA452" i="26"/>
  <c r="BE452" i="26" s="1"/>
  <c r="AQ3" i="26"/>
  <c r="D12" i="21" s="1"/>
  <c r="D21" i="21" s="1"/>
  <c r="BB366" i="26"/>
  <c r="BF366" i="26" s="1"/>
  <c r="BB539" i="26"/>
  <c r="BF539" i="26" s="1"/>
  <c r="BB392" i="26"/>
  <c r="BF392" i="26" s="1"/>
  <c r="BB561" i="26"/>
  <c r="BF561" i="26" s="1"/>
  <c r="BA473" i="26"/>
  <c r="BE473" i="26" s="1"/>
  <c r="BA385" i="26"/>
  <c r="BE385" i="26" s="1"/>
  <c r="BA310" i="26"/>
  <c r="BE310" i="26" s="1"/>
  <c r="BB515" i="26"/>
  <c r="BF515" i="26" s="1"/>
  <c r="BA387" i="26"/>
  <c r="BE387" i="26" s="1"/>
  <c r="BB323" i="26"/>
  <c r="BF323" i="26" s="1"/>
  <c r="BB565" i="26"/>
  <c r="BF565" i="26" s="1"/>
  <c r="BB437" i="26"/>
  <c r="BF437" i="26" s="1"/>
  <c r="BA397" i="26"/>
  <c r="BE397" i="26" s="1"/>
  <c r="BA564" i="26"/>
  <c r="BE564" i="26" s="1"/>
  <c r="BA356" i="26"/>
  <c r="BE356" i="26" s="1"/>
  <c r="BB332" i="26"/>
  <c r="BF332" i="26" s="1"/>
  <c r="BB308" i="26"/>
  <c r="BF308" i="26" s="1"/>
  <c r="BA540" i="26"/>
  <c r="BE540" i="26" s="1"/>
  <c r="BB476" i="26"/>
  <c r="BF476" i="26" s="1"/>
  <c r="BB412" i="26"/>
  <c r="BF412" i="26" s="1"/>
  <c r="BB294" i="26"/>
  <c r="BF294" i="26" s="1"/>
  <c r="BB533" i="26"/>
  <c r="BF533" i="26" s="1"/>
  <c r="BB552" i="26"/>
  <c r="BF552" i="26" s="1"/>
  <c r="BB528" i="26"/>
  <c r="BF528" i="26" s="1"/>
  <c r="BB488" i="26"/>
  <c r="BF488" i="26" s="1"/>
  <c r="BA464" i="26"/>
  <c r="BE464" i="26" s="1"/>
  <c r="BB360" i="26"/>
  <c r="BF360" i="26" s="1"/>
  <c r="BA569" i="26"/>
  <c r="BE569" i="26" s="1"/>
  <c r="BA545" i="26"/>
  <c r="BE545" i="26" s="1"/>
  <c r="BB481" i="26"/>
  <c r="BF481" i="26" s="1"/>
  <c r="BA441" i="26"/>
  <c r="BE441" i="26" s="1"/>
  <c r="BB417" i="26"/>
  <c r="BF417" i="26" s="1"/>
  <c r="BB562" i="26"/>
  <c r="BF562" i="26" s="1"/>
  <c r="BA522" i="26"/>
  <c r="BE522" i="26" s="1"/>
  <c r="BB498" i="26"/>
  <c r="BF498" i="26" s="1"/>
  <c r="BB458" i="26"/>
  <c r="BF458" i="26" s="1"/>
  <c r="BB394" i="26"/>
  <c r="BF394" i="26" s="1"/>
  <c r="BB330" i="26"/>
  <c r="BF330" i="26" s="1"/>
  <c r="BB306" i="26"/>
  <c r="BF306" i="26" s="1"/>
  <c r="BA523" i="26"/>
  <c r="BE523" i="26" s="1"/>
  <c r="BB484" i="26"/>
  <c r="BF484" i="26" s="1"/>
  <c r="BB380" i="26"/>
  <c r="BF380" i="26" s="1"/>
  <c r="BB356" i="26"/>
  <c r="BF356" i="26" s="1"/>
  <c r="BB333" i="26"/>
  <c r="BF333" i="26" s="1"/>
  <c r="BB502" i="26"/>
  <c r="BF502" i="26" s="1"/>
  <c r="BA374" i="26"/>
  <c r="BE374" i="26" s="1"/>
  <c r="BA400" i="26"/>
  <c r="BE400" i="26" s="1"/>
  <c r="BA336" i="26"/>
  <c r="BE336" i="26" s="1"/>
  <c r="BB469" i="26"/>
  <c r="BF469" i="26" s="1"/>
  <c r="BB373" i="26"/>
  <c r="BF373" i="26" s="1"/>
  <c r="BB396" i="26"/>
  <c r="BF396" i="26" s="1"/>
  <c r="BA493" i="26"/>
  <c r="BE493" i="26" s="1"/>
  <c r="BA438" i="26"/>
  <c r="BE438" i="26" s="1"/>
  <c r="BB527" i="26"/>
  <c r="BF527" i="26" s="1"/>
  <c r="BA399" i="26"/>
  <c r="BE399" i="26" s="1"/>
  <c r="BA550" i="26"/>
  <c r="BE550" i="26" s="1"/>
  <c r="BA334" i="26"/>
  <c r="BE334" i="26" s="1"/>
  <c r="BB471" i="26"/>
  <c r="BF471" i="26" s="1"/>
  <c r="BB407" i="26"/>
  <c r="BF407" i="26" s="1"/>
  <c r="BB522" i="26"/>
  <c r="BF522" i="26" s="1"/>
  <c r="BA482" i="26"/>
  <c r="BE482" i="26" s="1"/>
  <c r="BA354" i="26"/>
  <c r="BE354" i="26" s="1"/>
  <c r="BA443" i="26"/>
  <c r="BE443" i="26" s="1"/>
  <c r="BA315" i="26"/>
  <c r="BE315" i="26" s="1"/>
  <c r="BB395" i="26"/>
  <c r="BF395" i="26" s="1"/>
  <c r="BA331" i="26"/>
  <c r="BE331" i="26" s="1"/>
  <c r="BB508" i="26"/>
  <c r="BF508" i="26" s="1"/>
  <c r="BA444" i="26"/>
  <c r="BE444" i="26" s="1"/>
  <c r="BB420" i="26"/>
  <c r="BF420" i="26" s="1"/>
  <c r="BA549" i="26"/>
  <c r="BE549" i="26" s="1"/>
  <c r="BA485" i="26"/>
  <c r="BE485" i="26" s="1"/>
  <c r="BA421" i="26"/>
  <c r="BE421" i="26" s="1"/>
  <c r="BB397" i="26"/>
  <c r="BF397" i="26" s="1"/>
  <c r="BA307" i="26"/>
  <c r="BE307" i="26" s="1"/>
  <c r="BA396" i="26"/>
  <c r="BE396" i="26" s="1"/>
  <c r="BA525" i="26"/>
  <c r="BE525" i="26" s="1"/>
  <c r="BA461" i="26"/>
  <c r="BE461" i="26" s="1"/>
  <c r="BB413" i="26"/>
  <c r="BF413" i="26" s="1"/>
  <c r="BB349" i="26"/>
  <c r="BF349" i="26" s="1"/>
  <c r="BA333" i="26"/>
  <c r="BE333" i="26" s="1"/>
  <c r="BA350" i="26"/>
  <c r="BE350" i="26" s="1"/>
  <c r="BA478" i="26"/>
  <c r="BE478" i="26" s="1"/>
  <c r="BB568" i="26"/>
  <c r="BF568" i="26" s="1"/>
  <c r="BB544" i="26"/>
  <c r="BF544" i="26" s="1"/>
  <c r="BA504" i="26"/>
  <c r="BE504" i="26" s="1"/>
  <c r="BA480" i="26"/>
  <c r="BE480" i="26" s="1"/>
  <c r="BB440" i="26"/>
  <c r="BF440" i="26" s="1"/>
  <c r="BA416" i="26"/>
  <c r="BE416" i="26" s="1"/>
  <c r="BB352" i="26"/>
  <c r="BF352" i="26" s="1"/>
  <c r="BA497" i="26"/>
  <c r="BE497" i="26" s="1"/>
  <c r="BA457" i="26"/>
  <c r="BE457" i="26" s="1"/>
  <c r="BB433" i="26"/>
  <c r="BF433" i="26" s="1"/>
  <c r="BA329" i="26"/>
  <c r="BE329" i="26" s="1"/>
  <c r="BA538" i="26"/>
  <c r="BE538" i="26" s="1"/>
  <c r="BB514" i="26"/>
  <c r="BF514" i="26" s="1"/>
  <c r="BA566" i="26"/>
  <c r="BE566" i="26" s="1"/>
  <c r="BA551" i="26"/>
  <c r="BE551" i="26" s="1"/>
  <c r="BA335" i="26"/>
  <c r="BE335" i="26" s="1"/>
  <c r="BB389" i="26"/>
  <c r="BF389" i="26" s="1"/>
  <c r="BB325" i="26"/>
  <c r="BF325" i="26" s="1"/>
  <c r="BB414" i="26"/>
  <c r="BF414" i="26" s="1"/>
  <c r="BB431" i="26"/>
  <c r="BF431" i="26" s="1"/>
  <c r="BB367" i="26"/>
  <c r="BF367" i="26" s="1"/>
  <c r="BA361" i="26"/>
  <c r="BE361" i="26" s="1"/>
  <c r="BA378" i="26"/>
  <c r="BE378" i="26" s="1"/>
  <c r="BA314" i="26"/>
  <c r="BE314" i="26" s="1"/>
  <c r="BB531" i="26"/>
  <c r="BF531" i="26" s="1"/>
  <c r="BB467" i="26"/>
  <c r="BF467" i="26" s="1"/>
  <c r="BB403" i="26"/>
  <c r="BF403" i="26" s="1"/>
  <c r="BA556" i="26"/>
  <c r="BE556" i="26" s="1"/>
  <c r="BA492" i="26"/>
  <c r="BE492" i="26" s="1"/>
  <c r="BB428" i="26"/>
  <c r="BF428" i="26" s="1"/>
  <c r="BA463" i="26"/>
  <c r="BE463" i="26" s="1"/>
  <c r="BA295" i="26"/>
  <c r="BE295" i="26" s="1"/>
  <c r="BB560" i="26"/>
  <c r="BF560" i="26" s="1"/>
  <c r="BA432" i="26"/>
  <c r="BE432" i="26" s="1"/>
  <c r="BB408" i="26"/>
  <c r="BF408" i="26" s="1"/>
  <c r="BB344" i="26"/>
  <c r="BF344" i="26" s="1"/>
  <c r="BA320" i="26"/>
  <c r="BE320" i="26" s="1"/>
  <c r="BA304" i="26"/>
  <c r="BE304" i="26" s="1"/>
  <c r="BA553" i="26"/>
  <c r="BE553" i="26" s="1"/>
  <c r="BB529" i="26"/>
  <c r="BF529" i="26" s="1"/>
  <c r="BA489" i="26"/>
  <c r="BE489" i="26" s="1"/>
  <c r="BA465" i="26"/>
  <c r="BE465" i="26" s="1"/>
  <c r="BA425" i="26"/>
  <c r="BE425" i="26" s="1"/>
  <c r="BA401" i="26"/>
  <c r="BE401" i="26" s="1"/>
  <c r="BA337" i="26"/>
  <c r="BE337" i="26" s="1"/>
  <c r="BA321" i="26"/>
  <c r="BE321" i="26" s="1"/>
  <c r="BA530" i="26"/>
  <c r="BE530" i="26" s="1"/>
  <c r="BB506" i="26"/>
  <c r="BF506" i="26" s="1"/>
  <c r="BA442" i="26"/>
  <c r="BE442" i="26" s="1"/>
  <c r="BA418" i="26"/>
  <c r="BE418" i="26" s="1"/>
  <c r="BB509" i="26"/>
  <c r="BF509" i="26" s="1"/>
  <c r="BA429" i="26"/>
  <c r="BE429" i="26" s="1"/>
  <c r="BA365" i="26"/>
  <c r="BE365" i="26" s="1"/>
  <c r="BB341" i="26"/>
  <c r="BF341" i="26" s="1"/>
  <c r="BB301" i="26"/>
  <c r="BF301" i="26" s="1"/>
  <c r="BA526" i="26"/>
  <c r="BE526" i="26" s="1"/>
  <c r="BA486" i="26"/>
  <c r="BE486" i="26" s="1"/>
  <c r="BA462" i="26"/>
  <c r="BE462" i="26" s="1"/>
  <c r="BA422" i="26"/>
  <c r="BE422" i="26" s="1"/>
  <c r="BA382" i="26"/>
  <c r="BE382" i="26" s="1"/>
  <c r="BA358" i="26"/>
  <c r="BE358" i="26" s="1"/>
  <c r="BA318" i="26"/>
  <c r="BE318" i="26" s="1"/>
  <c r="BA559" i="26"/>
  <c r="BE559" i="26" s="1"/>
  <c r="BB535" i="26"/>
  <c r="BF535" i="26" s="1"/>
  <c r="BA495" i="26"/>
  <c r="BE495" i="26" s="1"/>
  <c r="BB447" i="26"/>
  <c r="BF447" i="26" s="1"/>
  <c r="BB383" i="26"/>
  <c r="BF383" i="26" s="1"/>
  <c r="BA343" i="26"/>
  <c r="BE343" i="26" s="1"/>
  <c r="BB319" i="26"/>
  <c r="BF319" i="26" s="1"/>
  <c r="BA536" i="26"/>
  <c r="BE536" i="26" s="1"/>
  <c r="BA472" i="26"/>
  <c r="BE472" i="26" s="1"/>
  <c r="BA507" i="26"/>
  <c r="BE507" i="26" s="1"/>
  <c r="BB379" i="26"/>
  <c r="BF379" i="26" s="1"/>
  <c r="BA339" i="26"/>
  <c r="BE339" i="26" s="1"/>
  <c r="BB556" i="26"/>
  <c r="BF556" i="26" s="1"/>
  <c r="BB492" i="26"/>
  <c r="BF492" i="26" s="1"/>
  <c r="BA364" i="26"/>
  <c r="BE364" i="26" s="1"/>
  <c r="BB340" i="26"/>
  <c r="BF340" i="26" s="1"/>
  <c r="BA300" i="26"/>
  <c r="BE300" i="26" s="1"/>
  <c r="BA533" i="26"/>
  <c r="BE533" i="26" s="1"/>
  <c r="BA509" i="26"/>
  <c r="BE509" i="26" s="1"/>
  <c r="BA469" i="26"/>
  <c r="BE469" i="26" s="1"/>
  <c r="BB445" i="26"/>
  <c r="BF445" i="26" s="1"/>
  <c r="BB381" i="26"/>
  <c r="BF381" i="26" s="1"/>
  <c r="BA341" i="26"/>
  <c r="BE341" i="26" s="1"/>
  <c r="BB550" i="26"/>
  <c r="BF550" i="26" s="1"/>
  <c r="BB374" i="26"/>
  <c r="BF374" i="26" s="1"/>
  <c r="BB334" i="26"/>
  <c r="BF334" i="26" s="1"/>
  <c r="BB310" i="26"/>
  <c r="BF310" i="26" s="1"/>
  <c r="BB443" i="26"/>
  <c r="BF443" i="26" s="1"/>
  <c r="BB315" i="26"/>
  <c r="BF315" i="26" s="1"/>
  <c r="BA370" i="26"/>
  <c r="BE370" i="26" s="1"/>
  <c r="BB563" i="26"/>
  <c r="BF563" i="26" s="1"/>
  <c r="BB499" i="26"/>
  <c r="BF499" i="26" s="1"/>
  <c r="BA524" i="26"/>
  <c r="BE524" i="26" s="1"/>
  <c r="BA501" i="26"/>
  <c r="BE501" i="26" s="1"/>
  <c r="BA357" i="26"/>
  <c r="BE357" i="26" s="1"/>
  <c r="BA439" i="26"/>
  <c r="BE439" i="26" s="1"/>
  <c r="BA369" i="26"/>
  <c r="BE369" i="26" s="1"/>
  <c r="BA305" i="26"/>
  <c r="BE305" i="26" s="1"/>
  <c r="BA346" i="26"/>
  <c r="BE346" i="26" s="1"/>
  <c r="BA539" i="26"/>
  <c r="BE539" i="26" s="1"/>
  <c r="BB477" i="26"/>
  <c r="BF477" i="26" s="1"/>
  <c r="BB475" i="26"/>
  <c r="BF475" i="26" s="1"/>
  <c r="BA435" i="26"/>
  <c r="BE435" i="26" s="1"/>
  <c r="BB411" i="26"/>
  <c r="BF411" i="26" s="1"/>
  <c r="BA371" i="26"/>
  <c r="BE371" i="26" s="1"/>
  <c r="BB524" i="26"/>
  <c r="BF524" i="26" s="1"/>
  <c r="BA460" i="26"/>
  <c r="BE460" i="26" s="1"/>
  <c r="BB436" i="26"/>
  <c r="BF436" i="26" s="1"/>
  <c r="BB372" i="26"/>
  <c r="BF372" i="26" s="1"/>
  <c r="BA565" i="26"/>
  <c r="BE565" i="26" s="1"/>
  <c r="BB541" i="26"/>
  <c r="BF541" i="26" s="1"/>
  <c r="BB501" i="26"/>
  <c r="BF501" i="26" s="1"/>
  <c r="BA437" i="26"/>
  <c r="BE437" i="26" s="1"/>
  <c r="BB470" i="26"/>
  <c r="BF470" i="26" s="1"/>
  <c r="BB430" i="26"/>
  <c r="BF430" i="26" s="1"/>
  <c r="BA479" i="26"/>
  <c r="BE479" i="26" s="1"/>
  <c r="BA415" i="26"/>
  <c r="BE415" i="26" s="1"/>
  <c r="BA351" i="26"/>
  <c r="BE351" i="26" s="1"/>
  <c r="BB500" i="26"/>
  <c r="BF500" i="26" s="1"/>
  <c r="BA476" i="26"/>
  <c r="BE476" i="26" s="1"/>
  <c r="BA436" i="26"/>
  <c r="BE436" i="26" s="1"/>
  <c r="BA412" i="26"/>
  <c r="BE412" i="26" s="1"/>
  <c r="BA372" i="26"/>
  <c r="BE372" i="26" s="1"/>
  <c r="BB348" i="26"/>
  <c r="BF348" i="26" s="1"/>
  <c r="BA541" i="26"/>
  <c r="BE541" i="26" s="1"/>
  <c r="BA477" i="26"/>
  <c r="BE477" i="26" s="1"/>
  <c r="BB453" i="26"/>
  <c r="BF453" i="26" s="1"/>
  <c r="BA413" i="26"/>
  <c r="BE413" i="26" s="1"/>
  <c r="BA301" i="26"/>
  <c r="BE301" i="26" s="1"/>
  <c r="BB558" i="26"/>
  <c r="BF558" i="26" s="1"/>
  <c r="BB518" i="26"/>
  <c r="BF518" i="26" s="1"/>
  <c r="BB454" i="26"/>
  <c r="BF454" i="26" s="1"/>
  <c r="BB326" i="26"/>
  <c r="BF326" i="26" s="1"/>
  <c r="BA567" i="26"/>
  <c r="BE567" i="26" s="1"/>
  <c r="BB543" i="26"/>
  <c r="BF543" i="26" s="1"/>
  <c r="BA503" i="26"/>
  <c r="BE503" i="26" s="1"/>
  <c r="BB311" i="26"/>
  <c r="BF311" i="26" s="1"/>
  <c r="BB296" i="26"/>
  <c r="BF296" i="26" s="1"/>
  <c r="BA534" i="26"/>
  <c r="BE534" i="26" s="1"/>
  <c r="BB494" i="26"/>
  <c r="BF494" i="26" s="1"/>
  <c r="BA302" i="26"/>
  <c r="BE302" i="26" s="1"/>
  <c r="BB455" i="26"/>
  <c r="BF455" i="26" s="1"/>
  <c r="BA388" i="26"/>
  <c r="BE388" i="26" s="1"/>
  <c r="BB398" i="26"/>
  <c r="BF398" i="26" s="1"/>
  <c r="BA535" i="26"/>
  <c r="BE535" i="26" s="1"/>
  <c r="BB511" i="26"/>
  <c r="BF511" i="26" s="1"/>
  <c r="BB487" i="26"/>
  <c r="BF487" i="26" s="1"/>
  <c r="BA447" i="26"/>
  <c r="BE447" i="26" s="1"/>
  <c r="BB423" i="26"/>
  <c r="BF423" i="26" s="1"/>
  <c r="BA383" i="26"/>
  <c r="BE383" i="26" s="1"/>
  <c r="BB359" i="26"/>
  <c r="BF359" i="26" s="1"/>
  <c r="BA319" i="26"/>
  <c r="BE319" i="26" s="1"/>
  <c r="BB297" i="26"/>
  <c r="BF297" i="26" s="1"/>
  <c r="BA552" i="26"/>
  <c r="BE552" i="26" s="1"/>
  <c r="BB512" i="26"/>
  <c r="BF512" i="26" s="1"/>
  <c r="BA488" i="26"/>
  <c r="BE488" i="26" s="1"/>
  <c r="BB448" i="26"/>
  <c r="BF448" i="26" s="1"/>
  <c r="BB424" i="26"/>
  <c r="BF424" i="26" s="1"/>
  <c r="BA408" i="26"/>
  <c r="BE408" i="26" s="1"/>
  <c r="BB384" i="26"/>
  <c r="BF384" i="26" s="1"/>
  <c r="BA360" i="26"/>
  <c r="BE360" i="26" s="1"/>
  <c r="BA344" i="26"/>
  <c r="BE344" i="26" s="1"/>
  <c r="BA529" i="26"/>
  <c r="BE529" i="26" s="1"/>
  <c r="BB505" i="26"/>
  <c r="BF505" i="26" s="1"/>
  <c r="BB377" i="26"/>
  <c r="BF377" i="26" s="1"/>
  <c r="BB361" i="26"/>
  <c r="BF361" i="26" s="1"/>
  <c r="BB313" i="26"/>
  <c r="BF313" i="26" s="1"/>
  <c r="BB546" i="26"/>
  <c r="BF546" i="26" s="1"/>
  <c r="BA506" i="26"/>
  <c r="BE506" i="26" s="1"/>
  <c r="BA458" i="26"/>
  <c r="BE458" i="26" s="1"/>
  <c r="BB442" i="26"/>
  <c r="BF442" i="26" s="1"/>
  <c r="BA394" i="26"/>
  <c r="BE394" i="26" s="1"/>
  <c r="BB378" i="26"/>
  <c r="BF378" i="26" s="1"/>
  <c r="BB314" i="26"/>
  <c r="BF314" i="26" s="1"/>
  <c r="BB547" i="26"/>
  <c r="BF547" i="26" s="1"/>
  <c r="BB483" i="26"/>
  <c r="BF483" i="26" s="1"/>
  <c r="BB419" i="26"/>
  <c r="BF419" i="26" s="1"/>
  <c r="BB355" i="26"/>
  <c r="BF355" i="26" s="1"/>
  <c r="BA508" i="26"/>
  <c r="BE508" i="26" s="1"/>
  <c r="BB316" i="26"/>
  <c r="BF316" i="26" s="1"/>
  <c r="BB566" i="26"/>
  <c r="BF566" i="26" s="1"/>
  <c r="BA542" i="26"/>
  <c r="BE542" i="26" s="1"/>
  <c r="BB526" i="26"/>
  <c r="BF526" i="26" s="1"/>
  <c r="BA502" i="26"/>
  <c r="BE502" i="26" s="1"/>
  <c r="BB478" i="26"/>
  <c r="BF478" i="26" s="1"/>
  <c r="BB462" i="26"/>
  <c r="BF462" i="26" s="1"/>
  <c r="BB438" i="26"/>
  <c r="BF438" i="26" s="1"/>
  <c r="BA398" i="26"/>
  <c r="BE398" i="26" s="1"/>
  <c r="BB350" i="26"/>
  <c r="BF350" i="26" s="1"/>
  <c r="BB551" i="26"/>
  <c r="BF551" i="26" s="1"/>
  <c r="BA511" i="26"/>
  <c r="BE511" i="26" s="1"/>
  <c r="BA487" i="26"/>
  <c r="BE487" i="26" s="1"/>
  <c r="BB463" i="26"/>
  <c r="BF463" i="26" s="1"/>
  <c r="BA423" i="26"/>
  <c r="BE423" i="26" s="1"/>
  <c r="BB399" i="26"/>
  <c r="BF399" i="26" s="1"/>
  <c r="BA359" i="26"/>
  <c r="BE359" i="26" s="1"/>
  <c r="BB335" i="26"/>
  <c r="BF335" i="26" s="1"/>
  <c r="BB295" i="26"/>
  <c r="BF295" i="26" s="1"/>
  <c r="BA512" i="26"/>
  <c r="BE512" i="26" s="1"/>
  <c r="BB464" i="26"/>
  <c r="BF464" i="26" s="1"/>
  <c r="BA448" i="26"/>
  <c r="BE448" i="26" s="1"/>
  <c r="BA424" i="26"/>
  <c r="BE424" i="26" s="1"/>
  <c r="BB400" i="26"/>
  <c r="BF400" i="26" s="1"/>
  <c r="BA384" i="26"/>
  <c r="BE384" i="26" s="1"/>
  <c r="BB336" i="26"/>
  <c r="BF336" i="26" s="1"/>
  <c r="BB320" i="26"/>
  <c r="BF320" i="26" s="1"/>
  <c r="BB569" i="26"/>
  <c r="BF569" i="26" s="1"/>
  <c r="BB545" i="26"/>
  <c r="BF545" i="26" s="1"/>
  <c r="BA505" i="26"/>
  <c r="BE505" i="26" s="1"/>
  <c r="BB465" i="26"/>
  <c r="BF465" i="26" s="1"/>
  <c r="BB441" i="26"/>
  <c r="BF441" i="26" s="1"/>
  <c r="BB401" i="26"/>
  <c r="BF401" i="26" s="1"/>
  <c r="BA377" i="26"/>
  <c r="BE377" i="26" s="1"/>
  <c r="BA353" i="26"/>
  <c r="BE353" i="26" s="1"/>
  <c r="BB337" i="26"/>
  <c r="BF337" i="26" s="1"/>
  <c r="BA313" i="26"/>
  <c r="BE313" i="26" s="1"/>
  <c r="BA546" i="26"/>
  <c r="BE546" i="26" s="1"/>
  <c r="BB482" i="26"/>
  <c r="BF482" i="26" s="1"/>
  <c r="BB418" i="26"/>
  <c r="BF418" i="26" s="1"/>
  <c r="BB354" i="26"/>
  <c r="BF354" i="26" s="1"/>
  <c r="BA330" i="26"/>
  <c r="BE330" i="26" s="1"/>
  <c r="BA547" i="26"/>
  <c r="BE547" i="26" s="1"/>
  <c r="BB523" i="26"/>
  <c r="BF523" i="26" s="1"/>
  <c r="BA483" i="26"/>
  <c r="BE483" i="26" s="1"/>
  <c r="BA459" i="26"/>
  <c r="BE459" i="26" s="1"/>
  <c r="BA419" i="26"/>
  <c r="BE419" i="26" s="1"/>
  <c r="BA379" i="26"/>
  <c r="BE379" i="26" s="1"/>
  <c r="BA355" i="26"/>
  <c r="BE355" i="26" s="1"/>
  <c r="BB331" i="26"/>
  <c r="BF331" i="26" s="1"/>
  <c r="BA548" i="26"/>
  <c r="BE548" i="26" s="1"/>
  <c r="BB532" i="26"/>
  <c r="BF532" i="26" s="1"/>
  <c r="BB468" i="26"/>
  <c r="BF468" i="26" s="1"/>
  <c r="BB444" i="26"/>
  <c r="BF444" i="26" s="1"/>
  <c r="BB404" i="26"/>
  <c r="BF404" i="26" s="1"/>
  <c r="BA380" i="26"/>
  <c r="BE380" i="26" s="1"/>
  <c r="BA340" i="26"/>
  <c r="BE340" i="26" s="1"/>
  <c r="BA316" i="26"/>
  <c r="BE316" i="26" s="1"/>
  <c r="BB549" i="26"/>
  <c r="BF549" i="26" s="1"/>
  <c r="BB525" i="26"/>
  <c r="BF525" i="26" s="1"/>
  <c r="BB485" i="26"/>
  <c r="BF485" i="26" s="1"/>
  <c r="BB461" i="26"/>
  <c r="BF461" i="26" s="1"/>
  <c r="BA445" i="26"/>
  <c r="BE445" i="26" s="1"/>
  <c r="BB421" i="26"/>
  <c r="BF421" i="26" s="1"/>
  <c r="BA381" i="26"/>
  <c r="BE381" i="26" s="1"/>
  <c r="BB357" i="26"/>
  <c r="BF357" i="26" s="1"/>
  <c r="BB317" i="26"/>
  <c r="BF317" i="26" s="1"/>
  <c r="BA454" i="26"/>
  <c r="BE454" i="26" s="1"/>
  <c r="BB390" i="26"/>
  <c r="BF390" i="26" s="1"/>
  <c r="BA326" i="26"/>
  <c r="BE326" i="26" s="1"/>
  <c r="BB375" i="26"/>
  <c r="BF375" i="26" s="1"/>
  <c r="BA311" i="26"/>
  <c r="BE311" i="26" s="1"/>
  <c r="BB376" i="26"/>
  <c r="BF376" i="26" s="1"/>
  <c r="BB312" i="26"/>
  <c r="BF312" i="26" s="1"/>
  <c r="BB521" i="26"/>
  <c r="BF521" i="26" s="1"/>
  <c r="BB393" i="26"/>
  <c r="BF393" i="26" s="1"/>
  <c r="BA474" i="26"/>
  <c r="BE474" i="26" s="1"/>
  <c r="BA434" i="26"/>
  <c r="BE434" i="26" s="1"/>
  <c r="BA410" i="26"/>
  <c r="BE410" i="26" s="1"/>
  <c r="BB542" i="26"/>
  <c r="BF542" i="26" s="1"/>
  <c r="BA518" i="26"/>
  <c r="BE518" i="26" s="1"/>
  <c r="BA414" i="26"/>
  <c r="BE414" i="26" s="1"/>
  <c r="BA390" i="26"/>
  <c r="BE390" i="26" s="1"/>
  <c r="BA366" i="26"/>
  <c r="BE366" i="26" s="1"/>
  <c r="BB302" i="26"/>
  <c r="BF302" i="26" s="1"/>
  <c r="BB567" i="26"/>
  <c r="BF567" i="26" s="1"/>
  <c r="BA527" i="26"/>
  <c r="BE527" i="26" s="1"/>
  <c r="BB503" i="26"/>
  <c r="BF503" i="26" s="1"/>
  <c r="BB479" i="26"/>
  <c r="BF479" i="26" s="1"/>
  <c r="BB439" i="26"/>
  <c r="BF439" i="26" s="1"/>
  <c r="BB415" i="26"/>
  <c r="BF415" i="26" s="1"/>
  <c r="BA375" i="26"/>
  <c r="BE375" i="26" s="1"/>
  <c r="BB351" i="26"/>
  <c r="BF351" i="26" s="1"/>
  <c r="BA568" i="26"/>
  <c r="BE568" i="26" s="1"/>
  <c r="BA528" i="26"/>
  <c r="BE528" i="26" s="1"/>
  <c r="BB504" i="26"/>
  <c r="BF504" i="26" s="1"/>
  <c r="BB480" i="26"/>
  <c r="BF480" i="26" s="1"/>
  <c r="BA440" i="26"/>
  <c r="BE440" i="26" s="1"/>
  <c r="BB416" i="26"/>
  <c r="BF416" i="26" s="1"/>
  <c r="BA376" i="26"/>
  <c r="BE376" i="26" s="1"/>
  <c r="BA312" i="26"/>
  <c r="BE312" i="26" s="1"/>
  <c r="BA561" i="26"/>
  <c r="BE561" i="26" s="1"/>
  <c r="BA521" i="26"/>
  <c r="BE521" i="26" s="1"/>
  <c r="BB497" i="26"/>
  <c r="BF497" i="26" s="1"/>
  <c r="BA481" i="26"/>
  <c r="BE481" i="26" s="1"/>
  <c r="BB457" i="26"/>
  <c r="BF457" i="26" s="1"/>
  <c r="BA417" i="26"/>
  <c r="BE417" i="26" s="1"/>
  <c r="BA393" i="26"/>
  <c r="BE393" i="26" s="1"/>
  <c r="BB353" i="26"/>
  <c r="BF353" i="26" s="1"/>
  <c r="BB329" i="26"/>
  <c r="BF329" i="26" s="1"/>
  <c r="BA562" i="26"/>
  <c r="BE562" i="26" s="1"/>
  <c r="BB538" i="26"/>
  <c r="BF538" i="26" s="1"/>
  <c r="BA306" i="26"/>
  <c r="BE306" i="26" s="1"/>
  <c r="BA563" i="26"/>
  <c r="BE563" i="26" s="1"/>
  <c r="BA499" i="26"/>
  <c r="BE499" i="26" s="1"/>
  <c r="BB459" i="26"/>
  <c r="BF459" i="26" s="1"/>
  <c r="BB435" i="26"/>
  <c r="BF435" i="26" s="1"/>
  <c r="BA395" i="26"/>
  <c r="BE395" i="26" s="1"/>
  <c r="BB371" i="26"/>
  <c r="BF371" i="26" s="1"/>
  <c r="BB548" i="26"/>
  <c r="BF548" i="26" s="1"/>
  <c r="BA500" i="26"/>
  <c r="BE500" i="26" s="1"/>
  <c r="BA484" i="26"/>
  <c r="BE484" i="26" s="1"/>
  <c r="BB460" i="26"/>
  <c r="BF460" i="26" s="1"/>
  <c r="BA420" i="26"/>
  <c r="BE420" i="26" s="1"/>
  <c r="BB309" i="26"/>
  <c r="BF309" i="26" s="1"/>
  <c r="BB474" i="26"/>
  <c r="BF474" i="26" s="1"/>
  <c r="BB410" i="26"/>
  <c r="BF410" i="26" s="1"/>
  <c r="BB346" i="26"/>
  <c r="BF346" i="26" s="1"/>
  <c r="BB307" i="26"/>
  <c r="BF307" i="26" s="1"/>
  <c r="BA332" i="26"/>
  <c r="BE332" i="26" s="1"/>
  <c r="BA308" i="26"/>
  <c r="BE308" i="26" s="1"/>
  <c r="BA373" i="26"/>
  <c r="BE373" i="26" s="1"/>
  <c r="BA309" i="26"/>
  <c r="BE309" i="26" s="1"/>
  <c r="BA558" i="26"/>
  <c r="BE558" i="26" s="1"/>
  <c r="BA470" i="26"/>
  <c r="BE470" i="26" s="1"/>
  <c r="BA430" i="26"/>
  <c r="BE430" i="26" s="1"/>
  <c r="BA406" i="26"/>
  <c r="BE406" i="26" s="1"/>
  <c r="BA342" i="26"/>
  <c r="BE342" i="26" s="1"/>
  <c r="BA543" i="26"/>
  <c r="BE543" i="26" s="1"/>
  <c r="BB519" i="26"/>
  <c r="BF519" i="26" s="1"/>
  <c r="BA391" i="26"/>
  <c r="BE391" i="26" s="1"/>
  <c r="BA327" i="26"/>
  <c r="BE327" i="26" s="1"/>
  <c r="BA296" i="26"/>
  <c r="BE296" i="26" s="1"/>
  <c r="BA544" i="26"/>
  <c r="BE544" i="26" s="1"/>
  <c r="BB520" i="26"/>
  <c r="BF520" i="26" s="1"/>
  <c r="BA352" i="26"/>
  <c r="BE352" i="26" s="1"/>
  <c r="BB328" i="26"/>
  <c r="BF328" i="26" s="1"/>
  <c r="BA537" i="26"/>
  <c r="BE537" i="26" s="1"/>
  <c r="BA433" i="26"/>
  <c r="BE433" i="26" s="1"/>
  <c r="BA409" i="26"/>
  <c r="BE409" i="26" s="1"/>
  <c r="BB369" i="26"/>
  <c r="BF369" i="26" s="1"/>
  <c r="BB305" i="26"/>
  <c r="BF305" i="26" s="1"/>
  <c r="BB554" i="26"/>
  <c r="BF554" i="26" s="1"/>
  <c r="BA514" i="26"/>
  <c r="BE514" i="26" s="1"/>
  <c r="BB490" i="26"/>
  <c r="BF490" i="26" s="1"/>
  <c r="BB450" i="26"/>
  <c r="BF450" i="26" s="1"/>
  <c r="BB386" i="26"/>
  <c r="BF386" i="26" s="1"/>
  <c r="BB322" i="26"/>
  <c r="BF322" i="26" s="1"/>
  <c r="BA298" i="26"/>
  <c r="BE298" i="26" s="1"/>
  <c r="BA515" i="26"/>
  <c r="BE515" i="26" s="1"/>
  <c r="BA475" i="26"/>
  <c r="BE475" i="26" s="1"/>
  <c r="BB451" i="26"/>
  <c r="BF451" i="26" s="1"/>
  <c r="BA411" i="26"/>
  <c r="BE411" i="26" s="1"/>
  <c r="BB347" i="26"/>
  <c r="BF347" i="26" s="1"/>
  <c r="BA323" i="26"/>
  <c r="BE323" i="26" s="1"/>
  <c r="BB564" i="26"/>
  <c r="BF564" i="26" s="1"/>
  <c r="BA349" i="26"/>
  <c r="BE349" i="26" s="1"/>
  <c r="BB534" i="26"/>
  <c r="BF534" i="26" s="1"/>
  <c r="BA510" i="26"/>
  <c r="BE510" i="26" s="1"/>
  <c r="BB486" i="26"/>
  <c r="BF486" i="26" s="1"/>
  <c r="BA446" i="26"/>
  <c r="BE446" i="26" s="1"/>
  <c r="BB422" i="26"/>
  <c r="BF422" i="26" s="1"/>
  <c r="BB382" i="26"/>
  <c r="BF382" i="26" s="1"/>
  <c r="BB358" i="26"/>
  <c r="BF358" i="26" s="1"/>
  <c r="BB318" i="26"/>
  <c r="BF318" i="26" s="1"/>
  <c r="BB559" i="26"/>
  <c r="BF559" i="26" s="1"/>
  <c r="BA519" i="26"/>
  <c r="BE519" i="26" s="1"/>
  <c r="BB495" i="26"/>
  <c r="BF495" i="26" s="1"/>
  <c r="BA471" i="26"/>
  <c r="BE471" i="26" s="1"/>
  <c r="BA431" i="26"/>
  <c r="BE431" i="26" s="1"/>
  <c r="BA407" i="26"/>
  <c r="BE407" i="26" s="1"/>
  <c r="BA367" i="26"/>
  <c r="BE367" i="26" s="1"/>
  <c r="BB343" i="26"/>
  <c r="BF343" i="26" s="1"/>
  <c r="BA303" i="26"/>
  <c r="BE303" i="26" s="1"/>
  <c r="BA297" i="26"/>
  <c r="BE297" i="26" s="1"/>
  <c r="BB536" i="26"/>
  <c r="BF536" i="26" s="1"/>
  <c r="BA520" i="26"/>
  <c r="BE520" i="26" s="1"/>
  <c r="BA496" i="26"/>
  <c r="BE496" i="26" s="1"/>
  <c r="BB472" i="26"/>
  <c r="BF472" i="26" s="1"/>
  <c r="BB456" i="26"/>
  <c r="BF456" i="26" s="1"/>
  <c r="BB432" i="26"/>
  <c r="BF432" i="26" s="1"/>
  <c r="BA392" i="26"/>
  <c r="BE392" i="26" s="1"/>
  <c r="BA368" i="26"/>
  <c r="BE368" i="26" s="1"/>
  <c r="BA328" i="26"/>
  <c r="BE328" i="26" s="1"/>
  <c r="BB304" i="26"/>
  <c r="BF304" i="26" s="1"/>
  <c r="BB553" i="26"/>
  <c r="BF553" i="26" s="1"/>
  <c r="BA513" i="26"/>
  <c r="BE513" i="26" s="1"/>
  <c r="BB489" i="26"/>
  <c r="BF489" i="26" s="1"/>
  <c r="BA449" i="26"/>
  <c r="BE449" i="26" s="1"/>
  <c r="BB425" i="26"/>
  <c r="BF425" i="26" s="1"/>
  <c r="BB385" i="26"/>
  <c r="BF385" i="26" s="1"/>
  <c r="BB345" i="26"/>
  <c r="BF345" i="26" s="1"/>
  <c r="BB321" i="26"/>
  <c r="BF321" i="26" s="1"/>
  <c r="BA554" i="26"/>
  <c r="BE554" i="26" s="1"/>
  <c r="BB530" i="26"/>
  <c r="BF530" i="26" s="1"/>
  <c r="BA490" i="26"/>
  <c r="BE490" i="26" s="1"/>
  <c r="BA466" i="26"/>
  <c r="BE466" i="26" s="1"/>
  <c r="BB426" i="26"/>
  <c r="BF426" i="26" s="1"/>
  <c r="BA402" i="26"/>
  <c r="BE402" i="26" s="1"/>
  <c r="BB362" i="26"/>
  <c r="BF362" i="26" s="1"/>
  <c r="BA338" i="26"/>
  <c r="BE338" i="26" s="1"/>
  <c r="BA555" i="26"/>
  <c r="BE555" i="26" s="1"/>
  <c r="BA491" i="26"/>
  <c r="BE491" i="26" s="1"/>
  <c r="BA451" i="26"/>
  <c r="BE451" i="26" s="1"/>
  <c r="BB427" i="26"/>
  <c r="BF427" i="26" s="1"/>
  <c r="BB387" i="26"/>
  <c r="BF387" i="26" s="1"/>
  <c r="BB363" i="26"/>
  <c r="BF363" i="26" s="1"/>
  <c r="BB299" i="26"/>
  <c r="BF299" i="26" s="1"/>
  <c r="BB540" i="26"/>
  <c r="BF540" i="26" s="1"/>
  <c r="BA348" i="26"/>
  <c r="BE348" i="26" s="1"/>
  <c r="BB324" i="26"/>
  <c r="BF324" i="26" s="1"/>
  <c r="BA294" i="26"/>
  <c r="BE294" i="26" s="1"/>
  <c r="BB557" i="26"/>
  <c r="BF557" i="26" s="1"/>
  <c r="BB517" i="26"/>
  <c r="BF517" i="26" s="1"/>
  <c r="BB493" i="26"/>
  <c r="BF493" i="26" s="1"/>
  <c r="BA453" i="26"/>
  <c r="BE453" i="26" s="1"/>
  <c r="BB429" i="26"/>
  <c r="BF429" i="26" s="1"/>
  <c r="BB405" i="26"/>
  <c r="BF405" i="26" s="1"/>
  <c r="BA389" i="26"/>
  <c r="BE389" i="26" s="1"/>
  <c r="BB365" i="26"/>
  <c r="BF365" i="26" s="1"/>
  <c r="BA325" i="26"/>
  <c r="BE325" i="26" s="1"/>
  <c r="BB510" i="26"/>
  <c r="BF510" i="26" s="1"/>
  <c r="BB446" i="26"/>
  <c r="BF446" i="26" s="1"/>
  <c r="BB303" i="26"/>
  <c r="BF303" i="26" s="1"/>
  <c r="BB449" i="26"/>
  <c r="BF449" i="26" s="1"/>
  <c r="BB466" i="26"/>
  <c r="BF466" i="26" s="1"/>
  <c r="BB402" i="26"/>
  <c r="BF402" i="26" s="1"/>
  <c r="BB338" i="26"/>
  <c r="BF338" i="26" s="1"/>
  <c r="BA531" i="26"/>
  <c r="BE531" i="26" s="1"/>
  <c r="BB507" i="26"/>
  <c r="BF507" i="26" s="1"/>
  <c r="BA467" i="26"/>
  <c r="BE467" i="26" s="1"/>
  <c r="BA427" i="26"/>
  <c r="BE427" i="26" s="1"/>
  <c r="BA403" i="26"/>
  <c r="BE403" i="26" s="1"/>
  <c r="BA363" i="26"/>
  <c r="BE363" i="26" s="1"/>
  <c r="BB339" i="26"/>
  <c r="BF339" i="26" s="1"/>
  <c r="BA299" i="26"/>
  <c r="BE299" i="26" s="1"/>
  <c r="BA532" i="26"/>
  <c r="BE532" i="26" s="1"/>
  <c r="BB516" i="26"/>
  <c r="BF516" i="26" s="1"/>
  <c r="BA468" i="26"/>
  <c r="BE468" i="26" s="1"/>
  <c r="BB452" i="26"/>
  <c r="BF452" i="26" s="1"/>
  <c r="BA428" i="26"/>
  <c r="BE428" i="26" s="1"/>
  <c r="BA404" i="26"/>
  <c r="BE404" i="26" s="1"/>
  <c r="BB388" i="26"/>
  <c r="BF388" i="26" s="1"/>
  <c r="BB364" i="26"/>
  <c r="BF364" i="26" s="1"/>
  <c r="BA324" i="26"/>
  <c r="BE324" i="26" s="1"/>
  <c r="BB300" i="26"/>
  <c r="BF300" i="26" s="1"/>
  <c r="BA317" i="26"/>
  <c r="BE317" i="26" s="1"/>
  <c r="G10" i="23"/>
  <c r="D18" i="21"/>
  <c r="F10" i="23"/>
  <c r="E10" i="23"/>
  <c r="D32" i="21" l="1"/>
  <c r="D16" i="21"/>
  <c r="D20" i="21" s="1"/>
  <c r="D22" i="21" s="1"/>
  <c r="D10" i="23"/>
  <c r="D23" i="2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Idrissa Tionitio KARAMA</author>
  </authors>
  <commentList>
    <comment ref="D11" authorId="0" shapeId="0" xr:uid="{00000000-0006-0000-0100-000001000000}">
      <text>
        <r>
          <rPr>
            <b/>
            <sz val="10"/>
            <color rgb="FF000000"/>
            <rFont val="Tahoma"/>
            <family val="2"/>
          </rPr>
          <t>Idrissa Tionitio KARAMA: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Tahoma"/>
            <family val="2"/>
          </rPr>
          <t xml:space="preserve">a voir la pertinence pour le PAM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<sst xmlns="http://schemas.openxmlformats.org/spreadsheetml/2006/main" count="4828" uniqueCount="960">
  <si>
    <t>Type</t>
  </si>
  <si>
    <t>Type de prime</t>
  </si>
  <si>
    <t>Date d'expiration</t>
  </si>
  <si>
    <t>Garanties</t>
  </si>
  <si>
    <t>Définitions</t>
  </si>
  <si>
    <t>Forme de la police</t>
  </si>
  <si>
    <t>(1)</t>
  </si>
  <si>
    <t>Description du produit</t>
  </si>
  <si>
    <t>Produit</t>
  </si>
  <si>
    <t>Tarification</t>
  </si>
  <si>
    <t>Commissions</t>
  </si>
  <si>
    <t>Trimestre 1</t>
  </si>
  <si>
    <t>Commission Distribution</t>
  </si>
  <si>
    <t>Taxes</t>
  </si>
  <si>
    <t>Prime commerciale annuelle TTC</t>
  </si>
  <si>
    <t>Tarification du produit</t>
  </si>
  <si>
    <t>Reprises de commissions</t>
  </si>
  <si>
    <t>NA</t>
  </si>
  <si>
    <t>Commissions &amp; Frais</t>
  </si>
  <si>
    <t>Frais de gestion, commissions de distribution, et taxes</t>
  </si>
  <si>
    <t>Produit Agricole Indiciel</t>
  </si>
  <si>
    <t>--- faible secheresse</t>
  </si>
  <si>
    <t>--- moyenne secheresse</t>
  </si>
  <si>
    <t>--- forte secheresse</t>
  </si>
  <si>
    <t>Country</t>
  </si>
  <si>
    <t>Region</t>
  </si>
  <si>
    <t>Centre</t>
  </si>
  <si>
    <t>Nord</t>
  </si>
  <si>
    <t>Frequence</t>
  </si>
  <si>
    <t>Faible</t>
  </si>
  <si>
    <t>Moyenne</t>
  </si>
  <si>
    <t>Severe</t>
  </si>
  <si>
    <t>FCFA</t>
  </si>
  <si>
    <t>Chargement pour distribution</t>
  </si>
  <si>
    <t>Trimestre 2</t>
  </si>
  <si>
    <t>Trimestre 3</t>
  </si>
  <si>
    <t>Marge et frais de l'assureur</t>
  </si>
  <si>
    <t>Trimestre 4</t>
  </si>
  <si>
    <t>Taux de prime</t>
  </si>
  <si>
    <t>Taux de sinistres</t>
  </si>
  <si>
    <t>Ratio S/P</t>
  </si>
  <si>
    <t>Date d'effet</t>
  </si>
  <si>
    <t>Région: région d'activités de l'Assuré</t>
  </si>
  <si>
    <t>Période de cotisation</t>
  </si>
  <si>
    <t>Contrat Agricole Indiciel</t>
  </si>
  <si>
    <t>a</t>
  </si>
  <si>
    <t>b</t>
  </si>
  <si>
    <t>c</t>
  </si>
  <si>
    <t>h</t>
  </si>
  <si>
    <t>Frequences (Cumulatives) Secheresse:</t>
  </si>
  <si>
    <t>Frequences (Specifiques) Secheresse:</t>
  </si>
  <si>
    <t>&gt;=Faible</t>
  </si>
  <si>
    <t>&gt;=Moyenne</t>
  </si>
  <si>
    <t>&gt;=Severe</t>
  </si>
  <si>
    <t>DIABO</t>
  </si>
  <si>
    <t>GOGO</t>
  </si>
  <si>
    <t>Diabo</t>
  </si>
  <si>
    <t>Gogo</t>
  </si>
  <si>
    <t>WRSI - Valeurs observées 2001-2020</t>
  </si>
  <si>
    <t>WRSI - deviations 2001-2020</t>
  </si>
  <si>
    <t>Moy</t>
  </si>
  <si>
    <t>Forte</t>
  </si>
  <si>
    <t>Prime de risque annuelle secheresse</t>
  </si>
  <si>
    <t>Prime commerciale annuelle HT - Secheresse</t>
  </si>
  <si>
    <t>Prime commerciale annuelle HT - DC</t>
  </si>
  <si>
    <t>--- DC</t>
  </si>
  <si>
    <t>dx (CIMA H)</t>
  </si>
  <si>
    <t>qx (CIMA H)</t>
  </si>
  <si>
    <t>Lx (CIMA H)</t>
  </si>
  <si>
    <t>Age</t>
  </si>
  <si>
    <t>Table de mortalité CIMA H</t>
  </si>
  <si>
    <t>Prime unique</t>
  </si>
  <si>
    <t>Vente</t>
  </si>
  <si>
    <t>Modele et donnees historiques 2001 - 2024: Africa Risk View</t>
  </si>
  <si>
    <t>Pop agricole</t>
  </si>
  <si>
    <t>N°</t>
  </si>
  <si>
    <t>DEPARTEMENT/REGION/DISTRICT</t>
  </si>
  <si>
    <t>SOUS-PREFECTURE</t>
  </si>
  <si>
    <t>HOMMES</t>
  </si>
  <si>
    <t>FEMMES</t>
  </si>
  <si>
    <t>TOTAL</t>
  </si>
  <si>
    <t>Population agri</t>
  </si>
  <si>
    <t xml:space="preserve">ABIDJAN </t>
  </si>
  <si>
    <t xml:space="preserve">ABOBO </t>
  </si>
  <si>
    <t>ADJAME</t>
  </si>
  <si>
    <t>ATTECOUBE</t>
  </si>
  <si>
    <t>COCODY</t>
  </si>
  <si>
    <t>KOUMASSI</t>
  </si>
  <si>
    <t>MARCORY</t>
  </si>
  <si>
    <t>PLATEAU</t>
  </si>
  <si>
    <t>PORT-BOUET</t>
  </si>
  <si>
    <t>TREICHVILLE</t>
  </si>
  <si>
    <t xml:space="preserve">YOPOUGON </t>
  </si>
  <si>
    <t>ANYAMA</t>
  </si>
  <si>
    <t>BINGERVILLE</t>
  </si>
  <si>
    <t>BROFODOUME</t>
  </si>
  <si>
    <t>SONGON</t>
  </si>
  <si>
    <t>ATTIEGOUAKRO</t>
  </si>
  <si>
    <t>LOLOBO (D'ATTIEGOUAKRO)</t>
  </si>
  <si>
    <t>YAMOUSSOUKRO</t>
  </si>
  <si>
    <t>KOSSOU</t>
  </si>
  <si>
    <t>SAN-PEDRO</t>
  </si>
  <si>
    <t>DOBA</t>
  </si>
  <si>
    <t>DOGBO</t>
  </si>
  <si>
    <t>GABIADJI</t>
  </si>
  <si>
    <t>GRAND-BEREBY</t>
  </si>
  <si>
    <t>TABOU</t>
  </si>
  <si>
    <t>DAPO-IBOKE</t>
  </si>
  <si>
    <t>DJAMANDIOKE</t>
  </si>
  <si>
    <t>DJOUROUTOU</t>
  </si>
  <si>
    <t>GRABO</t>
  </si>
  <si>
    <t>OLODIO</t>
  </si>
  <si>
    <t xml:space="preserve">BUYO </t>
  </si>
  <si>
    <t>BUYO</t>
  </si>
  <si>
    <t>DAPEOUA</t>
  </si>
  <si>
    <t>GUEYO</t>
  </si>
  <si>
    <t>DABOUYO</t>
  </si>
  <si>
    <t>MEAGUI</t>
  </si>
  <si>
    <t>GNAMANGUI</t>
  </si>
  <si>
    <t>OUPOYO</t>
  </si>
  <si>
    <t xml:space="preserve">SOUBRE </t>
  </si>
  <si>
    <t>GRAND-ZATTRY</t>
  </si>
  <si>
    <t>LILIYO</t>
  </si>
  <si>
    <t>OKROUYO</t>
  </si>
  <si>
    <t>SOUBRE</t>
  </si>
  <si>
    <t>FRESCO</t>
  </si>
  <si>
    <t>DAHIRI</t>
  </si>
  <si>
    <t>GBAGBAM</t>
  </si>
  <si>
    <t>SASSANDRA</t>
  </si>
  <si>
    <t>DAKPADOU</t>
  </si>
  <si>
    <t>GRIHIRI</t>
  </si>
  <si>
    <t>LOBAKUYA</t>
  </si>
  <si>
    <t>MEDON</t>
  </si>
  <si>
    <t>SAGO</t>
  </si>
  <si>
    <t>ABENGOUROU</t>
  </si>
  <si>
    <t>AMELEKIA</t>
  </si>
  <si>
    <t>ANIASSUE</t>
  </si>
  <si>
    <t>EBILASSOKRO</t>
  </si>
  <si>
    <t>NIABLE</t>
  </si>
  <si>
    <t>YAKASSE-FEYASSE</t>
  </si>
  <si>
    <t>ZARANOU</t>
  </si>
  <si>
    <t>AGNIBILEKROU</t>
  </si>
  <si>
    <t>AKOBOISSUE</t>
  </si>
  <si>
    <t>DAME</t>
  </si>
  <si>
    <t>DUFFREBO</t>
  </si>
  <si>
    <t>TANGUELAN</t>
  </si>
  <si>
    <t>BETTIE</t>
  </si>
  <si>
    <t>DIAMARAKRO</t>
  </si>
  <si>
    <t xml:space="preserve">ABOISSO </t>
  </si>
  <si>
    <t>ABOISSO</t>
  </si>
  <si>
    <t>ADAOU</t>
  </si>
  <si>
    <t>ADJOUAN</t>
  </si>
  <si>
    <t>AYAME</t>
  </si>
  <si>
    <t>BIANOUAN</t>
  </si>
  <si>
    <t>KOUAKRO</t>
  </si>
  <si>
    <t>MAFERE</t>
  </si>
  <si>
    <t>YAOU</t>
  </si>
  <si>
    <t>ADIAKE</t>
  </si>
  <si>
    <t>ASSINIE-MAFIA</t>
  </si>
  <si>
    <t>ETUEBOUE</t>
  </si>
  <si>
    <t>GRAND-BASSAM</t>
  </si>
  <si>
    <t>BONGO</t>
  </si>
  <si>
    <t>BONOUA</t>
  </si>
  <si>
    <t>TIAPOUM</t>
  </si>
  <si>
    <t>NOE</t>
  </si>
  <si>
    <t>NOUAMOU</t>
  </si>
  <si>
    <t>GBELEBAN</t>
  </si>
  <si>
    <t>SAMANGO</t>
  </si>
  <si>
    <t>SEYDOUGOU</t>
  </si>
  <si>
    <t>MADINANI</t>
  </si>
  <si>
    <t>FENGOLO</t>
  </si>
  <si>
    <t>N'Goloblasso</t>
  </si>
  <si>
    <t>ODIENNE</t>
  </si>
  <si>
    <t>BAKO</t>
  </si>
  <si>
    <t>BOUGOUSSO</t>
  </si>
  <si>
    <t>DIOULATIEDOUGOU</t>
  </si>
  <si>
    <t>TIEME</t>
  </si>
  <si>
    <t>SAMATIGUILA</t>
  </si>
  <si>
    <t>KIMBIRILA SUD</t>
  </si>
  <si>
    <t>SEGUELON</t>
  </si>
  <si>
    <t>GBONGAHA</t>
  </si>
  <si>
    <t>KANIASSO</t>
  </si>
  <si>
    <t>GOULIA</t>
  </si>
  <si>
    <t>MAHANDIANA-SOKOURANI</t>
  </si>
  <si>
    <t>MINIGNAN</t>
  </si>
  <si>
    <t>KIMBIRILA-NORD</t>
  </si>
  <si>
    <t>SOKORO</t>
  </si>
  <si>
    <t>TIENKO</t>
  </si>
  <si>
    <t>GAGNOA</t>
  </si>
  <si>
    <t>BAYOTA</t>
  </si>
  <si>
    <t>DAHIEPA-KEHI</t>
  </si>
  <si>
    <t>DIGNAGO</t>
  </si>
  <si>
    <t>DOUGROUPALEGONAO</t>
  </si>
  <si>
    <t>DOUKOUYO</t>
  </si>
  <si>
    <t>GALEBRE / GALEBOUO</t>
  </si>
  <si>
    <t>GNAGBODOUGNOA</t>
  </si>
  <si>
    <t>GUIBEROUA</t>
  </si>
  <si>
    <t>OURAGAHIO</t>
  </si>
  <si>
    <t>SERIHIO</t>
  </si>
  <si>
    <t>YOPOHUE</t>
  </si>
  <si>
    <t>OUME</t>
  </si>
  <si>
    <t>DIEGONEFLA</t>
  </si>
  <si>
    <t>GUEPAHOUO</t>
  </si>
  <si>
    <t>TONLA</t>
  </si>
  <si>
    <t>DIVO</t>
  </si>
  <si>
    <t>CHIEPO</t>
  </si>
  <si>
    <t>DIDOKO</t>
  </si>
  <si>
    <t>HIRE</t>
  </si>
  <si>
    <t>NEBO</t>
  </si>
  <si>
    <t>OGOUDOU</t>
  </si>
  <si>
    <t>ZEGO</t>
  </si>
  <si>
    <t>GUITRY</t>
  </si>
  <si>
    <t>DAIRO-DIDIZO</t>
  </si>
  <si>
    <t>LAUZOUA</t>
  </si>
  <si>
    <t>YOCOBOUE</t>
  </si>
  <si>
    <t>LAKOTA</t>
  </si>
  <si>
    <t>DJIDJI</t>
  </si>
  <si>
    <t>GAGORE</t>
  </si>
  <si>
    <t>GOUDOUKO</t>
  </si>
  <si>
    <t>NIAMBEZARIA</t>
  </si>
  <si>
    <t>ZIKISSO</t>
  </si>
  <si>
    <t xml:space="preserve">DIDIEVI </t>
  </si>
  <si>
    <t>BOLI</t>
  </si>
  <si>
    <t>DIDIEVI</t>
  </si>
  <si>
    <t>MOLONOU-BLE</t>
  </si>
  <si>
    <t>RAVIART</t>
  </si>
  <si>
    <t>Tie N'Diekro</t>
  </si>
  <si>
    <t xml:space="preserve">DJEKANOU </t>
  </si>
  <si>
    <t>BONIKRO</t>
  </si>
  <si>
    <t>DJEKANOU</t>
  </si>
  <si>
    <t xml:space="preserve">TIEBISSOU </t>
  </si>
  <si>
    <t>LOMOKANKRO</t>
  </si>
  <si>
    <t>MOLONOU</t>
  </si>
  <si>
    <t>TIEBISSOU</t>
  </si>
  <si>
    <t>YAKPABO-SAKASSOU</t>
  </si>
  <si>
    <t xml:space="preserve">TOUMODI </t>
  </si>
  <si>
    <t>ANGODA</t>
  </si>
  <si>
    <t>KOKOUMBO</t>
  </si>
  <si>
    <t>KPOUEBO</t>
  </si>
  <si>
    <t>TOUMODI</t>
  </si>
  <si>
    <t xml:space="preserve">DAOUKRO </t>
  </si>
  <si>
    <t>DAOUKRO</t>
  </si>
  <si>
    <t>ETTROKRO</t>
  </si>
  <si>
    <t>N'GATTAKRO</t>
  </si>
  <si>
    <t>SAMANZA</t>
  </si>
  <si>
    <t>M'BAHIAKRO</t>
  </si>
  <si>
    <t>BONGUERA</t>
  </si>
  <si>
    <t>KONDOSSOU</t>
  </si>
  <si>
    <t>OUELLE</t>
  </si>
  <si>
    <t>AKPASSANOU</t>
  </si>
  <si>
    <t>ANANDA</t>
  </si>
  <si>
    <t xml:space="preserve">PRIKRO </t>
  </si>
  <si>
    <t>ANIANOU</t>
  </si>
  <si>
    <t>FAMIENKRO</t>
  </si>
  <si>
    <t>KOFFI-AMONKRO</t>
  </si>
  <si>
    <t>NAFANA-PRIKRO</t>
  </si>
  <si>
    <t>PRIKRO</t>
  </si>
  <si>
    <t xml:space="preserve">BOCANDA </t>
  </si>
  <si>
    <t>BENGASSOU</t>
  </si>
  <si>
    <t>BOCANDA</t>
  </si>
  <si>
    <t>KOUADIOBLEKRO</t>
  </si>
  <si>
    <t>N'Zecrezessou</t>
  </si>
  <si>
    <t xml:space="preserve">DIMBOKRO </t>
  </si>
  <si>
    <t>ABIGUI</t>
  </si>
  <si>
    <t>DIANGOKRO</t>
  </si>
  <si>
    <t>DIMBOKRO</t>
  </si>
  <si>
    <t>NOFOU</t>
  </si>
  <si>
    <t xml:space="preserve">KOUASSI-KOUASSIKRO </t>
  </si>
  <si>
    <t>KOUASSI-KOUASSIKRO</t>
  </si>
  <si>
    <t>MEKRO</t>
  </si>
  <si>
    <t>ARRAH</t>
  </si>
  <si>
    <t>KOTOBI</t>
  </si>
  <si>
    <t>KREGBE</t>
  </si>
  <si>
    <t xml:space="preserve">BONGOUANOU </t>
  </si>
  <si>
    <t>ANDE</t>
  </si>
  <si>
    <t>ASSIE-KOUMASSI</t>
  </si>
  <si>
    <t>BONGOUANOU</t>
  </si>
  <si>
    <t>N’GUESSANKRO-BONGOUANOU</t>
  </si>
  <si>
    <t>M'BATTO</t>
  </si>
  <si>
    <t>ANOUMABA</t>
  </si>
  <si>
    <t>ASSAHARA</t>
  </si>
  <si>
    <t>TIEMELEKRO</t>
  </si>
  <si>
    <t>DABOU</t>
  </si>
  <si>
    <t>LOPOU</t>
  </si>
  <si>
    <t>TOUPAH</t>
  </si>
  <si>
    <t>GRAND-LAHOU</t>
  </si>
  <si>
    <t>AHOUANOU</t>
  </si>
  <si>
    <t>BACANDA</t>
  </si>
  <si>
    <t>EBONOU</t>
  </si>
  <si>
    <t>TOUKOUZOU</t>
  </si>
  <si>
    <t>JACQUEVILLE</t>
  </si>
  <si>
    <t>ATTOUTOU</t>
  </si>
  <si>
    <t xml:space="preserve">AGBOVILLE </t>
  </si>
  <si>
    <t>ABOUDE</t>
  </si>
  <si>
    <t>ANANGUIE</t>
  </si>
  <si>
    <t>AGBOVILLE</t>
  </si>
  <si>
    <t>ATTOBROU</t>
  </si>
  <si>
    <t>AZAGUIE</t>
  </si>
  <si>
    <t xml:space="preserve">CECHI </t>
  </si>
  <si>
    <t>GRAND-MORIE</t>
  </si>
  <si>
    <t>GUESSIGUIE</t>
  </si>
  <si>
    <t>LOVIGUIE</t>
  </si>
  <si>
    <t>ORESS-KROBOU</t>
  </si>
  <si>
    <t>RUBINO</t>
  </si>
  <si>
    <t xml:space="preserve">SIKENSI </t>
  </si>
  <si>
    <t>GOMON</t>
  </si>
  <si>
    <t>SIKENSI</t>
  </si>
  <si>
    <t>TAABO</t>
  </si>
  <si>
    <t>PACOBO</t>
  </si>
  <si>
    <t>TIASSALE</t>
  </si>
  <si>
    <t>GBOLOUVILLE</t>
  </si>
  <si>
    <t>MOROKRO</t>
  </si>
  <si>
    <t>N'DOUCI</t>
  </si>
  <si>
    <t>ADZOPE</t>
  </si>
  <si>
    <t>AGOU</t>
  </si>
  <si>
    <t>ANNEPE</t>
  </si>
  <si>
    <t>ASSIKOI</t>
  </si>
  <si>
    <t>BECEDI-BRIGNAN</t>
  </si>
  <si>
    <t>YAKASSE-ME</t>
  </si>
  <si>
    <t xml:space="preserve">AKOUPE </t>
  </si>
  <si>
    <t>AFFERY</t>
  </si>
  <si>
    <t>AKOUPE</t>
  </si>
  <si>
    <t>BECOUEFIN</t>
  </si>
  <si>
    <t>ALEPE</t>
  </si>
  <si>
    <t>ABOISSO-COMOE</t>
  </si>
  <si>
    <t>ALLOSSO</t>
  </si>
  <si>
    <t>DANGUIRA</t>
  </si>
  <si>
    <t>OGHLWAPO</t>
  </si>
  <si>
    <t>YAKASSE-ATTOBROU</t>
  </si>
  <si>
    <t xml:space="preserve">ABONGOUA </t>
  </si>
  <si>
    <t>BIEBY</t>
  </si>
  <si>
    <t>BIANKOUMA</t>
  </si>
  <si>
    <t>BLAPLEU</t>
  </si>
  <si>
    <t xml:space="preserve">GBANGBEGOUINE </t>
  </si>
  <si>
    <t>GBONNE</t>
  </si>
  <si>
    <t>GOUINE</t>
  </si>
  <si>
    <t>KPATA</t>
  </si>
  <si>
    <t>SANTA-BIANKOUMA</t>
  </si>
  <si>
    <t>DANANE</t>
  </si>
  <si>
    <t>DALEU</t>
  </si>
  <si>
    <t>GBON-HOUYE</t>
  </si>
  <si>
    <t>KOUAN-HOULE</t>
  </si>
  <si>
    <t>MAHAPLEU</t>
  </si>
  <si>
    <t>SEILEU</t>
  </si>
  <si>
    <t>ZONNEU</t>
  </si>
  <si>
    <t>MAN</t>
  </si>
  <si>
    <t>BOGOUINE</t>
  </si>
  <si>
    <t>FAGNAMPLEU</t>
  </si>
  <si>
    <t>GBANGBEGOUINE YATI</t>
  </si>
  <si>
    <t>LOGOUALE</t>
  </si>
  <si>
    <t>PODIAGOUINE</t>
  </si>
  <si>
    <t>SANDOUGOU-SOBA</t>
  </si>
  <si>
    <t>SANGOUINE</t>
  </si>
  <si>
    <t>YAPLEU</t>
  </si>
  <si>
    <t>ZAGOUE</t>
  </si>
  <si>
    <t>ZIOGOUINE</t>
  </si>
  <si>
    <t>SIPILOU</t>
  </si>
  <si>
    <t>YORODOUGOU</t>
  </si>
  <si>
    <t>ZOUAN-HOUNIEN</t>
  </si>
  <si>
    <t>BANNEU</t>
  </si>
  <si>
    <t>BIN-HOUYE</t>
  </si>
  <si>
    <t>GOULALEU</t>
  </si>
  <si>
    <t>TEAPLEU</t>
  </si>
  <si>
    <t>YELLEU</t>
  </si>
  <si>
    <t>BLOLEQUIN</t>
  </si>
  <si>
    <t>DIBOKE</t>
  </si>
  <si>
    <t>DOKE</t>
  </si>
  <si>
    <t>TINHOU</t>
  </si>
  <si>
    <t>ZEAGLO</t>
  </si>
  <si>
    <t>GUIGLO</t>
  </si>
  <si>
    <t>BEDY-GOAZON</t>
  </si>
  <si>
    <t>KAADE</t>
  </si>
  <si>
    <t>NIZAHON</t>
  </si>
  <si>
    <t>TAÏ</t>
  </si>
  <si>
    <t>ZAGNE</t>
  </si>
  <si>
    <t>TOULEPLEU</t>
  </si>
  <si>
    <t>BAKOUBLY</t>
  </si>
  <si>
    <t>MEO</t>
  </si>
  <si>
    <t>NEZOBLY</t>
  </si>
  <si>
    <t>PEHE</t>
  </si>
  <si>
    <t>TIOBLY</t>
  </si>
  <si>
    <t>BANGOLO</t>
  </si>
  <si>
    <t>BEOUE-ZIBIAO</t>
  </si>
  <si>
    <t>BLENIMEOUIN</t>
  </si>
  <si>
    <t>DIEOUZON</t>
  </si>
  <si>
    <t>GOHOUO-ZAGNA</t>
  </si>
  <si>
    <t>GUINGLO-TAHOUAKE</t>
  </si>
  <si>
    <t>KAHIN-ZARABAON</t>
  </si>
  <si>
    <t>ZEO</t>
  </si>
  <si>
    <t>ZOU</t>
  </si>
  <si>
    <t>DUEKOUE</t>
  </si>
  <si>
    <t>BAGOHOUO</t>
  </si>
  <si>
    <t>GBAPLEU</t>
  </si>
  <si>
    <t>GUEHIEBLY</t>
  </si>
  <si>
    <t>GUEZON-DUEKOUE</t>
  </si>
  <si>
    <t>FACOBLY</t>
  </si>
  <si>
    <t>GUEZON (DE FACOBLY)</t>
  </si>
  <si>
    <t>KOUA</t>
  </si>
  <si>
    <t>SEMIEN</t>
  </si>
  <si>
    <t>TIENY-SIABLY</t>
  </si>
  <si>
    <t>KOUIBLY</t>
  </si>
  <si>
    <t>NIDROU</t>
  </si>
  <si>
    <t>OUYABLY-GNONDROU</t>
  </si>
  <si>
    <t>TOTRODROU</t>
  </si>
  <si>
    <t>DALOA</t>
  </si>
  <si>
    <t>BEDIALA</t>
  </si>
  <si>
    <t>GADOUAN</t>
  </si>
  <si>
    <t>GBOGUHE</t>
  </si>
  <si>
    <t>GONATE</t>
  </si>
  <si>
    <t>ZAÏBO</t>
  </si>
  <si>
    <t>ISSIA</t>
  </si>
  <si>
    <t>BOGUEDIA</t>
  </si>
  <si>
    <t>IBOGUHE</t>
  </si>
  <si>
    <t>NAHIO</t>
  </si>
  <si>
    <t>NAMANE</t>
  </si>
  <si>
    <t>SAÏOUA</t>
  </si>
  <si>
    <t>TAPEGUIA</t>
  </si>
  <si>
    <t>VAVOUA</t>
  </si>
  <si>
    <t>BAZRA-NATTIS</t>
  </si>
  <si>
    <t>DANANON</t>
  </si>
  <si>
    <t>DANIA</t>
  </si>
  <si>
    <t>KETTRO-BASSAM</t>
  </si>
  <si>
    <t>SEITIFLA</t>
  </si>
  <si>
    <t>ZOUKOUGBEU</t>
  </si>
  <si>
    <t>DOMANGBEU</t>
  </si>
  <si>
    <t>GREGBEU</t>
  </si>
  <si>
    <t>GUESSABO</t>
  </si>
  <si>
    <t>BONON</t>
  </si>
  <si>
    <t>ZAGUIETA</t>
  </si>
  <si>
    <t>BOUAFLE</t>
  </si>
  <si>
    <t>BEGBESSOU</t>
  </si>
  <si>
    <t>N'DOUFFOUKANKRO</t>
  </si>
  <si>
    <t>PAKOUABO</t>
  </si>
  <si>
    <t>TIBEITA</t>
  </si>
  <si>
    <t>GOHITAFLA</t>
  </si>
  <si>
    <t>IRIEFLA</t>
  </si>
  <si>
    <t>MAMINIGUI</t>
  </si>
  <si>
    <t>SINFRA</t>
  </si>
  <si>
    <t>BAZRE</t>
  </si>
  <si>
    <t>KONONFLA</t>
  </si>
  <si>
    <t>KOUETINFLA</t>
  </si>
  <si>
    <t>ZUENOULA</t>
  </si>
  <si>
    <t>KANZRA</t>
  </si>
  <si>
    <t>VOUEBOUFLA</t>
  </si>
  <si>
    <t>ZANZRA</t>
  </si>
  <si>
    <t>DIKODOUGOU</t>
  </si>
  <si>
    <t>BORON</t>
  </si>
  <si>
    <t>GUIEMBE</t>
  </si>
  <si>
    <t>KORHOGO</t>
  </si>
  <si>
    <t>DASSOUNGBOHO</t>
  </si>
  <si>
    <t>KANOROBA</t>
  </si>
  <si>
    <t>KARAKORO</t>
  </si>
  <si>
    <t>KIEMOU</t>
  </si>
  <si>
    <t>KOMBOLOKOURA</t>
  </si>
  <si>
    <t>KOMBORODOUGOU</t>
  </si>
  <si>
    <t>KONI</t>
  </si>
  <si>
    <t>LATAHA</t>
  </si>
  <si>
    <t>NAFOUN</t>
  </si>
  <si>
    <t>NAPIELEODOUGOU</t>
  </si>
  <si>
    <t>N'GANON</t>
  </si>
  <si>
    <t>NIOFOIN</t>
  </si>
  <si>
    <t>SIRASSO</t>
  </si>
  <si>
    <t>SOHOUO</t>
  </si>
  <si>
    <t>TIORONIARADOUGOU</t>
  </si>
  <si>
    <t>M'BENGUE</t>
  </si>
  <si>
    <t>BOUGOU</t>
  </si>
  <si>
    <t>KATIALI</t>
  </si>
  <si>
    <t>KATOGO</t>
  </si>
  <si>
    <t>SINEMATIALI</t>
  </si>
  <si>
    <t>BAHOUAKAHA</t>
  </si>
  <si>
    <t>KAGBOLODOUGOU</t>
  </si>
  <si>
    <t>Sediogo</t>
  </si>
  <si>
    <t>FERKESSEDOUGOU</t>
  </si>
  <si>
    <t>KOUMBALA</t>
  </si>
  <si>
    <t>TOGONIERE</t>
  </si>
  <si>
    <t>KONG</t>
  </si>
  <si>
    <t>BILIMONO</t>
  </si>
  <si>
    <t>NAFANA(DE KONG)</t>
  </si>
  <si>
    <t>SIKOLO</t>
  </si>
  <si>
    <t>OUANGOLODOUGOU</t>
  </si>
  <si>
    <t>DIAWALA</t>
  </si>
  <si>
    <t>KAOUARA</t>
  </si>
  <si>
    <t>NIELLE</t>
  </si>
  <si>
    <t>TOUMOUKORO</t>
  </si>
  <si>
    <t>BOUNDIALI</t>
  </si>
  <si>
    <t>BAYA</t>
  </si>
  <si>
    <t>GANAONI</t>
  </si>
  <si>
    <t>KASSERE</t>
  </si>
  <si>
    <t>SIEMPURGO</t>
  </si>
  <si>
    <t>KOUTO</t>
  </si>
  <si>
    <t>BLESSEGUE</t>
  </si>
  <si>
    <t>GBON</t>
  </si>
  <si>
    <t>KOLIA</t>
  </si>
  <si>
    <t>SIANHALA</t>
  </si>
  <si>
    <t>TENGRELA</t>
  </si>
  <si>
    <t>DEBETE</t>
  </si>
  <si>
    <t>KANAKONO</t>
  </si>
  <si>
    <t>PAPARA</t>
  </si>
  <si>
    <t>BEOUMI</t>
  </si>
  <si>
    <t>ANDO-KEKRENOU</t>
  </si>
  <si>
    <t>BODOKRO</t>
  </si>
  <si>
    <t>KONDROBO</t>
  </si>
  <si>
    <t>LOLOBO (DE BEOUMI)</t>
  </si>
  <si>
    <t>MARABADIASSA</t>
  </si>
  <si>
    <t>N'GUESSANKRO (DE BEOUMI)</t>
  </si>
  <si>
    <t>BOTRO</t>
  </si>
  <si>
    <t>KROFOINSOU</t>
  </si>
  <si>
    <t>LANGUIBONOU</t>
  </si>
  <si>
    <t>BOUAKE</t>
  </si>
  <si>
    <t>BOUNDA</t>
  </si>
  <si>
    <t>BROBO</t>
  </si>
  <si>
    <t>DJEBONOUA</t>
  </si>
  <si>
    <t>MAMINI</t>
  </si>
  <si>
    <t>SAKASSOU</t>
  </si>
  <si>
    <t>AYAOU-SRAN</t>
  </si>
  <si>
    <t>DIBRI-ASSIRIKRO</t>
  </si>
  <si>
    <t>TOUMODI-SAKASSOU</t>
  </si>
  <si>
    <t>DABAKALA</t>
  </si>
  <si>
    <t>BASSAWA</t>
  </si>
  <si>
    <t>BONIEREDOUGOU</t>
  </si>
  <si>
    <t>FOUMBOLO</t>
  </si>
  <si>
    <t>NIEMENE</t>
  </si>
  <si>
    <t>SATAMA-SOKORO</t>
  </si>
  <si>
    <t>SATAMA-SOKOURA</t>
  </si>
  <si>
    <t>SOKALA-SOBARA</t>
  </si>
  <si>
    <t>TENDENE-BAMBARASS</t>
  </si>
  <si>
    <t>YAOSSEDOUGOU</t>
  </si>
  <si>
    <t>KATIOLA</t>
  </si>
  <si>
    <t>FRONAN</t>
  </si>
  <si>
    <t>TIMBE</t>
  </si>
  <si>
    <t>NIAKARAMADOUGOU</t>
  </si>
  <si>
    <t>ARIKOKAHA</t>
  </si>
  <si>
    <t>BADIKAHA</t>
  </si>
  <si>
    <t>NIAKARAMANDOUGOU</t>
  </si>
  <si>
    <t>NIEDIEKAHA</t>
  </si>
  <si>
    <t>TAFIRE</t>
  </si>
  <si>
    <t>TORTIYA</t>
  </si>
  <si>
    <t xml:space="preserve">KANI </t>
  </si>
  <si>
    <t>DJIBROSSO</t>
  </si>
  <si>
    <t>FADIADOUGOU</t>
  </si>
  <si>
    <t>KANI</t>
  </si>
  <si>
    <t>MORONDO</t>
  </si>
  <si>
    <t xml:space="preserve">SEGUELA </t>
  </si>
  <si>
    <t>BOBI</t>
  </si>
  <si>
    <t>Bobi-Diarabana</t>
  </si>
  <si>
    <t>DUALLA</t>
  </si>
  <si>
    <t>KAMALO</t>
  </si>
  <si>
    <t>MASSALA</t>
  </si>
  <si>
    <t>SEGUELA</t>
  </si>
  <si>
    <t>SIFIE</t>
  </si>
  <si>
    <t>WOROFLA</t>
  </si>
  <si>
    <t>DIANRA</t>
  </si>
  <si>
    <t>DIANRA-VILLAGE</t>
  </si>
  <si>
    <t>KOUNAHIRI</t>
  </si>
  <si>
    <t>KONGASSO</t>
  </si>
  <si>
    <t xml:space="preserve">MANKONO </t>
  </si>
  <si>
    <t>BOUANDOUGOU</t>
  </si>
  <si>
    <t>MANKONO</t>
  </si>
  <si>
    <t>MARANDALLAH</t>
  </si>
  <si>
    <t>SARHALA</t>
  </si>
  <si>
    <t>TIENINGBOUE</t>
  </si>
  <si>
    <t>KORO</t>
  </si>
  <si>
    <t>BOOKO</t>
  </si>
  <si>
    <t>BOROTOU</t>
  </si>
  <si>
    <t>MAHANDOUGOU</t>
  </si>
  <si>
    <t>NIOKOSSO</t>
  </si>
  <si>
    <t>OUANINOU</t>
  </si>
  <si>
    <t>GBELO</t>
  </si>
  <si>
    <t>GOUEKAN</t>
  </si>
  <si>
    <t>KOONAN</t>
  </si>
  <si>
    <t>SABOUDOUGOU</t>
  </si>
  <si>
    <t>SANTA (DE OUANINOU)</t>
  </si>
  <si>
    <t>TOUBA</t>
  </si>
  <si>
    <t>DIOMAN</t>
  </si>
  <si>
    <t>FOUNGBESSO</t>
  </si>
  <si>
    <t>GUINTEGUELA</t>
  </si>
  <si>
    <t>BONDOUKOU</t>
  </si>
  <si>
    <t>APPIMADOUM</t>
  </si>
  <si>
    <t>PINDA-BOROKO</t>
  </si>
  <si>
    <t>BONDO</t>
  </si>
  <si>
    <t>GOUMERE</t>
  </si>
  <si>
    <t>LAOUDI-BA</t>
  </si>
  <si>
    <t>SAPLI-SEPINGO</t>
  </si>
  <si>
    <t>SOROBANGO</t>
  </si>
  <si>
    <t>TABAGNE</t>
  </si>
  <si>
    <t>TAGADI</t>
  </si>
  <si>
    <t>TAOUDI</t>
  </si>
  <si>
    <t>YEZIMALA</t>
  </si>
  <si>
    <t>KOUN-FAO</t>
  </si>
  <si>
    <t>BOAHIA</t>
  </si>
  <si>
    <t>KOKOMIAN</t>
  </si>
  <si>
    <t>KOUASSI-DATEKRO</t>
  </si>
  <si>
    <t>TANKESSE</t>
  </si>
  <si>
    <t>TIENKOIKRO</t>
  </si>
  <si>
    <t>SANDEGUE</t>
  </si>
  <si>
    <t>BANDAKAGNI-TOMORA</t>
  </si>
  <si>
    <t>DIMANDOUGOU</t>
  </si>
  <si>
    <t>YOROBODI</t>
  </si>
  <si>
    <t>TRANSUA</t>
  </si>
  <si>
    <t>ASSUEFRY</t>
  </si>
  <si>
    <t>KOUASSIA-NIAGUINI</t>
  </si>
  <si>
    <t>TANDA</t>
  </si>
  <si>
    <t>AMANVI</t>
  </si>
  <si>
    <t>DIAMBA</t>
  </si>
  <si>
    <t>TCHEDIO</t>
  </si>
  <si>
    <t>BOUNA</t>
  </si>
  <si>
    <t>BOUKO</t>
  </si>
  <si>
    <t>ONDEFIDOUO</t>
  </si>
  <si>
    <t>YOUNDOUO</t>
  </si>
  <si>
    <t>DOROPO</t>
  </si>
  <si>
    <t>DANOA</t>
  </si>
  <si>
    <t>KALAMON</t>
  </si>
  <si>
    <t>NIAMOUE</t>
  </si>
  <si>
    <t>NASSIAN</t>
  </si>
  <si>
    <t>BOGOFA</t>
  </si>
  <si>
    <t>KAKPIN</t>
  </si>
  <si>
    <t>KOUTOUBA</t>
  </si>
  <si>
    <t>SOMINASSE</t>
  </si>
  <si>
    <t>TEHINI</t>
  </si>
  <si>
    <t>TOUGBO</t>
  </si>
  <si>
    <t>Abigui</t>
  </si>
  <si>
    <t>Akpassanou</t>
  </si>
  <si>
    <t>Amanvi</t>
  </si>
  <si>
    <t>Ananda</t>
  </si>
  <si>
    <t>Ande</t>
  </si>
  <si>
    <t>Ando-Kekrenou</t>
  </si>
  <si>
    <t>Angoda</t>
  </si>
  <si>
    <t>Anianou</t>
  </si>
  <si>
    <t>Anoumaba</t>
  </si>
  <si>
    <t>Appimadoum</t>
  </si>
  <si>
    <t>Arrah</t>
  </si>
  <si>
    <t>Assahara</t>
  </si>
  <si>
    <t>Assie-Koumassi</t>
  </si>
  <si>
    <t>Assuefry</t>
  </si>
  <si>
    <t>Attiegouakro</t>
  </si>
  <si>
    <t>Ayaou-Sran</t>
  </si>
  <si>
    <t>Begbessou</t>
  </si>
  <si>
    <t>Beoumi</t>
  </si>
  <si>
    <t>Bandakagni-Tomora</t>
  </si>
  <si>
    <t>Bengassou</t>
  </si>
  <si>
    <t>Boahia</t>
  </si>
  <si>
    <t>Bocanda</t>
  </si>
  <si>
    <t>Bodokro</t>
  </si>
  <si>
    <t>Boli</t>
  </si>
  <si>
    <t>Bondo</t>
  </si>
  <si>
    <t>Bondoukou</t>
  </si>
  <si>
    <t>Bongouanou</t>
  </si>
  <si>
    <t>Bonguera</t>
  </si>
  <si>
    <t>Bonikro</t>
  </si>
  <si>
    <t>Bonon</t>
  </si>
  <si>
    <t>Botro</t>
  </si>
  <si>
    <t>Bouafle</t>
  </si>
  <si>
    <t>Bouake</t>
  </si>
  <si>
    <t>Bounda</t>
  </si>
  <si>
    <t>Brobo</t>
  </si>
  <si>
    <t>Daoukro</t>
  </si>
  <si>
    <t>Diamba</t>
  </si>
  <si>
    <t>Diangokro</t>
  </si>
  <si>
    <t>Dibri-Assirikro</t>
  </si>
  <si>
    <t>Didievi</t>
  </si>
  <si>
    <t>Dimandougou</t>
  </si>
  <si>
    <t>Dimbokro</t>
  </si>
  <si>
    <t>Djebonoua</t>
  </si>
  <si>
    <t>Djekanou</t>
  </si>
  <si>
    <t>Ettrokro</t>
  </si>
  <si>
    <t>Famienkro</t>
  </si>
  <si>
    <t>Fronan</t>
  </si>
  <si>
    <t>Gohitafla</t>
  </si>
  <si>
    <t>Goumere</t>
  </si>
  <si>
    <t>Iriefla</t>
  </si>
  <si>
    <t>Kanzra</t>
  </si>
  <si>
    <t>Katiola</t>
  </si>
  <si>
    <t>Koffi-Amonkro</t>
  </si>
  <si>
    <t>Kokomian</t>
  </si>
  <si>
    <t>Kokoumbo</t>
  </si>
  <si>
    <t>Kondossou</t>
  </si>
  <si>
    <t>Kondrobo</t>
  </si>
  <si>
    <t>Kossou</t>
  </si>
  <si>
    <t>Kotobi</t>
  </si>
  <si>
    <t>Kouadioblekro</t>
  </si>
  <si>
    <t>Kouassia-Niaguini</t>
  </si>
  <si>
    <t>Kouassi-Datekro</t>
  </si>
  <si>
    <t>Kouassi-Kouassikro</t>
  </si>
  <si>
    <t>Koun-Fao</t>
  </si>
  <si>
    <t>Kpouebo</t>
  </si>
  <si>
    <t>Kregbe</t>
  </si>
  <si>
    <t>Krofoinsou</t>
  </si>
  <si>
    <t>Languibonou</t>
  </si>
  <si>
    <t>Laoudi-Ba</t>
  </si>
  <si>
    <t>Lomokankro</t>
  </si>
  <si>
    <t>Mekro</t>
  </si>
  <si>
    <t>Mamini</t>
  </si>
  <si>
    <t>Maminigui</t>
  </si>
  <si>
    <t>Marabadiassa</t>
  </si>
  <si>
    <t>M'Bahiakro</t>
  </si>
  <si>
    <t>M'Batto</t>
  </si>
  <si>
    <t>Molonou</t>
  </si>
  <si>
    <t>Molonou-Ble</t>
  </si>
  <si>
    <t>N'Douffoukankro</t>
  </si>
  <si>
    <t>N'Gattakro</t>
  </si>
  <si>
    <t>Nofou</t>
  </si>
  <si>
    <t>Ouelle</t>
  </si>
  <si>
    <t>Pakouabo</t>
  </si>
  <si>
    <t>Pinda-Boroko</t>
  </si>
  <si>
    <t>Prikro</t>
  </si>
  <si>
    <t>Raviart</t>
  </si>
  <si>
    <t>Sakassou</t>
  </si>
  <si>
    <t>Samanza</t>
  </si>
  <si>
    <t>Sandegue</t>
  </si>
  <si>
    <t>Sapli-Sepingo</t>
  </si>
  <si>
    <t>Sorobango</t>
  </si>
  <si>
    <t>Tabagne</t>
  </si>
  <si>
    <t>Tagadi</t>
  </si>
  <si>
    <t>Tanda</t>
  </si>
  <si>
    <t>Tankesse</t>
  </si>
  <si>
    <t>Taoudi</t>
  </si>
  <si>
    <t>Tchedio</t>
  </si>
  <si>
    <t>Tiebissou</t>
  </si>
  <si>
    <t>Tiemelekro</t>
  </si>
  <si>
    <t>Tibeita</t>
  </si>
  <si>
    <t>Tienkoikro</t>
  </si>
  <si>
    <t>Timbe</t>
  </si>
  <si>
    <t>Toumodi</t>
  </si>
  <si>
    <t>Toumodi-Sakassou</t>
  </si>
  <si>
    <t>Transua</t>
  </si>
  <si>
    <t>Voueboufla</t>
  </si>
  <si>
    <t>Yezimala</t>
  </si>
  <si>
    <t>Yakpabo-Sakassou</t>
  </si>
  <si>
    <t>Yamoussoukro</t>
  </si>
  <si>
    <t>Yorobodi</t>
  </si>
  <si>
    <t>Zaguieta</t>
  </si>
  <si>
    <t>Zanzra</t>
  </si>
  <si>
    <t>Zuenoula</t>
  </si>
  <si>
    <t>Arikokaha</t>
  </si>
  <si>
    <t>Badikaha</t>
  </si>
  <si>
    <t>Bahouakaha</t>
  </si>
  <si>
    <t>Bako</t>
  </si>
  <si>
    <t>Bassawa</t>
  </si>
  <si>
    <t>Baya</t>
  </si>
  <si>
    <t>Bazra-Nattis</t>
  </si>
  <si>
    <t>Biankouma</t>
  </si>
  <si>
    <t>Bilimono</t>
  </si>
  <si>
    <t>Blessegue</t>
  </si>
  <si>
    <t>Bogofa</t>
  </si>
  <si>
    <t>Bonieredougou</t>
  </si>
  <si>
    <t>Booko</t>
  </si>
  <si>
    <t>Boron</t>
  </si>
  <si>
    <t>Borotou</t>
  </si>
  <si>
    <t>Bouandougou</t>
  </si>
  <si>
    <t>Bougou</t>
  </si>
  <si>
    <t>Bougousso</t>
  </si>
  <si>
    <t>Bouko</t>
  </si>
  <si>
    <t>Bouna</t>
  </si>
  <si>
    <t>Boundiali</t>
  </si>
  <si>
    <t>Debete</t>
  </si>
  <si>
    <t>Dabakala</t>
  </si>
  <si>
    <t>Dananon</t>
  </si>
  <si>
    <t>Danoa</t>
  </si>
  <si>
    <t>Dassoungboho</t>
  </si>
  <si>
    <t>Dianra</t>
  </si>
  <si>
    <t>Dianra-Village</t>
  </si>
  <si>
    <t>Diawala</t>
  </si>
  <si>
    <t>Dikodougou</t>
  </si>
  <si>
    <t>Dioman</t>
  </si>
  <si>
    <t>Dioulatiedougou</t>
  </si>
  <si>
    <t>Djibrosso</t>
  </si>
  <si>
    <t>Doropo</t>
  </si>
  <si>
    <t>Dualla</t>
  </si>
  <si>
    <t>Fadiadougou</t>
  </si>
  <si>
    <t>Fengolo</t>
  </si>
  <si>
    <t>Ferkessedougou</t>
  </si>
  <si>
    <t>Foumbolo</t>
  </si>
  <si>
    <t>Foungbesso</t>
  </si>
  <si>
    <t>Ganaoni</t>
  </si>
  <si>
    <t>Gbelo</t>
  </si>
  <si>
    <t>Gbeleban</t>
  </si>
  <si>
    <t>Gbon</t>
  </si>
  <si>
    <t>Gbongaha</t>
  </si>
  <si>
    <t>Gouekan</t>
  </si>
  <si>
    <t>Gouine</t>
  </si>
  <si>
    <t>Goulia</t>
  </si>
  <si>
    <t>Guiembe</t>
  </si>
  <si>
    <t>Guinteguela</t>
  </si>
  <si>
    <t>Kagbolodougou</t>
  </si>
  <si>
    <t>Kakpin</t>
  </si>
  <si>
    <t>Kalamon</t>
  </si>
  <si>
    <t>Kamalo</t>
  </si>
  <si>
    <t>Kanakono</t>
  </si>
  <si>
    <t>Kani</t>
  </si>
  <si>
    <t>Kaniasso</t>
  </si>
  <si>
    <t>Kanoroba</t>
  </si>
  <si>
    <t>Kaouara</t>
  </si>
  <si>
    <t>Karakoro</t>
  </si>
  <si>
    <t>Kassere</t>
  </si>
  <si>
    <t>Katiali</t>
  </si>
  <si>
    <t>Katogo</t>
  </si>
  <si>
    <t>Kiemou</t>
  </si>
  <si>
    <t>Kimbirila Sud</t>
  </si>
  <si>
    <t>Kimbirila-Nord</t>
  </si>
  <si>
    <t>Kolia</t>
  </si>
  <si>
    <t>Kombolokoura</t>
  </si>
  <si>
    <t>Komborodougou</t>
  </si>
  <si>
    <t>Kong</t>
  </si>
  <si>
    <t>Kongasso</t>
  </si>
  <si>
    <t>Koni</t>
  </si>
  <si>
    <t>Koonan</t>
  </si>
  <si>
    <t>Korhogo</t>
  </si>
  <si>
    <t>Koro</t>
  </si>
  <si>
    <t>Koumbala</t>
  </si>
  <si>
    <t>Kounahiri</t>
  </si>
  <si>
    <t>Kouto</t>
  </si>
  <si>
    <t>Koutouba</t>
  </si>
  <si>
    <t>Lataha</t>
  </si>
  <si>
    <t>Madinani</t>
  </si>
  <si>
    <t>Mahandiana-Sokourani</t>
  </si>
  <si>
    <t>Mahandougou</t>
  </si>
  <si>
    <t>Mankono</t>
  </si>
  <si>
    <t>Marandallah</t>
  </si>
  <si>
    <t>Massala</t>
  </si>
  <si>
    <t>M'Bengue</t>
  </si>
  <si>
    <t>Minignan</t>
  </si>
  <si>
    <t>Morondo</t>
  </si>
  <si>
    <t>Nafoun</t>
  </si>
  <si>
    <t>Napieleodougou</t>
  </si>
  <si>
    <t>Nassian</t>
  </si>
  <si>
    <t>N'Ganon</t>
  </si>
  <si>
    <t>Niediekaha</t>
  </si>
  <si>
    <t>Niemene</t>
  </si>
  <si>
    <t>Niakaramandougou</t>
  </si>
  <si>
    <t>Niamoue</t>
  </si>
  <si>
    <t>Nielle</t>
  </si>
  <si>
    <t>Niofoin</t>
  </si>
  <si>
    <t>Niokosso</t>
  </si>
  <si>
    <t>Odienne</t>
  </si>
  <si>
    <t>Ondefidouo</t>
  </si>
  <si>
    <t>Ouangolodougou</t>
  </si>
  <si>
    <t>Ouaninou</t>
  </si>
  <si>
    <t>Papara</t>
  </si>
  <si>
    <t>Parc National de Bouna</t>
  </si>
  <si>
    <t>Seguela</t>
  </si>
  <si>
    <t>Seguelon</t>
  </si>
  <si>
    <t>Saboudougou</t>
  </si>
  <si>
    <t>Samango</t>
  </si>
  <si>
    <t>Samatiguila</t>
  </si>
  <si>
    <t>Sarhala</t>
  </si>
  <si>
    <t>Satama-Sokoro</t>
  </si>
  <si>
    <t>Satama-Sokoura</t>
  </si>
  <si>
    <t>Seydougou</t>
  </si>
  <si>
    <t>Sianhala</t>
  </si>
  <si>
    <t>Siempurgo</t>
  </si>
  <si>
    <t>Sifie</t>
  </si>
  <si>
    <t>Sikolo</t>
  </si>
  <si>
    <t>Sinematiali</t>
  </si>
  <si>
    <t>Sirasso</t>
  </si>
  <si>
    <t>Sohouo</t>
  </si>
  <si>
    <t>Sokala-Sobara</t>
  </si>
  <si>
    <t>Sokoro</t>
  </si>
  <si>
    <t>Sominasse</t>
  </si>
  <si>
    <t>Tehini</t>
  </si>
  <si>
    <t>Tafire</t>
  </si>
  <si>
    <t>Tendene-Bambarass</t>
  </si>
  <si>
    <t>Tengrela</t>
  </si>
  <si>
    <t>Tieme</t>
  </si>
  <si>
    <t>Tieningboue</t>
  </si>
  <si>
    <t>Tienko</t>
  </si>
  <si>
    <t>Tioroniaradougou</t>
  </si>
  <si>
    <t>Togoniere</t>
  </si>
  <si>
    <t>Tortiya</t>
  </si>
  <si>
    <t>Touba</t>
  </si>
  <si>
    <t>Tougbo</t>
  </si>
  <si>
    <t>Toumoukoro</t>
  </si>
  <si>
    <t>Worofla</t>
  </si>
  <si>
    <t>Yaossedougou</t>
  </si>
  <si>
    <t>Youndouo</t>
  </si>
  <si>
    <t>Sous prefectures</t>
  </si>
  <si>
    <t>District</t>
  </si>
  <si>
    <t>COTE D'IVOIRE</t>
  </si>
  <si>
    <t>Source: INS</t>
  </si>
  <si>
    <t>Population agricole</t>
  </si>
  <si>
    <t>% indemnisation</t>
  </si>
  <si>
    <t>2001</t>
  </si>
  <si>
    <t>2002</t>
  </si>
  <si>
    <t>2003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</si>
  <si>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</si>
  <si>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</si>
  <si>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</si>
  <si>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</si>
  <si>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</si>
  <si>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</si>
  <si>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</si>
  <si>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</si>
  <si>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</si>
  <si>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</si>
  <si>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</si>
  <si>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</si>
  <si>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</si>
  <si>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</si>
  <si>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</si>
  <si>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</si>
  <si>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</si>
  <si>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</si>
  <si>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</si>
  <si>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</si>
  <si>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</si>
  <si>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WRSI - deviations 2001-2024</t>
  </si>
  <si>
    <r>
      <rPr>
        <b/>
        <sz val="10"/>
        <color theme="1"/>
        <rFont val="Calibri"/>
        <family val="2"/>
        <scheme val="minor"/>
      </rPr>
      <t>En cas de forte sécheresse</t>
    </r>
    <r>
      <rPr>
        <sz val="10"/>
        <color theme="1"/>
        <rFont val="Calibri"/>
        <family val="2"/>
        <scheme val="minor"/>
      </rPr>
      <t xml:space="preserve"> - moins de 75% de la valeur de référence de l'indice WRSI: indemnisation forfaitaire de 100.000 fcfa</t>
    </r>
  </si>
  <si>
    <r>
      <rPr>
        <b/>
        <sz val="10"/>
        <color theme="1"/>
        <rFont val="Calibri"/>
        <family val="2"/>
        <scheme val="minor"/>
      </rPr>
      <t>En cas de moyenne sécheresse</t>
    </r>
    <r>
      <rPr>
        <sz val="10"/>
        <color theme="1"/>
        <rFont val="Calibri"/>
        <family val="2"/>
        <scheme val="minor"/>
      </rPr>
      <t xml:space="preserve"> - entre 76% et 85% de la valeur de référence de l'indice WRSI: indemnité forfaitaire de 50.000 fcfa</t>
    </r>
  </si>
  <si>
    <r>
      <rPr>
        <b/>
        <sz val="10"/>
        <color theme="1"/>
        <rFont val="Calibri"/>
        <family val="2"/>
        <scheme val="minor"/>
      </rPr>
      <t>En cas de décès du producteu</t>
    </r>
    <r>
      <rPr>
        <sz val="10"/>
        <color theme="1"/>
        <rFont val="Calibri"/>
        <family val="2"/>
        <scheme val="minor"/>
      </rPr>
      <t>r : paiement du capital de 100.000 fcfa à la famille du producteur.</t>
    </r>
  </si>
  <si>
    <r>
      <t xml:space="preserve">Paiement des primes entre le </t>
    </r>
    <r>
      <rPr>
        <sz val="10"/>
        <color rgb="FFFF0000"/>
        <rFont val="Calibri (Corps)"/>
      </rPr>
      <t>XXXXXX</t>
    </r>
    <r>
      <rPr>
        <sz val="10"/>
        <color theme="1"/>
        <rFont val="Calibri"/>
        <family val="2"/>
        <scheme val="minor"/>
      </rPr>
      <t xml:space="preserve"> et le </t>
    </r>
    <r>
      <rPr>
        <sz val="10"/>
        <color rgb="FFFF0000"/>
        <rFont val="Calibri (Corps)"/>
      </rPr>
      <t>XXXXXX</t>
    </r>
  </si>
  <si>
    <r>
      <t xml:space="preserve">Date de paiement de l'intégralité de la prime. Remboursement de la prime sans prise d'effet des garanties en cas de non paiement de la cotisation au </t>
    </r>
    <r>
      <rPr>
        <sz val="10"/>
        <color rgb="FFFF0000"/>
        <rFont val="Calibri (Corps)"/>
      </rPr>
      <t>XXXXXXX</t>
    </r>
  </si>
  <si>
    <t>Paiement automatique a l'Assuré du montant garanti selon le niveau de l'indice le 31 Décembre</t>
  </si>
  <si>
    <t>% baisse de l'indice</t>
  </si>
  <si>
    <t>d</t>
  </si>
  <si>
    <t>k</t>
  </si>
  <si>
    <t>p ---&gt; Modele ARV</t>
  </si>
  <si>
    <t>q ---&gt; Modele ARV</t>
  </si>
  <si>
    <t>g</t>
  </si>
  <si>
    <t>r ---&gt; Modele ARV</t>
  </si>
  <si>
    <t>e = p x a + q x (b - a) + r x (c - b)</t>
  </si>
  <si>
    <t>f = s x c</t>
  </si>
  <si>
    <t>i = e / ( 1 - g - h)</t>
  </si>
  <si>
    <t>j = f / ( 1 - g - h)</t>
  </si>
  <si>
    <t>l = i x ( 1 + k ) + j</t>
  </si>
  <si>
    <t>m = ( i + j ) / c</t>
  </si>
  <si>
    <t>n = ( e + f ) / c</t>
  </si>
  <si>
    <t>o = n / m</t>
  </si>
  <si>
    <t>Frequence totale secheresse</t>
  </si>
  <si>
    <t>Prime de risque annuelle deces</t>
  </si>
  <si>
    <t>Frequence totale Deces</t>
  </si>
  <si>
    <t>s ---&gt; TD CIMA 45 ans</t>
  </si>
  <si>
    <t>u = s</t>
  </si>
  <si>
    <t>t = (p x a + q x ( b - a ) + r x ( c - b ) ) / c</t>
  </si>
  <si>
    <t>1. Faible secheresse</t>
  </si>
  <si>
    <t>2. Moyenne secheresse</t>
  </si>
  <si>
    <t>3. Forte secheresse</t>
  </si>
  <si>
    <t>4. Décès de l'agriculteur</t>
  </si>
  <si>
    <t>(2)</t>
  </si>
  <si>
    <t>CIMA H</t>
  </si>
  <si>
    <t>(3)</t>
  </si>
  <si>
    <t>Demographie &amp; Departements - CI</t>
  </si>
  <si>
    <t>Source :</t>
  </si>
  <si>
    <t>https://www.dgi.gouv.ci/assets/documents/LE%20SYSTEME%20FISCAL%20IVOIRIEN.pdf</t>
  </si>
  <si>
    <t>A la souscription de la police, l'Assureur transmet à l'Assuré:
   - une carte d'assurance (conditions générales et conditions particulières)
   - un certificat d'adhésion par SMS ou mail (numéro d'Assuré, nom, prénom, date d'expiration)</t>
  </si>
  <si>
    <t>SIM' Assurances</t>
  </si>
  <si>
    <t>Population Totale</t>
  </si>
  <si>
    <t>Moyen</t>
  </si>
  <si>
    <t>2e déclenchement</t>
  </si>
  <si>
    <t>1er déclenchement</t>
  </si>
  <si>
    <t>3e déclenchement</t>
  </si>
  <si>
    <t>Triggers</t>
  </si>
  <si>
    <t>https://agriculture.gouv.fr/cote-divoire-contexte-agricole-et-relations-internationales#:~:text=La%20population%20ivoirienne%20se%20partage,deux%20tiers%20de%20la%20population.</t>
  </si>
  <si>
    <t>Source population agricole</t>
  </si>
  <si>
    <t>Tx population agricole</t>
  </si>
  <si>
    <t>WRSI: indice de sécheresse défini par la FAO et publié par ARC (l'organisme assureur de l'Union Africaine) pour chaque région de la Côte d'Ivoire; la valeur de référence est la médiane des valeurs des cinq dernières années de l'indice pour une localité donnée.</t>
  </si>
  <si>
    <r>
      <rPr>
        <b/>
        <sz val="10"/>
        <color theme="1"/>
        <rFont val="Calibri"/>
        <family val="2"/>
        <scheme val="minor"/>
      </rPr>
      <t>En cas de faible sécheresse</t>
    </r>
    <r>
      <rPr>
        <sz val="10"/>
        <color theme="1"/>
        <rFont val="Calibri"/>
        <family val="2"/>
        <scheme val="minor"/>
      </rPr>
      <t xml:space="preserve"> - entre 86% et 95% de la valeur de référence de l'indice WRSI: indemnité forfaitaire de 10.000 fcfa</t>
    </r>
  </si>
  <si>
    <t>Taxes - Secheresse</t>
  </si>
  <si>
    <t>Données</t>
  </si>
  <si>
    <t>Les données proviennent du satelitte CHIRP</t>
  </si>
  <si>
    <t>Spéculations</t>
  </si>
  <si>
    <t>Maïs, Mil, Sorgho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</si>
</sst>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3">
    <numFmt numFmtId="43" formatCode="_-* #,##0.00_-;\-* #,##0.00_-;_-* &quot;-&quot;??_-;_-@_-"/>
    <numFmt numFmtId="164" formatCode="_ * #,##0_)_ ;_ * \(#,##0\)_ ;_ * &quot;-&quot;_)_ ;_ @_ "/>
    <numFmt numFmtId="165" formatCode="&quot;$&quot;#,##0_);\(&quot;$&quot;#,##0\)"/>
    <numFmt numFmtId="166" formatCode="_(&quot;$&quot;* #,##0.00_);_(&quot;$&quot;* \(#,##0.00\);_(&quot;$&quot;* &quot;-&quot;??_);_(@_)"/>
    <numFmt numFmtId="167" formatCode="_(* #,##0.00_);_(* \(#,##0.00\);_(* &quot;-&quot;??_);_(@_)"/>
    <numFmt numFmtId="168" formatCode="_-* #,##0.00\ _€_-;\-* #,##0.00\ _€_-;_-* &quot;-&quot;??\ _€_-;_-@_-"/>
    <numFmt numFmtId="169" formatCode="_-&quot;€&quot;\ * #,##0.00_-;\-&quot;€&quot;\ * #,##0.00_-;_-&quot;€&quot;\ * &quot;-&quot;??_-;_-@_-"/>
    <numFmt numFmtId="170" formatCode="#,##0;\(#,##0\)"/>
    <numFmt numFmtId="171" formatCode="_ * #,##0.00_)\ _$_ ;_ * \(#,##0.00\)\ _$_ ;_ * &quot;-&quot;??_)\ _$_ ;_ @_ "/>
    <numFmt numFmtId="172" formatCode="_ * #,##0.00_)\ _€_ ;_ * \(#,##0.00\)\ _€_ ;_ * &quot;-&quot;??_)\ _€_ ;_ @_ "/>
    <numFmt numFmtId="173" formatCode="_(* #,##0.0_);_(* \(#,##0.0\);_(* &quot;-&quot;??_);_(@_)"/>
    <numFmt numFmtId="174" formatCode="_(* #,##0_);_(* \(#,##0\);_(* &quot;-&quot;??_);_(@_)"/>
    <numFmt numFmtId="175" formatCode="0.0%"/>
    <numFmt numFmtId="176" formatCode="_-* #,##0_-;\-* #,##0_-;_-* &quot;-&quot;??_-;_-@_-"/>
    <numFmt numFmtId="177" formatCode="_-&quot;£&quot;* #,##0.00_-;\-&quot;£&quot;* #,##0.00_-;_-&quot;£&quot;* &quot;-&quot;??_-;_-@_-"/>
    <numFmt numFmtId="178" formatCode="0_)"/>
    <numFmt numFmtId="179" formatCode="0.0%;\(0.0%\)"/>
    <numFmt numFmtId="180" formatCode="#,##0.0_);\(#,##0.0\)"/>
    <numFmt numFmtId="181" formatCode="0.0000%"/>
    <numFmt numFmtId="182" formatCode="_-* #,##0\ _€_-;\-* #,##0\ _€_-;_-* &quot;-&quot;??\ _€_-;_-@_-"/>
    <numFmt numFmtId="183" formatCode="_-* #,##0\ _C_F_A_-;\-* #,##0\ _C_F_A_-;_-* &quot;-&quot;??\ _C_F_A_-;_-@_-"/>
    <numFmt numFmtId="184" formatCode="_ * #,##0_)\ [$XOF]_ ;_ * \(#,##0\)\ [$XOF]_ ;_ * &quot;-&quot;_)\ [$XOF]_ ;_ @_ "/>
    <numFmt numFmtId="185" formatCode="0.000%"/>
  </numFmts>
  <fonts count="6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Arial"/>
      <family val="2"/>
    </font>
    <font>
      <sz val="8"/>
      <color indexed="22"/>
      <name val="Arial"/>
      <family val="2"/>
    </font>
    <font>
      <b/>
      <sz val="8"/>
      <name val="Arial"/>
      <family val="2"/>
    </font>
    <font>
      <sz val="10"/>
      <name val="Arial"/>
      <family val="2"/>
    </font>
    <font>
      <sz val="8"/>
      <color indexed="44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sz val="22"/>
      <name val="Arial"/>
      <family val="2"/>
    </font>
    <font>
      <sz val="12"/>
      <name val="Arial"/>
      <family val="2"/>
    </font>
    <font>
      <b/>
      <sz val="10"/>
      <color indexed="12"/>
      <name val="Arial"/>
      <family val="2"/>
    </font>
    <font>
      <sz val="10"/>
      <name val="Calibri"/>
      <family val="2"/>
      <scheme val="minor"/>
    </font>
    <font>
      <i/>
      <sz val="10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0"/>
      <color theme="3"/>
      <name val="Calibri"/>
      <family val="2"/>
      <scheme val="minor"/>
    </font>
    <font>
      <sz val="10"/>
      <color indexed="8"/>
      <name val="Arial"/>
      <family val="2"/>
    </font>
    <font>
      <sz val="12"/>
      <color theme="1"/>
      <name val="Calibri"/>
      <family val="2"/>
      <scheme val="minor"/>
    </font>
    <font>
      <sz val="10"/>
      <color theme="6" tint="-0.499984740745262"/>
      <name val="Calibri"/>
      <family val="2"/>
      <scheme val="minor"/>
    </font>
    <font>
      <sz val="10"/>
      <color rgb="FF0000FF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0"/>
      <name val="Arial Narrow"/>
      <family val="2"/>
    </font>
    <font>
      <b/>
      <sz val="10"/>
      <color theme="4"/>
      <name val="Arial Narrow"/>
      <family val="2"/>
    </font>
    <font>
      <b/>
      <sz val="10"/>
      <name val="Arial Narrow"/>
      <family val="2"/>
    </font>
    <font>
      <b/>
      <sz val="10"/>
      <color theme="1"/>
      <name val="Arial Narrow"/>
      <family val="2"/>
    </font>
    <font>
      <b/>
      <sz val="12"/>
      <name val="Arial"/>
      <family val="2"/>
    </font>
    <font>
      <b/>
      <sz val="14"/>
      <color indexed="9"/>
      <name val="Arial"/>
      <family val="2"/>
    </font>
    <font>
      <b/>
      <sz val="10"/>
      <color theme="0"/>
      <name val="Arial"/>
      <family val="2"/>
    </font>
    <font>
      <b/>
      <sz val="10"/>
      <name val="Arial"/>
      <family val="2"/>
    </font>
    <font>
      <i/>
      <sz val="10"/>
      <color theme="0" tint="-0.499984740745262"/>
      <name val="Calibri"/>
      <family val="2"/>
      <scheme val="minor"/>
    </font>
    <font>
      <i/>
      <sz val="10"/>
      <color theme="6" tint="-0.499984740745262"/>
      <name val="Calibri"/>
      <family val="2"/>
      <scheme val="minor"/>
    </font>
    <font>
      <sz val="7"/>
      <name val="Calibri"/>
      <family val="2"/>
      <scheme val="minor"/>
    </font>
    <font>
      <sz val="12"/>
      <color theme="1"/>
      <name val="Times Roman"/>
    </font>
    <font>
      <i/>
      <sz val="12"/>
      <name val="Times Roman"/>
    </font>
    <font>
      <sz val="12"/>
      <name val="Times Roman"/>
    </font>
    <font>
      <b/>
      <sz val="12"/>
      <name val="Times Roman"/>
    </font>
    <font>
      <sz val="10"/>
      <color rgb="FF000000"/>
      <name val="Arial"/>
      <family val="2"/>
    </font>
    <font>
      <b/>
      <sz val="12"/>
      <name val="Times New Roman"/>
      <family val="1"/>
    </font>
    <font>
      <sz val="12"/>
      <color theme="1"/>
      <name val="Times New Roman"/>
      <family val="1"/>
    </font>
    <font>
      <sz val="12"/>
      <color theme="5" tint="-0.249977111117893"/>
      <name val="Times Roman"/>
    </font>
    <font>
      <sz val="12"/>
      <name val="Times New Roman"/>
      <family val="1"/>
    </font>
    <font>
      <sz val="12"/>
      <color rgb="FF000000"/>
      <name val="Times New Roman"/>
      <family val="1"/>
    </font>
    <font>
      <sz val="10"/>
      <color rgb="FF000000"/>
      <name val="Calibri"/>
      <family val="2"/>
      <scheme val="minor"/>
    </font>
    <font>
      <sz val="8"/>
      <color theme="1"/>
      <name val="Arial"/>
      <family val="2"/>
    </font>
    <font>
      <sz val="8"/>
      <color theme="3"/>
      <name val="Arial"/>
      <family val="2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1"/>
      <name val="Calibri"/>
      <family val="2"/>
    </font>
    <font>
      <sz val="11"/>
      <color rgb="FF1957FF"/>
      <name val="Calibri"/>
      <family val="2"/>
      <scheme val="minor"/>
    </font>
    <font>
      <b/>
      <sz val="10"/>
      <color rgb="FF1957FF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1957FF"/>
      <name val="Calibri"/>
      <family val="2"/>
      <scheme val="minor"/>
    </font>
    <font>
      <sz val="9"/>
      <color rgb="FF1957FF"/>
      <name val="Arial"/>
      <family val="2"/>
    </font>
    <font>
      <b/>
      <sz val="12"/>
      <color theme="1"/>
      <name val="Times Roman"/>
    </font>
    <font>
      <sz val="12"/>
      <color rgb="FFFF0000"/>
      <name val="Times New Roman"/>
      <family val="1"/>
    </font>
    <font>
      <b/>
      <sz val="10"/>
      <color theme="1"/>
      <name val="Calibri"/>
      <family val="2"/>
      <scheme val="minor"/>
    </font>
    <font>
      <sz val="10"/>
      <color rgb="FFFF0000"/>
      <name val="Calibri (Corps)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indexed="14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rgb="FFFFFFCC"/>
      </patternFill>
    </fill>
    <fill>
      <patternFill patternType="solid">
        <fgColor theme="4" tint="0.59999389629810485"/>
        <bgColor indexed="65"/>
      </patternFill>
    </fill>
    <fill>
      <patternFill patternType="solid">
        <fgColor indexed="43"/>
      </patternFill>
    </fill>
    <fill>
      <patternFill patternType="solid">
        <fgColor indexed="9"/>
        <bgColor indexed="64"/>
      </patternFill>
    </fill>
    <fill>
      <patternFill patternType="solid">
        <fgColor rgb="FFD8D7D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ck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837">
    <xf numFmtId="0" fontId="0" fillId="0" borderId="0"/>
    <xf numFmtId="0" fontId="5" fillId="0" borderId="0">
      <alignment horizontal="right"/>
    </xf>
    <xf numFmtId="43" fontId="6" fillId="0" borderId="0" applyFont="0" applyFill="0" applyBorder="0" applyAlignment="0" applyProtection="0"/>
    <xf numFmtId="168" fontId="6" fillId="0" borderId="0" applyFont="0" applyFill="0" applyBorder="0" applyAlignment="0" applyProtection="0"/>
    <xf numFmtId="169" fontId="6" fillId="0" borderId="0" applyFont="0" applyFill="0" applyBorder="0" applyAlignment="0" applyProtection="0"/>
    <xf numFmtId="170" fontId="7" fillId="0" borderId="0"/>
    <xf numFmtId="0" fontId="6" fillId="2" borderId="0"/>
    <xf numFmtId="0" fontId="3" fillId="0" borderId="0"/>
    <xf numFmtId="170" fontId="8" fillId="0" borderId="0">
      <protection locked="0"/>
    </xf>
    <xf numFmtId="170" fontId="9" fillId="0" borderId="0"/>
    <xf numFmtId="0" fontId="6" fillId="0" borderId="0"/>
    <xf numFmtId="0" fontId="6" fillId="0" borderId="0"/>
    <xf numFmtId="0" fontId="4" fillId="0" borderId="0"/>
    <xf numFmtId="0" fontId="10" fillId="0" borderId="0"/>
    <xf numFmtId="9" fontId="6" fillId="0" borderId="0" applyFont="0" applyFill="0" applyBorder="0" applyAlignment="0" applyProtection="0"/>
    <xf numFmtId="170" fontId="3" fillId="0" borderId="0"/>
    <xf numFmtId="0" fontId="11" fillId="0" borderId="0"/>
    <xf numFmtId="0" fontId="6" fillId="0" borderId="0"/>
    <xf numFmtId="0" fontId="12" fillId="0" borderId="0">
      <protection locked="0"/>
    </xf>
    <xf numFmtId="0" fontId="3" fillId="3" borderId="0"/>
    <xf numFmtId="0" fontId="16" fillId="0" borderId="0" applyNumberFormat="0" applyFill="0" applyBorder="0" applyAlignment="0" applyProtection="0"/>
    <xf numFmtId="0" fontId="1" fillId="5" borderId="0" applyNumberFormat="0" applyBorder="0" applyAlignment="0" applyProtection="0"/>
    <xf numFmtId="168" fontId="1" fillId="0" borderId="0" applyFont="0" applyFill="0" applyBorder="0" applyAlignment="0" applyProtection="0"/>
    <xf numFmtId="0" fontId="6" fillId="0" borderId="0"/>
    <xf numFmtId="0" fontId="18" fillId="0" borderId="0"/>
    <xf numFmtId="168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0" fontId="19" fillId="0" borderId="0"/>
    <xf numFmtId="172" fontId="19" fillId="0" borderId="0" applyFont="0" applyFill="0" applyBorder="0" applyAlignment="0" applyProtection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0" fontId="23" fillId="7" borderId="0" applyNumberFormat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8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169" fontId="1" fillId="0" borderId="0" applyFont="0" applyFill="0" applyBorder="0" applyAlignment="0" applyProtection="0"/>
    <xf numFmtId="177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8" fontId="6" fillId="0" borderId="0"/>
    <xf numFmtId="178" fontId="6" fillId="0" borderId="0"/>
    <xf numFmtId="178" fontId="6" fillId="0" borderId="0"/>
    <xf numFmtId="178" fontId="6" fillId="0" borderId="0"/>
    <xf numFmtId="178" fontId="6" fillId="0" borderId="0"/>
    <xf numFmtId="178" fontId="6" fillId="0" borderId="0"/>
    <xf numFmtId="178" fontId="6" fillId="0" borderId="0"/>
    <xf numFmtId="178" fontId="6" fillId="0" borderId="0"/>
    <xf numFmtId="178" fontId="6" fillId="0" borderId="0"/>
    <xf numFmtId="178" fontId="6" fillId="0" borderId="0"/>
    <xf numFmtId="178" fontId="6" fillId="0" borderId="0"/>
    <xf numFmtId="178" fontId="6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4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23" fillId="0" borderId="0">
      <alignment horizontal="center" vertical="center"/>
    </xf>
    <xf numFmtId="0" fontId="23" fillId="0" borderId="0"/>
    <xf numFmtId="0" fontId="23" fillId="0" borderId="0">
      <alignment horizontal="center"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>
      <alignment horizontal="center"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>
      <alignment horizontal="center" vertical="center"/>
    </xf>
    <xf numFmtId="0" fontId="23" fillId="0" borderId="0">
      <alignment horizontal="center" vertical="center"/>
    </xf>
    <xf numFmtId="0" fontId="1" fillId="0" borderId="0"/>
    <xf numFmtId="0" fontId="1" fillId="0" borderId="0"/>
    <xf numFmtId="0" fontId="23" fillId="0" borderId="0">
      <alignment horizontal="center" vertical="center"/>
    </xf>
    <xf numFmtId="0" fontId="1" fillId="0" borderId="0"/>
    <xf numFmtId="0" fontId="23" fillId="0" borderId="0"/>
    <xf numFmtId="0" fontId="1" fillId="0" borderId="0"/>
    <xf numFmtId="0" fontId="1" fillId="0" borderId="0"/>
    <xf numFmtId="0" fontId="23" fillId="0" borderId="0"/>
    <xf numFmtId="0" fontId="23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3" fillId="0" borderId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23" fillId="6" borderId="7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23" fillId="6" borderId="7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23" fillId="6" borderId="7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23" fillId="6" borderId="7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0" fontId="6" fillId="8" borderId="8" applyNumberFormat="0" applyFont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9" borderId="9"/>
    <xf numFmtId="0" fontId="6" fillId="9" borderId="9"/>
    <xf numFmtId="0" fontId="6" fillId="9" borderId="9"/>
    <xf numFmtId="0" fontId="6" fillId="9" borderId="9"/>
    <xf numFmtId="0" fontId="6" fillId="9" borderId="9"/>
    <xf numFmtId="0" fontId="6" fillId="9" borderId="9"/>
    <xf numFmtId="0" fontId="6" fillId="9" borderId="9"/>
    <xf numFmtId="0" fontId="6" fillId="9" borderId="9"/>
    <xf numFmtId="0" fontId="6" fillId="9" borderId="9"/>
    <xf numFmtId="0" fontId="6" fillId="9" borderId="9"/>
    <xf numFmtId="0" fontId="6" fillId="9" borderId="9"/>
    <xf numFmtId="0" fontId="6" fillId="9" borderId="9"/>
    <xf numFmtId="0" fontId="6" fillId="9" borderId="9"/>
    <xf numFmtId="0" fontId="25" fillId="9" borderId="0">
      <alignment horizontal="right" wrapText="1"/>
    </xf>
    <xf numFmtId="0" fontId="26" fillId="9" borderId="0">
      <alignment horizontal="right" wrapText="1"/>
    </xf>
    <xf numFmtId="165" fontId="25" fillId="9" borderId="0">
      <alignment horizontal="right" wrapText="1"/>
    </xf>
    <xf numFmtId="165" fontId="26" fillId="9" borderId="0">
      <alignment horizontal="right" wrapText="1"/>
    </xf>
    <xf numFmtId="165" fontId="25" fillId="9" borderId="0">
      <alignment horizontal="right" wrapText="1"/>
    </xf>
    <xf numFmtId="38" fontId="25" fillId="9" borderId="0">
      <alignment horizontal="right" wrapText="1"/>
    </xf>
    <xf numFmtId="165" fontId="27" fillId="10" borderId="0">
      <alignment horizontal="right" wrapText="1"/>
    </xf>
    <xf numFmtId="165" fontId="27" fillId="10" borderId="10">
      <alignment horizontal="left" wrapText="1"/>
    </xf>
    <xf numFmtId="165" fontId="25" fillId="9" borderId="10">
      <alignment horizontal="right" wrapText="1"/>
    </xf>
    <xf numFmtId="179" fontId="25" fillId="9" borderId="0">
      <alignment horizontal="right" wrapText="1"/>
    </xf>
    <xf numFmtId="179" fontId="27" fillId="10" borderId="0">
      <alignment horizontal="right" wrapText="1"/>
    </xf>
    <xf numFmtId="179" fontId="26" fillId="9" borderId="0">
      <alignment horizontal="right" wrapText="1"/>
    </xf>
    <xf numFmtId="179" fontId="25" fillId="9" borderId="0">
      <alignment horizontal="right" wrapText="1"/>
    </xf>
    <xf numFmtId="175" fontId="25" fillId="9" borderId="0">
      <alignment horizontal="right" wrapText="1"/>
    </xf>
    <xf numFmtId="179" fontId="27" fillId="10" borderId="10">
      <alignment horizontal="right" wrapText="1"/>
    </xf>
    <xf numFmtId="179" fontId="25" fillId="9" borderId="11">
      <alignment horizontal="right" wrapText="1"/>
    </xf>
    <xf numFmtId="180" fontId="25" fillId="9" borderId="0">
      <alignment horizontal="right" wrapText="1"/>
    </xf>
    <xf numFmtId="180" fontId="28" fillId="10" borderId="0">
      <alignment horizontal="right" wrapText="1"/>
    </xf>
    <xf numFmtId="180" fontId="26" fillId="9" borderId="0">
      <alignment horizontal="right" wrapText="1"/>
    </xf>
    <xf numFmtId="180" fontId="27" fillId="10" borderId="11">
      <alignment horizontal="right" wrapText="1"/>
    </xf>
    <xf numFmtId="180" fontId="25" fillId="9" borderId="10">
      <alignment horizontal="right" wrapText="1"/>
    </xf>
    <xf numFmtId="0" fontId="28" fillId="10" borderId="0">
      <alignment horizontal="right" wrapText="1"/>
    </xf>
    <xf numFmtId="0" fontId="28" fillId="10" borderId="11">
      <alignment horizontal="right" wrapText="1"/>
    </xf>
    <xf numFmtId="0" fontId="25" fillId="9" borderId="10">
      <alignment horizontal="right" wrapText="1"/>
    </xf>
    <xf numFmtId="0" fontId="29" fillId="11" borderId="0">
      <alignment horizontal="left"/>
    </xf>
    <xf numFmtId="0" fontId="30" fillId="12" borderId="0">
      <alignment horizontal="centerContinuous" wrapText="1"/>
    </xf>
    <xf numFmtId="0" fontId="27" fillId="9" borderId="0">
      <alignment horizontal="left" wrapText="1"/>
    </xf>
    <xf numFmtId="0" fontId="28" fillId="10" borderId="0">
      <alignment horizontal="left" wrapText="1"/>
    </xf>
    <xf numFmtId="0" fontId="26" fillId="9" borderId="0">
      <alignment horizontal="right" wrapText="1"/>
    </xf>
    <xf numFmtId="0" fontId="27" fillId="9" borderId="0">
      <alignment horizontal="right" wrapText="1"/>
    </xf>
    <xf numFmtId="0" fontId="27" fillId="9" borderId="0">
      <alignment horizontal="right" wrapText="1"/>
    </xf>
    <xf numFmtId="0" fontId="27" fillId="9" borderId="0">
      <alignment horizontal="right" wrapText="1"/>
    </xf>
    <xf numFmtId="0" fontId="27" fillId="9" borderId="0">
      <alignment horizontal="right" wrapText="1"/>
    </xf>
    <xf numFmtId="0" fontId="27" fillId="10" borderId="10">
      <alignment horizontal="left" wrapText="1"/>
    </xf>
    <xf numFmtId="0" fontId="27" fillId="9" borderId="10">
      <alignment horizontal="left" wrapText="1"/>
    </xf>
    <xf numFmtId="0" fontId="31" fillId="13" borderId="0">
      <alignment horizontal="right" wrapText="1"/>
    </xf>
    <xf numFmtId="0" fontId="32" fillId="14" borderId="0">
      <alignment horizontal="right" wrapText="1"/>
    </xf>
    <xf numFmtId="0" fontId="32" fillId="15" borderId="0">
      <alignment horizontal="right" wrapText="1"/>
    </xf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6" fillId="0" borderId="0"/>
    <xf numFmtId="0" fontId="61" fillId="0" borderId="0" applyNumberFormat="0" applyFill="0" applyBorder="0" applyAlignment="0" applyProtection="0"/>
  </cellStyleXfs>
  <cellXfs count="148">
    <xf numFmtId="0" fontId="0" fillId="0" borderId="0" xfId="0"/>
    <xf numFmtId="0" fontId="2" fillId="0" borderId="0" xfId="0" applyFont="1"/>
    <xf numFmtId="0" fontId="13" fillId="0" borderId="0" xfId="0" applyFont="1"/>
    <xf numFmtId="0" fontId="14" fillId="0" borderId="0" xfId="0" applyFont="1"/>
    <xf numFmtId="0" fontId="2" fillId="0" borderId="1" xfId="21" applyFont="1" applyFill="1" applyBorder="1" applyAlignment="1">
      <alignment horizontal="left" vertical="center" wrapText="1" indent="1"/>
    </xf>
    <xf numFmtId="9" fontId="2" fillId="0" borderId="1" xfId="21" applyNumberFormat="1" applyFont="1" applyFill="1" applyBorder="1" applyAlignment="1">
      <alignment horizontal="left" wrapText="1" indent="1"/>
    </xf>
    <xf numFmtId="0" fontId="0" fillId="0" borderId="0" xfId="0" quotePrefix="1"/>
    <xf numFmtId="0" fontId="2" fillId="0" borderId="0" xfId="0" quotePrefix="1" applyFont="1"/>
    <xf numFmtId="175" fontId="2" fillId="0" borderId="0" xfId="32" applyNumberFormat="1" applyFont="1"/>
    <xf numFmtId="174" fontId="20" fillId="0" borderId="0" xfId="31" applyNumberFormat="1" applyFont="1"/>
    <xf numFmtId="175" fontId="20" fillId="0" borderId="0" xfId="32" applyNumberFormat="1" applyFont="1"/>
    <xf numFmtId="167" fontId="2" fillId="0" borderId="0" xfId="0" applyNumberFormat="1" applyFont="1"/>
    <xf numFmtId="175" fontId="13" fillId="0" borderId="0" xfId="32" applyNumberFormat="1" applyFont="1"/>
    <xf numFmtId="174" fontId="21" fillId="0" borderId="0" xfId="31" applyNumberFormat="1" applyFont="1"/>
    <xf numFmtId="0" fontId="2" fillId="0" borderId="4" xfId="0" applyFont="1" applyBorder="1" applyAlignment="1">
      <alignment horizontal="center"/>
    </xf>
    <xf numFmtId="175" fontId="21" fillId="0" borderId="5" xfId="32" applyNumberFormat="1" applyFont="1" applyBorder="1"/>
    <xf numFmtId="175" fontId="21" fillId="0" borderId="4" xfId="32" applyNumberFormat="1" applyFont="1" applyBorder="1"/>
    <xf numFmtId="0" fontId="15" fillId="0" borderId="0" xfId="0" applyFont="1"/>
    <xf numFmtId="175" fontId="2" fillId="0" borderId="0" xfId="32" applyNumberFormat="1" applyFont="1" applyAlignment="1">
      <alignment horizontal="right"/>
    </xf>
    <xf numFmtId="0" fontId="22" fillId="0" borderId="0" xfId="0" applyFont="1"/>
    <xf numFmtId="175" fontId="22" fillId="0" borderId="0" xfId="32" applyNumberFormat="1" applyFont="1" applyFill="1" applyBorder="1"/>
    <xf numFmtId="173" fontId="21" fillId="0" borderId="0" xfId="31" applyNumberFormat="1" applyFont="1"/>
    <xf numFmtId="0" fontId="17" fillId="0" borderId="1" xfId="20" applyFont="1" applyFill="1" applyBorder="1" applyAlignment="1">
      <alignment vertical="center" wrapText="1"/>
    </xf>
    <xf numFmtId="0" fontId="17" fillId="0" borderId="1" xfId="20" applyFont="1" applyFill="1" applyBorder="1" applyAlignment="1">
      <alignment horizontal="left" vertical="center" wrapText="1"/>
    </xf>
    <xf numFmtId="0" fontId="33" fillId="0" borderId="0" xfId="0" applyFont="1"/>
    <xf numFmtId="0" fontId="34" fillId="0" borderId="0" xfId="0" applyFont="1" applyAlignment="1">
      <alignment horizontal="right"/>
    </xf>
    <xf numFmtId="10" fontId="34" fillId="0" borderId="0" xfId="32" applyNumberFormat="1" applyFont="1"/>
    <xf numFmtId="175" fontId="34" fillId="0" borderId="0" xfId="32" applyNumberFormat="1" applyFont="1"/>
    <xf numFmtId="0" fontId="33" fillId="0" borderId="0" xfId="0" quotePrefix="1" applyFont="1"/>
    <xf numFmtId="49" fontId="35" fillId="0" borderId="0" xfId="33" applyNumberFormat="1" applyFont="1" applyAlignment="1">
      <alignment horizontal="center" vertical="center"/>
    </xf>
    <xf numFmtId="0" fontId="36" fillId="0" borderId="0" xfId="0" applyFont="1"/>
    <xf numFmtId="0" fontId="37" fillId="0" borderId="0" xfId="33" applyFont="1" applyAlignment="1">
      <alignment vertical="center"/>
    </xf>
    <xf numFmtId="0" fontId="38" fillId="0" borderId="0" xfId="33" applyFont="1" applyAlignment="1">
      <alignment vertical="center"/>
    </xf>
    <xf numFmtId="0" fontId="39" fillId="0" borderId="0" xfId="33" applyFont="1" applyAlignment="1">
      <alignment horizontal="center" vertical="center"/>
    </xf>
    <xf numFmtId="0" fontId="39" fillId="0" borderId="0" xfId="33" applyFont="1" applyAlignment="1">
      <alignment vertical="center"/>
    </xf>
    <xf numFmtId="9" fontId="39" fillId="0" borderId="0" xfId="32" applyFont="1" applyFill="1" applyBorder="1" applyAlignment="1">
      <alignment horizontal="center" vertical="center"/>
    </xf>
    <xf numFmtId="0" fontId="40" fillId="0" borderId="0" xfId="0" applyFont="1" applyAlignment="1">
      <alignment horizontal="left" vertical="center" indent="2"/>
    </xf>
    <xf numFmtId="164" fontId="0" fillId="0" borderId="0" xfId="1834" applyFont="1"/>
    <xf numFmtId="0" fontId="41" fillId="0" borderId="0" xfId="33" applyFont="1" applyAlignment="1">
      <alignment horizontal="center" vertical="center"/>
    </xf>
    <xf numFmtId="0" fontId="42" fillId="0" borderId="0" xfId="0" applyFont="1"/>
    <xf numFmtId="0" fontId="41" fillId="0" borderId="0" xfId="33" applyFont="1" applyAlignment="1">
      <alignment horizontal="left" vertical="center"/>
    </xf>
    <xf numFmtId="164" fontId="42" fillId="0" borderId="0" xfId="1834" applyFont="1"/>
    <xf numFmtId="9" fontId="41" fillId="0" borderId="0" xfId="32" applyFont="1" applyFill="1" applyBorder="1" applyAlignment="1">
      <alignment horizontal="center" vertical="center"/>
    </xf>
    <xf numFmtId="0" fontId="43" fillId="0" borderId="0" xfId="0" applyFont="1"/>
    <xf numFmtId="0" fontId="44" fillId="0" borderId="0" xfId="33" applyFont="1" applyAlignment="1">
      <alignment horizontal="center" vertical="center"/>
    </xf>
    <xf numFmtId="9" fontId="45" fillId="0" borderId="0" xfId="0" applyNumberFormat="1" applyFont="1"/>
    <xf numFmtId="0" fontId="41" fillId="0" borderId="0" xfId="33" applyFont="1" applyAlignment="1">
      <alignment vertical="center"/>
    </xf>
    <xf numFmtId="0" fontId="44" fillId="0" borderId="0" xfId="33" applyFont="1" applyAlignment="1">
      <alignment vertical="center"/>
    </xf>
    <xf numFmtId="0" fontId="44" fillId="0" borderId="0" xfId="33" applyFont="1"/>
    <xf numFmtId="0" fontId="44" fillId="0" borderId="0" xfId="33" applyFont="1" applyAlignment="1">
      <alignment horizontal="center" vertical="center" wrapText="1"/>
    </xf>
    <xf numFmtId="175" fontId="44" fillId="0" borderId="0" xfId="32" applyNumberFormat="1" applyFont="1" applyFill="1" applyAlignment="1">
      <alignment vertical="center"/>
    </xf>
    <xf numFmtId="176" fontId="44" fillId="0" borderId="0" xfId="37" applyNumberFormat="1" applyFont="1" applyFill="1" applyAlignment="1">
      <alignment vertical="center"/>
    </xf>
    <xf numFmtId="173" fontId="44" fillId="0" borderId="0" xfId="31" applyNumberFormat="1" applyFont="1" applyFill="1" applyAlignment="1">
      <alignment vertical="center"/>
    </xf>
    <xf numFmtId="0" fontId="41" fillId="0" borderId="6" xfId="33" applyFont="1" applyBorder="1" applyAlignment="1">
      <alignment horizontal="center" vertical="center"/>
    </xf>
    <xf numFmtId="9" fontId="36" fillId="0" borderId="0" xfId="32" applyFont="1"/>
    <xf numFmtId="10" fontId="36" fillId="16" borderId="0" xfId="32" applyNumberFormat="1" applyFont="1" applyFill="1"/>
    <xf numFmtId="10" fontId="36" fillId="4" borderId="0" xfId="32" applyNumberFormat="1" applyFont="1" applyFill="1"/>
    <xf numFmtId="10" fontId="36" fillId="17" borderId="0" xfId="32" applyNumberFormat="1" applyFont="1" applyFill="1"/>
    <xf numFmtId="10" fontId="2" fillId="0" borderId="0" xfId="32" applyNumberFormat="1" applyFont="1" applyFill="1"/>
    <xf numFmtId="9" fontId="2" fillId="0" borderId="0" xfId="0" applyNumberFormat="1" applyFont="1"/>
    <xf numFmtId="10" fontId="2" fillId="0" borderId="0" xfId="0" applyNumberFormat="1" applyFont="1"/>
    <xf numFmtId="175" fontId="2" fillId="0" borderId="0" xfId="0" applyNumberFormat="1" applyFont="1"/>
    <xf numFmtId="0" fontId="1" fillId="0" borderId="0" xfId="33"/>
    <xf numFmtId="3" fontId="47" fillId="0" borderId="3" xfId="33" applyNumberFormat="1" applyFont="1" applyBorder="1" applyAlignment="1">
      <alignment horizontal="center" vertical="center"/>
    </xf>
    <xf numFmtId="181" fontId="47" fillId="0" borderId="3" xfId="33" applyNumberFormat="1" applyFont="1" applyBorder="1" applyAlignment="1">
      <alignment horizontal="center" vertical="center"/>
    </xf>
    <xf numFmtId="3" fontId="48" fillId="0" borderId="3" xfId="33" applyNumberFormat="1" applyFont="1" applyBorder="1" applyAlignment="1">
      <alignment horizontal="center" vertical="center"/>
    </xf>
    <xf numFmtId="0" fontId="47" fillId="19" borderId="3" xfId="33" applyFont="1" applyFill="1" applyBorder="1" applyAlignment="1">
      <alignment horizontal="center" vertical="center"/>
    </xf>
    <xf numFmtId="3" fontId="47" fillId="0" borderId="6" xfId="33" applyNumberFormat="1" applyFont="1" applyBorder="1" applyAlignment="1">
      <alignment horizontal="center" vertical="center"/>
    </xf>
    <xf numFmtId="181" fontId="47" fillId="0" borderId="6" xfId="33" applyNumberFormat="1" applyFont="1" applyBorder="1" applyAlignment="1">
      <alignment horizontal="center" vertical="center"/>
    </xf>
    <xf numFmtId="3" fontId="48" fillId="0" borderId="6" xfId="33" applyNumberFormat="1" applyFont="1" applyBorder="1" applyAlignment="1">
      <alignment horizontal="center" vertical="center"/>
    </xf>
    <xf numFmtId="0" fontId="47" fillId="19" borderId="6" xfId="33" applyFont="1" applyFill="1" applyBorder="1" applyAlignment="1">
      <alignment horizontal="center" vertical="center"/>
    </xf>
    <xf numFmtId="3" fontId="3" fillId="0" borderId="6" xfId="33" applyNumberFormat="1" applyFont="1" applyBorder="1" applyAlignment="1">
      <alignment horizontal="center" vertical="center"/>
    </xf>
    <xf numFmtId="0" fontId="47" fillId="19" borderId="1" xfId="33" applyFont="1" applyFill="1" applyBorder="1" applyAlignment="1">
      <alignment horizontal="center" vertical="center"/>
    </xf>
    <xf numFmtId="0" fontId="51" fillId="20" borderId="0" xfId="0" applyFont="1" applyFill="1"/>
    <xf numFmtId="9" fontId="0" fillId="20" borderId="0" xfId="0" applyNumberFormat="1" applyFill="1"/>
    <xf numFmtId="0" fontId="52" fillId="0" borderId="4" xfId="0" applyFont="1" applyBorder="1"/>
    <xf numFmtId="49" fontId="53" fillId="0" borderId="4" xfId="0" applyNumberFormat="1" applyFont="1" applyBorder="1" applyAlignment="1">
      <alignment vertical="center" wrapText="1"/>
    </xf>
    <xf numFmtId="0" fontId="53" fillId="0" borderId="4" xfId="0" applyFont="1" applyBorder="1" applyAlignment="1">
      <alignment horizontal="center" vertical="center" wrapText="1"/>
    </xf>
    <xf numFmtId="0" fontId="54" fillId="0" borderId="4" xfId="0" applyFont="1" applyBorder="1" applyAlignment="1">
      <alignment horizontal="center" vertical="center" wrapText="1"/>
    </xf>
    <xf numFmtId="0" fontId="52" fillId="0" borderId="0" xfId="0" applyFont="1"/>
    <xf numFmtId="182" fontId="52" fillId="0" borderId="0" xfId="25" applyNumberFormat="1" applyFont="1" applyFill="1" applyBorder="1" applyAlignment="1">
      <alignment vertical="center" wrapText="1"/>
    </xf>
    <xf numFmtId="0" fontId="55" fillId="0" borderId="0" xfId="0" applyFont="1" applyAlignment="1">
      <alignment horizontal="left" vertical="center" wrapText="1"/>
    </xf>
    <xf numFmtId="3" fontId="55" fillId="0" borderId="0" xfId="0" applyNumberFormat="1" applyFont="1" applyAlignment="1">
      <alignment horizontal="center" vertical="center"/>
    </xf>
    <xf numFmtId="183" fontId="0" fillId="0" borderId="0" xfId="31" applyNumberFormat="1" applyFont="1"/>
    <xf numFmtId="182" fontId="52" fillId="0" borderId="0" xfId="25" applyNumberFormat="1" applyFont="1" applyFill="1" applyBorder="1" applyAlignment="1">
      <alignment vertical="center" wrapText="1" shrinkToFit="1"/>
    </xf>
    <xf numFmtId="182" fontId="52" fillId="0" borderId="0" xfId="25" applyNumberFormat="1" applyFont="1" applyFill="1" applyBorder="1" applyAlignment="1">
      <alignment vertical="center"/>
    </xf>
    <xf numFmtId="0" fontId="55" fillId="0" borderId="0" xfId="0" applyFont="1" applyAlignment="1">
      <alignment vertical="center" wrapText="1"/>
    </xf>
    <xf numFmtId="0" fontId="55" fillId="0" borderId="0" xfId="0" quotePrefix="1" applyFont="1" applyAlignment="1">
      <alignment vertical="center"/>
    </xf>
    <xf numFmtId="0" fontId="55" fillId="0" borderId="0" xfId="0" applyFont="1" applyAlignment="1">
      <alignment horizontal="left" vertical="center"/>
    </xf>
    <xf numFmtId="0" fontId="55" fillId="0" borderId="0" xfId="0" applyFont="1" applyAlignment="1">
      <alignment vertical="center"/>
    </xf>
    <xf numFmtId="3" fontId="55" fillId="0" borderId="0" xfId="0" applyNumberFormat="1" applyFont="1" applyAlignment="1">
      <alignment vertical="center"/>
    </xf>
    <xf numFmtId="0" fontId="51" fillId="0" borderId="0" xfId="0" applyFont="1"/>
    <xf numFmtId="0" fontId="56" fillId="0" borderId="0" xfId="1835" applyFont="1" applyAlignment="1">
      <alignment horizontal="left" vertical="top" wrapText="1"/>
    </xf>
    <xf numFmtId="182" fontId="52" fillId="0" borderId="0" xfId="25" applyNumberFormat="1" applyFont="1" applyFill="1" applyBorder="1" applyAlignment="1">
      <alignment vertical="center" shrinkToFit="1"/>
    </xf>
    <xf numFmtId="0" fontId="52" fillId="0" borderId="0" xfId="0" applyFont="1" applyAlignment="1">
      <alignment vertical="center"/>
    </xf>
    <xf numFmtId="3" fontId="52" fillId="0" borderId="0" xfId="25" applyNumberFormat="1" applyFont="1" applyFill="1" applyBorder="1" applyAlignment="1">
      <alignment vertical="center"/>
    </xf>
    <xf numFmtId="164" fontId="36" fillId="0" borderId="0" xfId="0" applyNumberFormat="1" applyFont="1"/>
    <xf numFmtId="0" fontId="57" fillId="0" borderId="0" xfId="0" applyFont="1"/>
    <xf numFmtId="164" fontId="58" fillId="0" borderId="0" xfId="1834" applyFont="1"/>
    <xf numFmtId="174" fontId="0" fillId="0" borderId="0" xfId="31" applyNumberFormat="1" applyFont="1"/>
    <xf numFmtId="167" fontId="36" fillId="18" borderId="0" xfId="31" applyFont="1" applyFill="1"/>
    <xf numFmtId="184" fontId="44" fillId="0" borderId="6" xfId="36" applyNumberFormat="1" applyFont="1" applyFill="1" applyBorder="1" applyAlignment="1">
      <alignment vertical="center"/>
    </xf>
    <xf numFmtId="10" fontId="20" fillId="0" borderId="0" xfId="32" applyNumberFormat="1" applyFont="1"/>
    <xf numFmtId="175" fontId="2" fillId="0" borderId="0" xfId="32" applyNumberFormat="1" applyFont="1" applyFill="1"/>
    <xf numFmtId="0" fontId="54" fillId="21" borderId="0" xfId="0" applyFont="1" applyFill="1"/>
    <xf numFmtId="0" fontId="13" fillId="21" borderId="0" xfId="0" applyFont="1" applyFill="1"/>
    <xf numFmtId="0" fontId="59" fillId="22" borderId="0" xfId="0" applyFont="1" applyFill="1"/>
    <xf numFmtId="0" fontId="2" fillId="22" borderId="0" xfId="0" applyFont="1" applyFill="1"/>
    <xf numFmtId="0" fontId="14" fillId="22" borderId="0" xfId="0" applyFont="1" applyFill="1"/>
    <xf numFmtId="9" fontId="13" fillId="0" borderId="0" xfId="32" applyFont="1"/>
    <xf numFmtId="174" fontId="2" fillId="0" borderId="0" xfId="31" applyNumberFormat="1" applyFont="1" applyFill="1"/>
    <xf numFmtId="0" fontId="46" fillId="0" borderId="0" xfId="0" applyFont="1"/>
    <xf numFmtId="174" fontId="2" fillId="0" borderId="0" xfId="0" applyNumberFormat="1" applyFont="1"/>
    <xf numFmtId="0" fontId="2" fillId="16" borderId="0" xfId="0" applyFont="1" applyFill="1"/>
    <xf numFmtId="174" fontId="2" fillId="16" borderId="0" xfId="0" applyNumberFormat="1" applyFont="1" applyFill="1"/>
    <xf numFmtId="0" fontId="2" fillId="0" borderId="0" xfId="0" quotePrefix="1" applyFont="1" applyAlignment="1">
      <alignment horizontal="left" indent="2"/>
    </xf>
    <xf numFmtId="9" fontId="2" fillId="0" borderId="0" xfId="32" applyFont="1"/>
    <xf numFmtId="185" fontId="2" fillId="0" borderId="0" xfId="32" applyNumberFormat="1" applyFont="1" applyFill="1"/>
    <xf numFmtId="0" fontId="2" fillId="21" borderId="0" xfId="0" applyFont="1" applyFill="1"/>
    <xf numFmtId="0" fontId="59" fillId="21" borderId="0" xfId="0" applyFont="1" applyFill="1"/>
    <xf numFmtId="10" fontId="21" fillId="0" borderId="0" xfId="32" applyNumberFormat="1" applyFont="1" applyBorder="1"/>
    <xf numFmtId="0" fontId="61" fillId="0" borderId="0" xfId="1836"/>
    <xf numFmtId="0" fontId="2" fillId="0" borderId="0" xfId="0" applyFont="1" applyAlignment="1">
      <alignment horizontal="right"/>
    </xf>
    <xf numFmtId="10" fontId="13" fillId="0" borderId="0" xfId="32" applyNumberFormat="1" applyFont="1" applyFill="1" applyBorder="1"/>
    <xf numFmtId="0" fontId="62" fillId="0" borderId="0" xfId="0" applyFont="1"/>
    <xf numFmtId="9" fontId="39" fillId="0" borderId="0" xfId="33" applyNumberFormat="1" applyFont="1" applyAlignment="1">
      <alignment horizontal="center" vertical="center"/>
    </xf>
    <xf numFmtId="0" fontId="36" fillId="0" borderId="13" xfId="0" applyFont="1" applyBorder="1"/>
    <xf numFmtId="0" fontId="36" fillId="0" borderId="14" xfId="0" applyFont="1" applyBorder="1"/>
    <xf numFmtId="0" fontId="41" fillId="0" borderId="13" xfId="33" applyFont="1" applyBorder="1" applyAlignment="1">
      <alignment horizontal="left" vertical="center"/>
    </xf>
    <xf numFmtId="0" fontId="41" fillId="0" borderId="14" xfId="33" applyFont="1" applyBorder="1" applyAlignment="1">
      <alignment horizontal="left" vertical="center"/>
    </xf>
    <xf numFmtId="9" fontId="41" fillId="0" borderId="13" xfId="32" applyFont="1" applyFill="1" applyBorder="1" applyAlignment="1">
      <alignment horizontal="center" vertical="center"/>
    </xf>
    <xf numFmtId="9" fontId="41" fillId="0" borderId="14" xfId="32" applyFont="1" applyFill="1" applyBorder="1" applyAlignment="1">
      <alignment horizontal="center" vertical="center"/>
    </xf>
    <xf numFmtId="9" fontId="41" fillId="0" borderId="15" xfId="32" applyFont="1" applyFill="1" applyBorder="1" applyAlignment="1">
      <alignment horizontal="center" vertical="center"/>
    </xf>
    <xf numFmtId="9" fontId="41" fillId="0" borderId="16" xfId="32" applyFont="1" applyFill="1" applyBorder="1" applyAlignment="1">
      <alignment horizontal="center" vertical="center"/>
    </xf>
    <xf numFmtId="9" fontId="41" fillId="0" borderId="17" xfId="32" applyFont="1" applyFill="1" applyBorder="1" applyAlignment="1">
      <alignment horizontal="center" vertical="center"/>
    </xf>
    <xf numFmtId="0" fontId="17" fillId="0" borderId="2" xfId="20" applyFont="1" applyFill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17" fillId="0" borderId="12" xfId="20" applyFont="1" applyFill="1" applyBorder="1" applyAlignment="1">
      <alignment horizontal="center" vertical="center" wrapText="1"/>
    </xf>
    <xf numFmtId="0" fontId="17" fillId="0" borderId="6" xfId="20" applyFont="1" applyFill="1" applyBorder="1" applyAlignment="1">
      <alignment horizontal="center" vertical="center" wrapText="1"/>
    </xf>
    <xf numFmtId="0" fontId="17" fillId="0" borderId="3" xfId="20" applyFont="1" applyFill="1" applyBorder="1" applyAlignment="1">
      <alignment horizontal="center" vertical="center" wrapText="1"/>
    </xf>
    <xf numFmtId="0" fontId="39" fillId="0" borderId="18" xfId="33" applyFont="1" applyBorder="1" applyAlignment="1">
      <alignment horizontal="center" vertical="center"/>
    </xf>
    <xf numFmtId="0" fontId="39" fillId="0" borderId="19" xfId="33" applyFont="1" applyBorder="1" applyAlignment="1">
      <alignment horizontal="center" vertical="center"/>
    </xf>
    <xf numFmtId="0" fontId="39" fillId="0" borderId="20" xfId="33" applyFont="1" applyBorder="1" applyAlignment="1">
      <alignment horizontal="center" vertical="center"/>
    </xf>
    <xf numFmtId="0" fontId="2" fillId="23" borderId="0" xfId="0" applyFont="1" applyFill="1"/>
    <xf numFmtId="9" fontId="2" fillId="23" borderId="0" xfId="32" applyFont="1" applyFill="1"/>
    <xf numFmtId="0" fontId="33" fillId="23" borderId="0" xfId="0" quotePrefix="1" applyFont="1" applyFill="1"/>
    <xf numFmtId="175" fontId="13" fillId="23" borderId="0" xfId="32" applyNumberFormat="1" applyFont="1" applyFill="1"/>
    <xf numFmtId="9" fontId="2" fillId="23" borderId="0" xfId="32" applyFont="1" applyFill="1" applyBorder="1"/>
  </cellXfs>
  <cellStyles count="1837">
    <cellStyle name="20 % - Accent5 2" xfId="21" xr:uid="{00000000-0005-0000-0000-000000000000}"/>
    <cellStyle name="40% - Accent1 2" xfId="38" xr:uid="{00000000-0005-0000-0000-000001000000}"/>
    <cellStyle name="Column heading" xfId="1" xr:uid="{00000000-0005-0000-0000-000002000000}"/>
    <cellStyle name="Comma 10" xfId="39" xr:uid="{00000000-0005-0000-0000-000003000000}"/>
    <cellStyle name="Comma 10 2" xfId="40" xr:uid="{00000000-0005-0000-0000-000004000000}"/>
    <cellStyle name="Comma 10 2 2" xfId="41" xr:uid="{00000000-0005-0000-0000-000005000000}"/>
    <cellStyle name="Comma 10 2 2 2" xfId="42" xr:uid="{00000000-0005-0000-0000-000006000000}"/>
    <cellStyle name="Comma 10 2 3" xfId="43" xr:uid="{00000000-0005-0000-0000-000007000000}"/>
    <cellStyle name="Comma 10 3" xfId="44" xr:uid="{00000000-0005-0000-0000-000008000000}"/>
    <cellStyle name="Comma 10 3 2" xfId="45" xr:uid="{00000000-0005-0000-0000-000009000000}"/>
    <cellStyle name="Comma 10 3 2 2" xfId="46" xr:uid="{00000000-0005-0000-0000-00000A000000}"/>
    <cellStyle name="Comma 10 3 3" xfId="47" xr:uid="{00000000-0005-0000-0000-00000B000000}"/>
    <cellStyle name="Comma 10 4" xfId="48" xr:uid="{00000000-0005-0000-0000-00000C000000}"/>
    <cellStyle name="Comma 10 4 2" xfId="49" xr:uid="{00000000-0005-0000-0000-00000D000000}"/>
    <cellStyle name="Comma 10 4 2 2" xfId="50" xr:uid="{00000000-0005-0000-0000-00000E000000}"/>
    <cellStyle name="Comma 10 4 3" xfId="51" xr:uid="{00000000-0005-0000-0000-00000F000000}"/>
    <cellStyle name="Comma 10 5" xfId="52" xr:uid="{00000000-0005-0000-0000-000010000000}"/>
    <cellStyle name="Comma 10 5 2" xfId="53" xr:uid="{00000000-0005-0000-0000-000011000000}"/>
    <cellStyle name="Comma 10 5 2 2" xfId="54" xr:uid="{00000000-0005-0000-0000-000012000000}"/>
    <cellStyle name="Comma 10 5 3" xfId="55" xr:uid="{00000000-0005-0000-0000-000013000000}"/>
    <cellStyle name="Comma 10 6" xfId="56" xr:uid="{00000000-0005-0000-0000-000014000000}"/>
    <cellStyle name="Comma 10 6 2" xfId="57" xr:uid="{00000000-0005-0000-0000-000015000000}"/>
    <cellStyle name="Comma 10 7" xfId="58" xr:uid="{00000000-0005-0000-0000-000016000000}"/>
    <cellStyle name="Comma 11" xfId="59" xr:uid="{00000000-0005-0000-0000-000017000000}"/>
    <cellStyle name="Comma 11 2" xfId="60" xr:uid="{00000000-0005-0000-0000-000018000000}"/>
    <cellStyle name="Comma 11 2 2" xfId="61" xr:uid="{00000000-0005-0000-0000-000019000000}"/>
    <cellStyle name="Comma 11 2 2 2" xfId="62" xr:uid="{00000000-0005-0000-0000-00001A000000}"/>
    <cellStyle name="Comma 11 2 3" xfId="63" xr:uid="{00000000-0005-0000-0000-00001B000000}"/>
    <cellStyle name="Comma 11 3" xfId="64" xr:uid="{00000000-0005-0000-0000-00001C000000}"/>
    <cellStyle name="Comma 11 3 2" xfId="65" xr:uid="{00000000-0005-0000-0000-00001D000000}"/>
    <cellStyle name="Comma 11 3 2 2" xfId="66" xr:uid="{00000000-0005-0000-0000-00001E000000}"/>
    <cellStyle name="Comma 11 3 3" xfId="67" xr:uid="{00000000-0005-0000-0000-00001F000000}"/>
    <cellStyle name="Comma 11 4" xfId="68" xr:uid="{00000000-0005-0000-0000-000020000000}"/>
    <cellStyle name="Comma 11 4 2" xfId="69" xr:uid="{00000000-0005-0000-0000-000021000000}"/>
    <cellStyle name="Comma 11 4 2 2" xfId="70" xr:uid="{00000000-0005-0000-0000-000022000000}"/>
    <cellStyle name="Comma 11 4 3" xfId="71" xr:uid="{00000000-0005-0000-0000-000023000000}"/>
    <cellStyle name="Comma 11 5" xfId="72" xr:uid="{00000000-0005-0000-0000-000024000000}"/>
    <cellStyle name="Comma 11 5 2" xfId="73" xr:uid="{00000000-0005-0000-0000-000025000000}"/>
    <cellStyle name="Comma 11 6" xfId="74" xr:uid="{00000000-0005-0000-0000-000026000000}"/>
    <cellStyle name="Comma 12" xfId="75" xr:uid="{00000000-0005-0000-0000-000027000000}"/>
    <cellStyle name="Comma 12 2" xfId="76" xr:uid="{00000000-0005-0000-0000-000028000000}"/>
    <cellStyle name="Comma 12 2 2" xfId="77" xr:uid="{00000000-0005-0000-0000-000029000000}"/>
    <cellStyle name="Comma 12 2 2 2" xfId="78" xr:uid="{00000000-0005-0000-0000-00002A000000}"/>
    <cellStyle name="Comma 12 2 2 2 2" xfId="79" xr:uid="{00000000-0005-0000-0000-00002B000000}"/>
    <cellStyle name="Comma 12 2 2 3" xfId="80" xr:uid="{00000000-0005-0000-0000-00002C000000}"/>
    <cellStyle name="Comma 12 2 3" xfId="81" xr:uid="{00000000-0005-0000-0000-00002D000000}"/>
    <cellStyle name="Comma 12 2 3 2" xfId="82" xr:uid="{00000000-0005-0000-0000-00002E000000}"/>
    <cellStyle name="Comma 12 2 4" xfId="83" xr:uid="{00000000-0005-0000-0000-00002F000000}"/>
    <cellStyle name="Comma 12 3" xfId="84" xr:uid="{00000000-0005-0000-0000-000030000000}"/>
    <cellStyle name="Comma 13" xfId="35" xr:uid="{00000000-0005-0000-0000-000031000000}"/>
    <cellStyle name="Comma 13 2" xfId="85" xr:uid="{00000000-0005-0000-0000-000032000000}"/>
    <cellStyle name="Comma 13 3" xfId="86" xr:uid="{00000000-0005-0000-0000-000033000000}"/>
    <cellStyle name="Comma 14" xfId="87" xr:uid="{00000000-0005-0000-0000-000034000000}"/>
    <cellStyle name="Comma 14 2" xfId="88" xr:uid="{00000000-0005-0000-0000-000035000000}"/>
    <cellStyle name="Comma 14 2 2" xfId="89" xr:uid="{00000000-0005-0000-0000-000036000000}"/>
    <cellStyle name="Comma 14 3" xfId="90" xr:uid="{00000000-0005-0000-0000-000037000000}"/>
    <cellStyle name="Comma 15" xfId="91" xr:uid="{00000000-0005-0000-0000-000038000000}"/>
    <cellStyle name="Comma 15 2" xfId="92" xr:uid="{00000000-0005-0000-0000-000039000000}"/>
    <cellStyle name="Comma 15 3" xfId="93" xr:uid="{00000000-0005-0000-0000-00003A000000}"/>
    <cellStyle name="Comma 15 3 2" xfId="94" xr:uid="{00000000-0005-0000-0000-00003B000000}"/>
    <cellStyle name="Comma 16" xfId="95" xr:uid="{00000000-0005-0000-0000-00003C000000}"/>
    <cellStyle name="Comma 16 2" xfId="96" xr:uid="{00000000-0005-0000-0000-00003D000000}"/>
    <cellStyle name="Comma 17" xfId="97" xr:uid="{00000000-0005-0000-0000-00003E000000}"/>
    <cellStyle name="Comma 18" xfId="98" xr:uid="{00000000-0005-0000-0000-00003F000000}"/>
    <cellStyle name="Comma 2" xfId="2" xr:uid="{00000000-0005-0000-0000-000040000000}"/>
    <cellStyle name="Comma 2 10" xfId="99" xr:uid="{00000000-0005-0000-0000-000041000000}"/>
    <cellStyle name="Comma 2 10 2" xfId="100" xr:uid="{00000000-0005-0000-0000-000042000000}"/>
    <cellStyle name="Comma 2 10 2 2" xfId="101" xr:uid="{00000000-0005-0000-0000-000043000000}"/>
    <cellStyle name="Comma 2 10 3" xfId="102" xr:uid="{00000000-0005-0000-0000-000044000000}"/>
    <cellStyle name="Comma 2 11" xfId="103" xr:uid="{00000000-0005-0000-0000-000045000000}"/>
    <cellStyle name="Comma 2 11 2" xfId="104" xr:uid="{00000000-0005-0000-0000-000046000000}"/>
    <cellStyle name="Comma 2 11 2 2" xfId="105" xr:uid="{00000000-0005-0000-0000-000047000000}"/>
    <cellStyle name="Comma 2 11 3" xfId="106" xr:uid="{00000000-0005-0000-0000-000048000000}"/>
    <cellStyle name="Comma 2 12" xfId="107" xr:uid="{00000000-0005-0000-0000-000049000000}"/>
    <cellStyle name="Comma 2 12 2" xfId="108" xr:uid="{00000000-0005-0000-0000-00004A000000}"/>
    <cellStyle name="Comma 2 12 2 2" xfId="109" xr:uid="{00000000-0005-0000-0000-00004B000000}"/>
    <cellStyle name="Comma 2 12 3" xfId="110" xr:uid="{00000000-0005-0000-0000-00004C000000}"/>
    <cellStyle name="Comma 2 13" xfId="111" xr:uid="{00000000-0005-0000-0000-00004D000000}"/>
    <cellStyle name="Comma 2 13 2" xfId="112" xr:uid="{00000000-0005-0000-0000-00004E000000}"/>
    <cellStyle name="Comma 2 13 2 2" xfId="113" xr:uid="{00000000-0005-0000-0000-00004F000000}"/>
    <cellStyle name="Comma 2 13 2 2 2" xfId="114" xr:uid="{00000000-0005-0000-0000-000050000000}"/>
    <cellStyle name="Comma 2 13 2 3" xfId="115" xr:uid="{00000000-0005-0000-0000-000051000000}"/>
    <cellStyle name="Comma 2 13 3" xfId="116" xr:uid="{00000000-0005-0000-0000-000052000000}"/>
    <cellStyle name="Comma 2 13 3 2" xfId="117" xr:uid="{00000000-0005-0000-0000-000053000000}"/>
    <cellStyle name="Comma 2 13 3 2 2" xfId="118" xr:uid="{00000000-0005-0000-0000-000054000000}"/>
    <cellStyle name="Comma 2 13 3 3" xfId="119" xr:uid="{00000000-0005-0000-0000-000055000000}"/>
    <cellStyle name="Comma 2 13 4" xfId="120" xr:uid="{00000000-0005-0000-0000-000056000000}"/>
    <cellStyle name="Comma 2 13 4 2" xfId="121" xr:uid="{00000000-0005-0000-0000-000057000000}"/>
    <cellStyle name="Comma 2 13 5" xfId="122" xr:uid="{00000000-0005-0000-0000-000058000000}"/>
    <cellStyle name="Comma 2 14" xfId="123" xr:uid="{00000000-0005-0000-0000-000059000000}"/>
    <cellStyle name="Comma 2 14 2" xfId="124" xr:uid="{00000000-0005-0000-0000-00005A000000}"/>
    <cellStyle name="Comma 2 14 2 2" xfId="125" xr:uid="{00000000-0005-0000-0000-00005B000000}"/>
    <cellStyle name="Comma 2 14 2 2 2" xfId="126" xr:uid="{00000000-0005-0000-0000-00005C000000}"/>
    <cellStyle name="Comma 2 14 2 3" xfId="127" xr:uid="{00000000-0005-0000-0000-00005D000000}"/>
    <cellStyle name="Comma 2 14 3" xfId="128" xr:uid="{00000000-0005-0000-0000-00005E000000}"/>
    <cellStyle name="Comma 2 14 3 2" xfId="129" xr:uid="{00000000-0005-0000-0000-00005F000000}"/>
    <cellStyle name="Comma 2 14 3 2 2" xfId="130" xr:uid="{00000000-0005-0000-0000-000060000000}"/>
    <cellStyle name="Comma 2 14 3 3" xfId="131" xr:uid="{00000000-0005-0000-0000-000061000000}"/>
    <cellStyle name="Comma 2 14 4" xfId="132" xr:uid="{00000000-0005-0000-0000-000062000000}"/>
    <cellStyle name="Comma 2 14 4 2" xfId="133" xr:uid="{00000000-0005-0000-0000-000063000000}"/>
    <cellStyle name="Comma 2 14 4 2 2" xfId="134" xr:uid="{00000000-0005-0000-0000-000064000000}"/>
    <cellStyle name="Comma 2 14 4 3" xfId="135" xr:uid="{00000000-0005-0000-0000-000065000000}"/>
    <cellStyle name="Comma 2 14 5" xfId="136" xr:uid="{00000000-0005-0000-0000-000066000000}"/>
    <cellStyle name="Comma 2 14 5 2" xfId="137" xr:uid="{00000000-0005-0000-0000-000067000000}"/>
    <cellStyle name="Comma 2 14 6" xfId="138" xr:uid="{00000000-0005-0000-0000-000068000000}"/>
    <cellStyle name="Comma 2 15" xfId="139" xr:uid="{00000000-0005-0000-0000-000069000000}"/>
    <cellStyle name="Comma 2 15 2" xfId="140" xr:uid="{00000000-0005-0000-0000-00006A000000}"/>
    <cellStyle name="Comma 2 15 2 2" xfId="141" xr:uid="{00000000-0005-0000-0000-00006B000000}"/>
    <cellStyle name="Comma 2 15 2 2 2" xfId="142" xr:uid="{00000000-0005-0000-0000-00006C000000}"/>
    <cellStyle name="Comma 2 15 2 3" xfId="143" xr:uid="{00000000-0005-0000-0000-00006D000000}"/>
    <cellStyle name="Comma 2 15 3" xfId="144" xr:uid="{00000000-0005-0000-0000-00006E000000}"/>
    <cellStyle name="Comma 2 15 3 2" xfId="145" xr:uid="{00000000-0005-0000-0000-00006F000000}"/>
    <cellStyle name="Comma 2 15 4" xfId="146" xr:uid="{00000000-0005-0000-0000-000070000000}"/>
    <cellStyle name="Comma 2 16" xfId="147" xr:uid="{00000000-0005-0000-0000-000071000000}"/>
    <cellStyle name="Comma 2 16 2" xfId="148" xr:uid="{00000000-0005-0000-0000-000072000000}"/>
    <cellStyle name="Comma 2 16 2 2" xfId="149" xr:uid="{00000000-0005-0000-0000-000073000000}"/>
    <cellStyle name="Comma 2 16 3" xfId="150" xr:uid="{00000000-0005-0000-0000-000074000000}"/>
    <cellStyle name="Comma 2 17" xfId="151" xr:uid="{00000000-0005-0000-0000-000075000000}"/>
    <cellStyle name="Comma 2 17 2" xfId="152" xr:uid="{00000000-0005-0000-0000-000076000000}"/>
    <cellStyle name="Comma 2 17 2 2" xfId="153" xr:uid="{00000000-0005-0000-0000-000077000000}"/>
    <cellStyle name="Comma 2 17 3" xfId="154" xr:uid="{00000000-0005-0000-0000-000078000000}"/>
    <cellStyle name="Comma 2 18" xfId="155" xr:uid="{00000000-0005-0000-0000-000079000000}"/>
    <cellStyle name="Comma 2 18 2" xfId="156" xr:uid="{00000000-0005-0000-0000-00007A000000}"/>
    <cellStyle name="Comma 2 19" xfId="157" xr:uid="{00000000-0005-0000-0000-00007B000000}"/>
    <cellStyle name="Comma 2 2" xfId="37" xr:uid="{00000000-0005-0000-0000-00007C000000}"/>
    <cellStyle name="Comma 2 2 10" xfId="158" xr:uid="{00000000-0005-0000-0000-00007D000000}"/>
    <cellStyle name="Comma 2 2 10 2" xfId="159" xr:uid="{00000000-0005-0000-0000-00007E000000}"/>
    <cellStyle name="Comma 2 2 10 2 2" xfId="160" xr:uid="{00000000-0005-0000-0000-00007F000000}"/>
    <cellStyle name="Comma 2 2 10 3" xfId="161" xr:uid="{00000000-0005-0000-0000-000080000000}"/>
    <cellStyle name="Comma 2 2 11" xfId="162" xr:uid="{00000000-0005-0000-0000-000081000000}"/>
    <cellStyle name="Comma 2 2 11 2" xfId="163" xr:uid="{00000000-0005-0000-0000-000082000000}"/>
    <cellStyle name="Comma 2 2 11 2 2" xfId="164" xr:uid="{00000000-0005-0000-0000-000083000000}"/>
    <cellStyle name="Comma 2 2 11 3" xfId="165" xr:uid="{00000000-0005-0000-0000-000084000000}"/>
    <cellStyle name="Comma 2 2 12" xfId="166" xr:uid="{00000000-0005-0000-0000-000085000000}"/>
    <cellStyle name="Comma 2 2 12 2" xfId="167" xr:uid="{00000000-0005-0000-0000-000086000000}"/>
    <cellStyle name="Comma 2 2 12 2 2" xfId="168" xr:uid="{00000000-0005-0000-0000-000087000000}"/>
    <cellStyle name="Comma 2 2 12 3" xfId="169" xr:uid="{00000000-0005-0000-0000-000088000000}"/>
    <cellStyle name="Comma 2 2 13" xfId="170" xr:uid="{00000000-0005-0000-0000-000089000000}"/>
    <cellStyle name="Comma 2 2 13 2" xfId="171" xr:uid="{00000000-0005-0000-0000-00008A000000}"/>
    <cellStyle name="Comma 2 2 13 2 2" xfId="172" xr:uid="{00000000-0005-0000-0000-00008B000000}"/>
    <cellStyle name="Comma 2 2 13 2 2 2" xfId="173" xr:uid="{00000000-0005-0000-0000-00008C000000}"/>
    <cellStyle name="Comma 2 2 13 2 3" xfId="174" xr:uid="{00000000-0005-0000-0000-00008D000000}"/>
    <cellStyle name="Comma 2 2 13 3" xfId="175" xr:uid="{00000000-0005-0000-0000-00008E000000}"/>
    <cellStyle name="Comma 2 2 13 3 2" xfId="176" xr:uid="{00000000-0005-0000-0000-00008F000000}"/>
    <cellStyle name="Comma 2 2 13 3 2 2" xfId="177" xr:uid="{00000000-0005-0000-0000-000090000000}"/>
    <cellStyle name="Comma 2 2 13 3 3" xfId="178" xr:uid="{00000000-0005-0000-0000-000091000000}"/>
    <cellStyle name="Comma 2 2 13 4" xfId="179" xr:uid="{00000000-0005-0000-0000-000092000000}"/>
    <cellStyle name="Comma 2 2 13 4 2" xfId="180" xr:uid="{00000000-0005-0000-0000-000093000000}"/>
    <cellStyle name="Comma 2 2 13 5" xfId="181" xr:uid="{00000000-0005-0000-0000-000094000000}"/>
    <cellStyle name="Comma 2 2 14" xfId="182" xr:uid="{00000000-0005-0000-0000-000095000000}"/>
    <cellStyle name="Comma 2 2 14 2" xfId="183" xr:uid="{00000000-0005-0000-0000-000096000000}"/>
    <cellStyle name="Comma 2 2 14 2 2" xfId="184" xr:uid="{00000000-0005-0000-0000-000097000000}"/>
    <cellStyle name="Comma 2 2 14 2 2 2" xfId="185" xr:uid="{00000000-0005-0000-0000-000098000000}"/>
    <cellStyle name="Comma 2 2 14 2 3" xfId="186" xr:uid="{00000000-0005-0000-0000-000099000000}"/>
    <cellStyle name="Comma 2 2 14 3" xfId="187" xr:uid="{00000000-0005-0000-0000-00009A000000}"/>
    <cellStyle name="Comma 2 2 14 3 2" xfId="188" xr:uid="{00000000-0005-0000-0000-00009B000000}"/>
    <cellStyle name="Comma 2 2 14 3 2 2" xfId="189" xr:uid="{00000000-0005-0000-0000-00009C000000}"/>
    <cellStyle name="Comma 2 2 14 3 3" xfId="190" xr:uid="{00000000-0005-0000-0000-00009D000000}"/>
    <cellStyle name="Comma 2 2 14 4" xfId="191" xr:uid="{00000000-0005-0000-0000-00009E000000}"/>
    <cellStyle name="Comma 2 2 14 4 2" xfId="192" xr:uid="{00000000-0005-0000-0000-00009F000000}"/>
    <cellStyle name="Comma 2 2 14 4 2 2" xfId="193" xr:uid="{00000000-0005-0000-0000-0000A0000000}"/>
    <cellStyle name="Comma 2 2 14 4 3" xfId="194" xr:uid="{00000000-0005-0000-0000-0000A1000000}"/>
    <cellStyle name="Comma 2 2 14 5" xfId="195" xr:uid="{00000000-0005-0000-0000-0000A2000000}"/>
    <cellStyle name="Comma 2 2 14 5 2" xfId="196" xr:uid="{00000000-0005-0000-0000-0000A3000000}"/>
    <cellStyle name="Comma 2 2 14 6" xfId="197" xr:uid="{00000000-0005-0000-0000-0000A4000000}"/>
    <cellStyle name="Comma 2 2 15" xfId="198" xr:uid="{00000000-0005-0000-0000-0000A5000000}"/>
    <cellStyle name="Comma 2 2 15 2" xfId="199" xr:uid="{00000000-0005-0000-0000-0000A6000000}"/>
    <cellStyle name="Comma 2 2 15 2 2" xfId="200" xr:uid="{00000000-0005-0000-0000-0000A7000000}"/>
    <cellStyle name="Comma 2 2 15 2 2 2" xfId="201" xr:uid="{00000000-0005-0000-0000-0000A8000000}"/>
    <cellStyle name="Comma 2 2 15 2 3" xfId="202" xr:uid="{00000000-0005-0000-0000-0000A9000000}"/>
    <cellStyle name="Comma 2 2 15 3" xfId="203" xr:uid="{00000000-0005-0000-0000-0000AA000000}"/>
    <cellStyle name="Comma 2 2 15 3 2" xfId="204" xr:uid="{00000000-0005-0000-0000-0000AB000000}"/>
    <cellStyle name="Comma 2 2 15 4" xfId="205" xr:uid="{00000000-0005-0000-0000-0000AC000000}"/>
    <cellStyle name="Comma 2 2 16" xfId="206" xr:uid="{00000000-0005-0000-0000-0000AD000000}"/>
    <cellStyle name="Comma 2 2 16 2" xfId="207" xr:uid="{00000000-0005-0000-0000-0000AE000000}"/>
    <cellStyle name="Comma 2 2 16 2 2" xfId="208" xr:uid="{00000000-0005-0000-0000-0000AF000000}"/>
    <cellStyle name="Comma 2 2 16 3" xfId="209" xr:uid="{00000000-0005-0000-0000-0000B0000000}"/>
    <cellStyle name="Comma 2 2 17" xfId="210" xr:uid="{00000000-0005-0000-0000-0000B1000000}"/>
    <cellStyle name="Comma 2 2 17 2" xfId="211" xr:uid="{00000000-0005-0000-0000-0000B2000000}"/>
    <cellStyle name="Comma 2 2 17 2 2" xfId="212" xr:uid="{00000000-0005-0000-0000-0000B3000000}"/>
    <cellStyle name="Comma 2 2 17 3" xfId="213" xr:uid="{00000000-0005-0000-0000-0000B4000000}"/>
    <cellStyle name="Comma 2 2 18" xfId="214" xr:uid="{00000000-0005-0000-0000-0000B5000000}"/>
    <cellStyle name="Comma 2 2 18 2" xfId="215" xr:uid="{00000000-0005-0000-0000-0000B6000000}"/>
    <cellStyle name="Comma 2 2 19" xfId="216" xr:uid="{00000000-0005-0000-0000-0000B7000000}"/>
    <cellStyle name="Comma 2 2 2" xfId="217" xr:uid="{00000000-0005-0000-0000-0000B8000000}"/>
    <cellStyle name="Comma 2 2 2 2" xfId="218" xr:uid="{00000000-0005-0000-0000-0000B9000000}"/>
    <cellStyle name="Comma 2 2 2 2 2" xfId="219" xr:uid="{00000000-0005-0000-0000-0000BA000000}"/>
    <cellStyle name="Comma 2 2 2 3" xfId="220" xr:uid="{00000000-0005-0000-0000-0000BB000000}"/>
    <cellStyle name="Comma 2 2 3" xfId="221" xr:uid="{00000000-0005-0000-0000-0000BC000000}"/>
    <cellStyle name="Comma 2 2 3 2" xfId="222" xr:uid="{00000000-0005-0000-0000-0000BD000000}"/>
    <cellStyle name="Comma 2 2 3 2 2" xfId="223" xr:uid="{00000000-0005-0000-0000-0000BE000000}"/>
    <cellStyle name="Comma 2 2 3 2 2 2" xfId="224" xr:uid="{00000000-0005-0000-0000-0000BF000000}"/>
    <cellStyle name="Comma 2 2 3 2 3" xfId="225" xr:uid="{00000000-0005-0000-0000-0000C0000000}"/>
    <cellStyle name="Comma 2 2 3 3" xfId="226" xr:uid="{00000000-0005-0000-0000-0000C1000000}"/>
    <cellStyle name="Comma 2 2 3 3 2" xfId="227" xr:uid="{00000000-0005-0000-0000-0000C2000000}"/>
    <cellStyle name="Comma 2 2 3 3 2 2" xfId="228" xr:uid="{00000000-0005-0000-0000-0000C3000000}"/>
    <cellStyle name="Comma 2 2 3 3 3" xfId="229" xr:uid="{00000000-0005-0000-0000-0000C4000000}"/>
    <cellStyle name="Comma 2 2 3 4" xfId="230" xr:uid="{00000000-0005-0000-0000-0000C5000000}"/>
    <cellStyle name="Comma 2 2 3 4 2" xfId="231" xr:uid="{00000000-0005-0000-0000-0000C6000000}"/>
    <cellStyle name="Comma 2 2 3 4 2 2" xfId="232" xr:uid="{00000000-0005-0000-0000-0000C7000000}"/>
    <cellStyle name="Comma 2 2 3 4 3" xfId="233" xr:uid="{00000000-0005-0000-0000-0000C8000000}"/>
    <cellStyle name="Comma 2 2 3 5" xfId="234" xr:uid="{00000000-0005-0000-0000-0000C9000000}"/>
    <cellStyle name="Comma 2 2 3 5 2" xfId="235" xr:uid="{00000000-0005-0000-0000-0000CA000000}"/>
    <cellStyle name="Comma 2 2 3 5 2 2" xfId="236" xr:uid="{00000000-0005-0000-0000-0000CB000000}"/>
    <cellStyle name="Comma 2 2 3 5 3" xfId="237" xr:uid="{00000000-0005-0000-0000-0000CC000000}"/>
    <cellStyle name="Comma 2 2 3 6" xfId="238" xr:uid="{00000000-0005-0000-0000-0000CD000000}"/>
    <cellStyle name="Comma 2 2 3 6 2" xfId="239" xr:uid="{00000000-0005-0000-0000-0000CE000000}"/>
    <cellStyle name="Comma 2 2 3 7" xfId="240" xr:uid="{00000000-0005-0000-0000-0000CF000000}"/>
    <cellStyle name="Comma 2 2 4" xfId="241" xr:uid="{00000000-0005-0000-0000-0000D0000000}"/>
    <cellStyle name="Comma 2 2 4 2" xfId="242" xr:uid="{00000000-0005-0000-0000-0000D1000000}"/>
    <cellStyle name="Comma 2 2 4 2 2" xfId="243" xr:uid="{00000000-0005-0000-0000-0000D2000000}"/>
    <cellStyle name="Comma 2 2 4 2 2 2" xfId="244" xr:uid="{00000000-0005-0000-0000-0000D3000000}"/>
    <cellStyle name="Comma 2 2 4 2 3" xfId="245" xr:uid="{00000000-0005-0000-0000-0000D4000000}"/>
    <cellStyle name="Comma 2 2 4 3" xfId="246" xr:uid="{00000000-0005-0000-0000-0000D5000000}"/>
    <cellStyle name="Comma 2 2 4 3 2" xfId="247" xr:uid="{00000000-0005-0000-0000-0000D6000000}"/>
    <cellStyle name="Comma 2 2 4 3 2 2" xfId="248" xr:uid="{00000000-0005-0000-0000-0000D7000000}"/>
    <cellStyle name="Comma 2 2 4 3 3" xfId="249" xr:uid="{00000000-0005-0000-0000-0000D8000000}"/>
    <cellStyle name="Comma 2 2 4 4" xfId="250" xr:uid="{00000000-0005-0000-0000-0000D9000000}"/>
    <cellStyle name="Comma 2 2 4 4 2" xfId="251" xr:uid="{00000000-0005-0000-0000-0000DA000000}"/>
    <cellStyle name="Comma 2 2 4 4 2 2" xfId="252" xr:uid="{00000000-0005-0000-0000-0000DB000000}"/>
    <cellStyle name="Comma 2 2 4 4 3" xfId="253" xr:uid="{00000000-0005-0000-0000-0000DC000000}"/>
    <cellStyle name="Comma 2 2 4 5" xfId="254" xr:uid="{00000000-0005-0000-0000-0000DD000000}"/>
    <cellStyle name="Comma 2 2 4 5 2" xfId="255" xr:uid="{00000000-0005-0000-0000-0000DE000000}"/>
    <cellStyle name="Comma 2 2 4 5 2 2" xfId="256" xr:uid="{00000000-0005-0000-0000-0000DF000000}"/>
    <cellStyle name="Comma 2 2 4 5 3" xfId="257" xr:uid="{00000000-0005-0000-0000-0000E0000000}"/>
    <cellStyle name="Comma 2 2 4 6" xfId="258" xr:uid="{00000000-0005-0000-0000-0000E1000000}"/>
    <cellStyle name="Comma 2 2 4 6 2" xfId="259" xr:uid="{00000000-0005-0000-0000-0000E2000000}"/>
    <cellStyle name="Comma 2 2 4 7" xfId="260" xr:uid="{00000000-0005-0000-0000-0000E3000000}"/>
    <cellStyle name="Comma 2 2 5" xfId="261" xr:uid="{00000000-0005-0000-0000-0000E4000000}"/>
    <cellStyle name="Comma 2 2 5 2" xfId="262" xr:uid="{00000000-0005-0000-0000-0000E5000000}"/>
    <cellStyle name="Comma 2 2 5 2 2" xfId="263" xr:uid="{00000000-0005-0000-0000-0000E6000000}"/>
    <cellStyle name="Comma 2 2 5 2 2 2" xfId="264" xr:uid="{00000000-0005-0000-0000-0000E7000000}"/>
    <cellStyle name="Comma 2 2 5 2 3" xfId="265" xr:uid="{00000000-0005-0000-0000-0000E8000000}"/>
    <cellStyle name="Comma 2 2 5 3" xfId="266" xr:uid="{00000000-0005-0000-0000-0000E9000000}"/>
    <cellStyle name="Comma 2 2 5 3 2" xfId="267" xr:uid="{00000000-0005-0000-0000-0000EA000000}"/>
    <cellStyle name="Comma 2 2 5 3 2 2" xfId="268" xr:uid="{00000000-0005-0000-0000-0000EB000000}"/>
    <cellStyle name="Comma 2 2 5 3 3" xfId="269" xr:uid="{00000000-0005-0000-0000-0000EC000000}"/>
    <cellStyle name="Comma 2 2 5 4" xfId="270" xr:uid="{00000000-0005-0000-0000-0000ED000000}"/>
    <cellStyle name="Comma 2 2 5 4 2" xfId="271" xr:uid="{00000000-0005-0000-0000-0000EE000000}"/>
    <cellStyle name="Comma 2 2 5 4 2 2" xfId="272" xr:uid="{00000000-0005-0000-0000-0000EF000000}"/>
    <cellStyle name="Comma 2 2 5 4 3" xfId="273" xr:uid="{00000000-0005-0000-0000-0000F0000000}"/>
    <cellStyle name="Comma 2 2 5 5" xfId="274" xr:uid="{00000000-0005-0000-0000-0000F1000000}"/>
    <cellStyle name="Comma 2 2 5 5 2" xfId="275" xr:uid="{00000000-0005-0000-0000-0000F2000000}"/>
    <cellStyle name="Comma 2 2 5 5 2 2" xfId="276" xr:uid="{00000000-0005-0000-0000-0000F3000000}"/>
    <cellStyle name="Comma 2 2 5 5 3" xfId="277" xr:uid="{00000000-0005-0000-0000-0000F4000000}"/>
    <cellStyle name="Comma 2 2 5 6" xfId="278" xr:uid="{00000000-0005-0000-0000-0000F5000000}"/>
    <cellStyle name="Comma 2 2 5 6 2" xfId="279" xr:uid="{00000000-0005-0000-0000-0000F6000000}"/>
    <cellStyle name="Comma 2 2 5 7" xfId="280" xr:uid="{00000000-0005-0000-0000-0000F7000000}"/>
    <cellStyle name="Comma 2 2 6" xfId="281" xr:uid="{00000000-0005-0000-0000-0000F8000000}"/>
    <cellStyle name="Comma 2 2 6 2" xfId="282" xr:uid="{00000000-0005-0000-0000-0000F9000000}"/>
    <cellStyle name="Comma 2 2 6 2 2" xfId="283" xr:uid="{00000000-0005-0000-0000-0000FA000000}"/>
    <cellStyle name="Comma 2 2 6 2 2 2" xfId="284" xr:uid="{00000000-0005-0000-0000-0000FB000000}"/>
    <cellStyle name="Comma 2 2 6 2 3" xfId="285" xr:uid="{00000000-0005-0000-0000-0000FC000000}"/>
    <cellStyle name="Comma 2 2 6 3" xfId="286" xr:uid="{00000000-0005-0000-0000-0000FD000000}"/>
    <cellStyle name="Comma 2 2 6 3 2" xfId="287" xr:uid="{00000000-0005-0000-0000-0000FE000000}"/>
    <cellStyle name="Comma 2 2 6 3 2 2" xfId="288" xr:uid="{00000000-0005-0000-0000-0000FF000000}"/>
    <cellStyle name="Comma 2 2 6 3 3" xfId="289" xr:uid="{00000000-0005-0000-0000-000000010000}"/>
    <cellStyle name="Comma 2 2 6 4" xfId="290" xr:uid="{00000000-0005-0000-0000-000001010000}"/>
    <cellStyle name="Comma 2 2 6 4 2" xfId="291" xr:uid="{00000000-0005-0000-0000-000002010000}"/>
    <cellStyle name="Comma 2 2 6 4 2 2" xfId="292" xr:uid="{00000000-0005-0000-0000-000003010000}"/>
    <cellStyle name="Comma 2 2 6 4 3" xfId="293" xr:uid="{00000000-0005-0000-0000-000004010000}"/>
    <cellStyle name="Comma 2 2 6 5" xfId="294" xr:uid="{00000000-0005-0000-0000-000005010000}"/>
    <cellStyle name="Comma 2 2 6 5 2" xfId="295" xr:uid="{00000000-0005-0000-0000-000006010000}"/>
    <cellStyle name="Comma 2 2 6 6" xfId="296" xr:uid="{00000000-0005-0000-0000-000007010000}"/>
    <cellStyle name="Comma 2 2 7" xfId="297" xr:uid="{00000000-0005-0000-0000-000008010000}"/>
    <cellStyle name="Comma 2 2 7 2" xfId="298" xr:uid="{00000000-0005-0000-0000-000009010000}"/>
    <cellStyle name="Comma 2 2 7 2 2" xfId="299" xr:uid="{00000000-0005-0000-0000-00000A010000}"/>
    <cellStyle name="Comma 2 2 7 2 2 2" xfId="300" xr:uid="{00000000-0005-0000-0000-00000B010000}"/>
    <cellStyle name="Comma 2 2 7 2 3" xfId="301" xr:uid="{00000000-0005-0000-0000-00000C010000}"/>
    <cellStyle name="Comma 2 2 7 3" xfId="302" xr:uid="{00000000-0005-0000-0000-00000D010000}"/>
    <cellStyle name="Comma 2 2 7 3 2" xfId="303" xr:uid="{00000000-0005-0000-0000-00000E010000}"/>
    <cellStyle name="Comma 2 2 7 3 2 2" xfId="304" xr:uid="{00000000-0005-0000-0000-00000F010000}"/>
    <cellStyle name="Comma 2 2 7 3 3" xfId="305" xr:uid="{00000000-0005-0000-0000-000010010000}"/>
    <cellStyle name="Comma 2 2 7 4" xfId="306" xr:uid="{00000000-0005-0000-0000-000011010000}"/>
    <cellStyle name="Comma 2 2 7 4 2" xfId="307" xr:uid="{00000000-0005-0000-0000-000012010000}"/>
    <cellStyle name="Comma 2 2 7 4 2 2" xfId="308" xr:uid="{00000000-0005-0000-0000-000013010000}"/>
    <cellStyle name="Comma 2 2 7 4 3" xfId="309" xr:uid="{00000000-0005-0000-0000-000014010000}"/>
    <cellStyle name="Comma 2 2 7 5" xfId="310" xr:uid="{00000000-0005-0000-0000-000015010000}"/>
    <cellStyle name="Comma 2 2 7 5 2" xfId="311" xr:uid="{00000000-0005-0000-0000-000016010000}"/>
    <cellStyle name="Comma 2 2 7 6" xfId="312" xr:uid="{00000000-0005-0000-0000-000017010000}"/>
    <cellStyle name="Comma 2 2 8" xfId="313" xr:uid="{00000000-0005-0000-0000-000018010000}"/>
    <cellStyle name="Comma 2 2 8 2" xfId="314" xr:uid="{00000000-0005-0000-0000-000019010000}"/>
    <cellStyle name="Comma 2 2 8 2 2" xfId="315" xr:uid="{00000000-0005-0000-0000-00001A010000}"/>
    <cellStyle name="Comma 2 2 8 2 2 2" xfId="316" xr:uid="{00000000-0005-0000-0000-00001B010000}"/>
    <cellStyle name="Comma 2 2 8 2 3" xfId="317" xr:uid="{00000000-0005-0000-0000-00001C010000}"/>
    <cellStyle name="Comma 2 2 8 3" xfId="318" xr:uid="{00000000-0005-0000-0000-00001D010000}"/>
    <cellStyle name="Comma 2 2 8 3 2" xfId="319" xr:uid="{00000000-0005-0000-0000-00001E010000}"/>
    <cellStyle name="Comma 2 2 8 3 2 2" xfId="320" xr:uid="{00000000-0005-0000-0000-00001F010000}"/>
    <cellStyle name="Comma 2 2 8 3 3" xfId="321" xr:uid="{00000000-0005-0000-0000-000020010000}"/>
    <cellStyle name="Comma 2 2 8 4" xfId="322" xr:uid="{00000000-0005-0000-0000-000021010000}"/>
    <cellStyle name="Comma 2 2 8 4 2" xfId="323" xr:uid="{00000000-0005-0000-0000-000022010000}"/>
    <cellStyle name="Comma 2 2 8 4 2 2" xfId="324" xr:uid="{00000000-0005-0000-0000-000023010000}"/>
    <cellStyle name="Comma 2 2 8 4 3" xfId="325" xr:uid="{00000000-0005-0000-0000-000024010000}"/>
    <cellStyle name="Comma 2 2 8 5" xfId="326" xr:uid="{00000000-0005-0000-0000-000025010000}"/>
    <cellStyle name="Comma 2 2 8 5 2" xfId="327" xr:uid="{00000000-0005-0000-0000-000026010000}"/>
    <cellStyle name="Comma 2 2 8 6" xfId="328" xr:uid="{00000000-0005-0000-0000-000027010000}"/>
    <cellStyle name="Comma 2 2 9" xfId="329" xr:uid="{00000000-0005-0000-0000-000028010000}"/>
    <cellStyle name="Comma 2 2 9 2" xfId="330" xr:uid="{00000000-0005-0000-0000-000029010000}"/>
    <cellStyle name="Comma 2 2 9 2 2" xfId="331" xr:uid="{00000000-0005-0000-0000-00002A010000}"/>
    <cellStyle name="Comma 2 2 9 3" xfId="332" xr:uid="{00000000-0005-0000-0000-00002B010000}"/>
    <cellStyle name="Comma 2 3" xfId="333" xr:uid="{00000000-0005-0000-0000-00002C010000}"/>
    <cellStyle name="Comma 2 3 2" xfId="334" xr:uid="{00000000-0005-0000-0000-00002D010000}"/>
    <cellStyle name="Comma 2 3 2 2" xfId="335" xr:uid="{00000000-0005-0000-0000-00002E010000}"/>
    <cellStyle name="Comma 2 3 2 2 2" xfId="336" xr:uid="{00000000-0005-0000-0000-00002F010000}"/>
    <cellStyle name="Comma 2 3 2 3" xfId="337" xr:uid="{00000000-0005-0000-0000-000030010000}"/>
    <cellStyle name="Comma 2 3 3" xfId="338" xr:uid="{00000000-0005-0000-0000-000031010000}"/>
    <cellStyle name="Comma 2 3 3 2" xfId="339" xr:uid="{00000000-0005-0000-0000-000032010000}"/>
    <cellStyle name="Comma 2 3 3 2 2" xfId="340" xr:uid="{00000000-0005-0000-0000-000033010000}"/>
    <cellStyle name="Comma 2 3 3 3" xfId="341" xr:uid="{00000000-0005-0000-0000-000034010000}"/>
    <cellStyle name="Comma 2 3 4" xfId="342" xr:uid="{00000000-0005-0000-0000-000035010000}"/>
    <cellStyle name="Comma 2 3 4 2" xfId="343" xr:uid="{00000000-0005-0000-0000-000036010000}"/>
    <cellStyle name="Comma 2 3 4 2 2" xfId="344" xr:uid="{00000000-0005-0000-0000-000037010000}"/>
    <cellStyle name="Comma 2 3 4 3" xfId="345" xr:uid="{00000000-0005-0000-0000-000038010000}"/>
    <cellStyle name="Comma 2 3 5" xfId="346" xr:uid="{00000000-0005-0000-0000-000039010000}"/>
    <cellStyle name="Comma 2 3 5 2" xfId="347" xr:uid="{00000000-0005-0000-0000-00003A010000}"/>
    <cellStyle name="Comma 2 3 5 2 2" xfId="348" xr:uid="{00000000-0005-0000-0000-00003B010000}"/>
    <cellStyle name="Comma 2 3 5 3" xfId="349" xr:uid="{00000000-0005-0000-0000-00003C010000}"/>
    <cellStyle name="Comma 2 3 6" xfId="350" xr:uid="{00000000-0005-0000-0000-00003D010000}"/>
    <cellStyle name="Comma 2 3 6 2" xfId="351" xr:uid="{00000000-0005-0000-0000-00003E010000}"/>
    <cellStyle name="Comma 2 3 7" xfId="352" xr:uid="{00000000-0005-0000-0000-00003F010000}"/>
    <cellStyle name="Comma 2 4" xfId="353" xr:uid="{00000000-0005-0000-0000-000040010000}"/>
    <cellStyle name="Comma 2 4 2" xfId="354" xr:uid="{00000000-0005-0000-0000-000041010000}"/>
    <cellStyle name="Comma 2 4 2 2" xfId="355" xr:uid="{00000000-0005-0000-0000-000042010000}"/>
    <cellStyle name="Comma 2 4 2 2 2" xfId="356" xr:uid="{00000000-0005-0000-0000-000043010000}"/>
    <cellStyle name="Comma 2 4 2 3" xfId="357" xr:uid="{00000000-0005-0000-0000-000044010000}"/>
    <cellStyle name="Comma 2 4 3" xfId="358" xr:uid="{00000000-0005-0000-0000-000045010000}"/>
    <cellStyle name="Comma 2 4 3 2" xfId="359" xr:uid="{00000000-0005-0000-0000-000046010000}"/>
    <cellStyle name="Comma 2 4 3 2 2" xfId="360" xr:uid="{00000000-0005-0000-0000-000047010000}"/>
    <cellStyle name="Comma 2 4 3 3" xfId="361" xr:uid="{00000000-0005-0000-0000-000048010000}"/>
    <cellStyle name="Comma 2 4 4" xfId="362" xr:uid="{00000000-0005-0000-0000-000049010000}"/>
    <cellStyle name="Comma 2 4 4 2" xfId="363" xr:uid="{00000000-0005-0000-0000-00004A010000}"/>
    <cellStyle name="Comma 2 4 4 2 2" xfId="364" xr:uid="{00000000-0005-0000-0000-00004B010000}"/>
    <cellStyle name="Comma 2 4 4 3" xfId="365" xr:uid="{00000000-0005-0000-0000-00004C010000}"/>
    <cellStyle name="Comma 2 4 5" xfId="366" xr:uid="{00000000-0005-0000-0000-00004D010000}"/>
    <cellStyle name="Comma 2 4 5 2" xfId="367" xr:uid="{00000000-0005-0000-0000-00004E010000}"/>
    <cellStyle name="Comma 2 4 5 2 2" xfId="368" xr:uid="{00000000-0005-0000-0000-00004F010000}"/>
    <cellStyle name="Comma 2 4 5 3" xfId="369" xr:uid="{00000000-0005-0000-0000-000050010000}"/>
    <cellStyle name="Comma 2 4 6" xfId="370" xr:uid="{00000000-0005-0000-0000-000051010000}"/>
    <cellStyle name="Comma 2 4 6 2" xfId="371" xr:uid="{00000000-0005-0000-0000-000052010000}"/>
    <cellStyle name="Comma 2 4 7" xfId="372" xr:uid="{00000000-0005-0000-0000-000053010000}"/>
    <cellStyle name="Comma 2 5" xfId="373" xr:uid="{00000000-0005-0000-0000-000054010000}"/>
    <cellStyle name="Comma 2 5 2" xfId="374" xr:uid="{00000000-0005-0000-0000-000055010000}"/>
    <cellStyle name="Comma 2 5 2 2" xfId="375" xr:uid="{00000000-0005-0000-0000-000056010000}"/>
    <cellStyle name="Comma 2 5 2 2 2" xfId="376" xr:uid="{00000000-0005-0000-0000-000057010000}"/>
    <cellStyle name="Comma 2 5 2 3" xfId="377" xr:uid="{00000000-0005-0000-0000-000058010000}"/>
    <cellStyle name="Comma 2 5 3" xfId="378" xr:uid="{00000000-0005-0000-0000-000059010000}"/>
    <cellStyle name="Comma 2 5 3 2" xfId="379" xr:uid="{00000000-0005-0000-0000-00005A010000}"/>
    <cellStyle name="Comma 2 5 3 2 2" xfId="380" xr:uid="{00000000-0005-0000-0000-00005B010000}"/>
    <cellStyle name="Comma 2 5 3 3" xfId="381" xr:uid="{00000000-0005-0000-0000-00005C010000}"/>
    <cellStyle name="Comma 2 5 4" xfId="382" xr:uid="{00000000-0005-0000-0000-00005D010000}"/>
    <cellStyle name="Comma 2 5 4 2" xfId="383" xr:uid="{00000000-0005-0000-0000-00005E010000}"/>
    <cellStyle name="Comma 2 5 4 2 2" xfId="384" xr:uid="{00000000-0005-0000-0000-00005F010000}"/>
    <cellStyle name="Comma 2 5 4 3" xfId="385" xr:uid="{00000000-0005-0000-0000-000060010000}"/>
    <cellStyle name="Comma 2 5 5" xfId="386" xr:uid="{00000000-0005-0000-0000-000061010000}"/>
    <cellStyle name="Comma 2 5 5 2" xfId="387" xr:uid="{00000000-0005-0000-0000-000062010000}"/>
    <cellStyle name="Comma 2 5 5 2 2" xfId="388" xr:uid="{00000000-0005-0000-0000-000063010000}"/>
    <cellStyle name="Comma 2 5 5 3" xfId="389" xr:uid="{00000000-0005-0000-0000-000064010000}"/>
    <cellStyle name="Comma 2 5 6" xfId="390" xr:uid="{00000000-0005-0000-0000-000065010000}"/>
    <cellStyle name="Comma 2 5 6 2" xfId="391" xr:uid="{00000000-0005-0000-0000-000066010000}"/>
    <cellStyle name="Comma 2 5 7" xfId="392" xr:uid="{00000000-0005-0000-0000-000067010000}"/>
    <cellStyle name="Comma 2 6" xfId="393" xr:uid="{00000000-0005-0000-0000-000068010000}"/>
    <cellStyle name="Comma 2 6 2" xfId="394" xr:uid="{00000000-0005-0000-0000-000069010000}"/>
    <cellStyle name="Comma 2 6 2 2" xfId="395" xr:uid="{00000000-0005-0000-0000-00006A010000}"/>
    <cellStyle name="Comma 2 6 2 2 2" xfId="396" xr:uid="{00000000-0005-0000-0000-00006B010000}"/>
    <cellStyle name="Comma 2 6 2 3" xfId="397" xr:uid="{00000000-0005-0000-0000-00006C010000}"/>
    <cellStyle name="Comma 2 6 3" xfId="398" xr:uid="{00000000-0005-0000-0000-00006D010000}"/>
    <cellStyle name="Comma 2 6 3 2" xfId="399" xr:uid="{00000000-0005-0000-0000-00006E010000}"/>
    <cellStyle name="Comma 2 6 3 2 2" xfId="400" xr:uid="{00000000-0005-0000-0000-00006F010000}"/>
    <cellStyle name="Comma 2 6 3 3" xfId="401" xr:uid="{00000000-0005-0000-0000-000070010000}"/>
    <cellStyle name="Comma 2 6 4" xfId="402" xr:uid="{00000000-0005-0000-0000-000071010000}"/>
    <cellStyle name="Comma 2 6 4 2" xfId="403" xr:uid="{00000000-0005-0000-0000-000072010000}"/>
    <cellStyle name="Comma 2 6 4 2 2" xfId="404" xr:uid="{00000000-0005-0000-0000-000073010000}"/>
    <cellStyle name="Comma 2 6 4 3" xfId="405" xr:uid="{00000000-0005-0000-0000-000074010000}"/>
    <cellStyle name="Comma 2 6 5" xfId="406" xr:uid="{00000000-0005-0000-0000-000075010000}"/>
    <cellStyle name="Comma 2 6 5 2" xfId="407" xr:uid="{00000000-0005-0000-0000-000076010000}"/>
    <cellStyle name="Comma 2 6 5 2 2" xfId="408" xr:uid="{00000000-0005-0000-0000-000077010000}"/>
    <cellStyle name="Comma 2 6 5 3" xfId="409" xr:uid="{00000000-0005-0000-0000-000078010000}"/>
    <cellStyle name="Comma 2 6 6" xfId="410" xr:uid="{00000000-0005-0000-0000-000079010000}"/>
    <cellStyle name="Comma 2 6 6 2" xfId="411" xr:uid="{00000000-0005-0000-0000-00007A010000}"/>
    <cellStyle name="Comma 2 6 7" xfId="412" xr:uid="{00000000-0005-0000-0000-00007B010000}"/>
    <cellStyle name="Comma 2 7" xfId="413" xr:uid="{00000000-0005-0000-0000-00007C010000}"/>
    <cellStyle name="Comma 2 7 2" xfId="414" xr:uid="{00000000-0005-0000-0000-00007D010000}"/>
    <cellStyle name="Comma 2 7 2 2" xfId="415" xr:uid="{00000000-0005-0000-0000-00007E010000}"/>
    <cellStyle name="Comma 2 7 2 2 2" xfId="416" xr:uid="{00000000-0005-0000-0000-00007F010000}"/>
    <cellStyle name="Comma 2 7 2 3" xfId="417" xr:uid="{00000000-0005-0000-0000-000080010000}"/>
    <cellStyle name="Comma 2 7 3" xfId="418" xr:uid="{00000000-0005-0000-0000-000081010000}"/>
    <cellStyle name="Comma 2 7 3 2" xfId="419" xr:uid="{00000000-0005-0000-0000-000082010000}"/>
    <cellStyle name="Comma 2 7 3 2 2" xfId="420" xr:uid="{00000000-0005-0000-0000-000083010000}"/>
    <cellStyle name="Comma 2 7 3 3" xfId="421" xr:uid="{00000000-0005-0000-0000-000084010000}"/>
    <cellStyle name="Comma 2 7 4" xfId="422" xr:uid="{00000000-0005-0000-0000-000085010000}"/>
    <cellStyle name="Comma 2 7 4 2" xfId="423" xr:uid="{00000000-0005-0000-0000-000086010000}"/>
    <cellStyle name="Comma 2 7 4 2 2" xfId="424" xr:uid="{00000000-0005-0000-0000-000087010000}"/>
    <cellStyle name="Comma 2 7 4 3" xfId="425" xr:uid="{00000000-0005-0000-0000-000088010000}"/>
    <cellStyle name="Comma 2 7 5" xfId="426" xr:uid="{00000000-0005-0000-0000-000089010000}"/>
    <cellStyle name="Comma 2 7 5 2" xfId="427" xr:uid="{00000000-0005-0000-0000-00008A010000}"/>
    <cellStyle name="Comma 2 7 6" xfId="428" xr:uid="{00000000-0005-0000-0000-00008B010000}"/>
    <cellStyle name="Comma 2 8" xfId="429" xr:uid="{00000000-0005-0000-0000-00008C010000}"/>
    <cellStyle name="Comma 2 8 2" xfId="430" xr:uid="{00000000-0005-0000-0000-00008D010000}"/>
    <cellStyle name="Comma 2 8 2 2" xfId="431" xr:uid="{00000000-0005-0000-0000-00008E010000}"/>
    <cellStyle name="Comma 2 8 2 2 2" xfId="432" xr:uid="{00000000-0005-0000-0000-00008F010000}"/>
    <cellStyle name="Comma 2 8 2 3" xfId="433" xr:uid="{00000000-0005-0000-0000-000090010000}"/>
    <cellStyle name="Comma 2 8 3" xfId="434" xr:uid="{00000000-0005-0000-0000-000091010000}"/>
    <cellStyle name="Comma 2 8 3 2" xfId="435" xr:uid="{00000000-0005-0000-0000-000092010000}"/>
    <cellStyle name="Comma 2 8 3 2 2" xfId="436" xr:uid="{00000000-0005-0000-0000-000093010000}"/>
    <cellStyle name="Comma 2 8 3 3" xfId="437" xr:uid="{00000000-0005-0000-0000-000094010000}"/>
    <cellStyle name="Comma 2 8 4" xfId="438" xr:uid="{00000000-0005-0000-0000-000095010000}"/>
    <cellStyle name="Comma 2 8 4 2" xfId="439" xr:uid="{00000000-0005-0000-0000-000096010000}"/>
    <cellStyle name="Comma 2 8 4 2 2" xfId="440" xr:uid="{00000000-0005-0000-0000-000097010000}"/>
    <cellStyle name="Comma 2 8 4 3" xfId="441" xr:uid="{00000000-0005-0000-0000-000098010000}"/>
    <cellStyle name="Comma 2 8 5" xfId="442" xr:uid="{00000000-0005-0000-0000-000099010000}"/>
    <cellStyle name="Comma 2 8 5 2" xfId="443" xr:uid="{00000000-0005-0000-0000-00009A010000}"/>
    <cellStyle name="Comma 2 8 6" xfId="444" xr:uid="{00000000-0005-0000-0000-00009B010000}"/>
    <cellStyle name="Comma 2 9" xfId="445" xr:uid="{00000000-0005-0000-0000-00009C010000}"/>
    <cellStyle name="Comma 2 9 2" xfId="446" xr:uid="{00000000-0005-0000-0000-00009D010000}"/>
    <cellStyle name="Comma 2 9 2 2" xfId="447" xr:uid="{00000000-0005-0000-0000-00009E010000}"/>
    <cellStyle name="Comma 2 9 3" xfId="448" xr:uid="{00000000-0005-0000-0000-00009F010000}"/>
    <cellStyle name="Comma 3" xfId="3" xr:uid="{00000000-0005-0000-0000-0000A0010000}"/>
    <cellStyle name="Comma 3 10" xfId="449" xr:uid="{00000000-0005-0000-0000-0000A1010000}"/>
    <cellStyle name="Comma 3 10 2" xfId="450" xr:uid="{00000000-0005-0000-0000-0000A2010000}"/>
    <cellStyle name="Comma 3 10 2 2" xfId="451" xr:uid="{00000000-0005-0000-0000-0000A3010000}"/>
    <cellStyle name="Comma 3 10 3" xfId="452" xr:uid="{00000000-0005-0000-0000-0000A4010000}"/>
    <cellStyle name="Comma 3 11" xfId="453" xr:uid="{00000000-0005-0000-0000-0000A5010000}"/>
    <cellStyle name="Comma 3 11 2" xfId="454" xr:uid="{00000000-0005-0000-0000-0000A6010000}"/>
    <cellStyle name="Comma 3 11 2 2" xfId="455" xr:uid="{00000000-0005-0000-0000-0000A7010000}"/>
    <cellStyle name="Comma 3 11 3" xfId="456" xr:uid="{00000000-0005-0000-0000-0000A8010000}"/>
    <cellStyle name="Comma 3 12" xfId="457" xr:uid="{00000000-0005-0000-0000-0000A9010000}"/>
    <cellStyle name="Comma 3 12 2" xfId="458" xr:uid="{00000000-0005-0000-0000-0000AA010000}"/>
    <cellStyle name="Comma 3 12 2 2" xfId="459" xr:uid="{00000000-0005-0000-0000-0000AB010000}"/>
    <cellStyle name="Comma 3 12 3" xfId="460" xr:uid="{00000000-0005-0000-0000-0000AC010000}"/>
    <cellStyle name="Comma 3 13" xfId="461" xr:uid="{00000000-0005-0000-0000-0000AD010000}"/>
    <cellStyle name="Comma 3 13 2" xfId="462" xr:uid="{00000000-0005-0000-0000-0000AE010000}"/>
    <cellStyle name="Comma 3 13 2 2" xfId="463" xr:uid="{00000000-0005-0000-0000-0000AF010000}"/>
    <cellStyle name="Comma 3 13 2 2 2" xfId="464" xr:uid="{00000000-0005-0000-0000-0000B0010000}"/>
    <cellStyle name="Comma 3 13 2 3" xfId="465" xr:uid="{00000000-0005-0000-0000-0000B1010000}"/>
    <cellStyle name="Comma 3 13 3" xfId="466" xr:uid="{00000000-0005-0000-0000-0000B2010000}"/>
    <cellStyle name="Comma 3 13 3 2" xfId="467" xr:uid="{00000000-0005-0000-0000-0000B3010000}"/>
    <cellStyle name="Comma 3 13 3 2 2" xfId="468" xr:uid="{00000000-0005-0000-0000-0000B4010000}"/>
    <cellStyle name="Comma 3 13 3 3" xfId="469" xr:uid="{00000000-0005-0000-0000-0000B5010000}"/>
    <cellStyle name="Comma 3 13 4" xfId="470" xr:uid="{00000000-0005-0000-0000-0000B6010000}"/>
    <cellStyle name="Comma 3 13 4 2" xfId="471" xr:uid="{00000000-0005-0000-0000-0000B7010000}"/>
    <cellStyle name="Comma 3 13 5" xfId="472" xr:uid="{00000000-0005-0000-0000-0000B8010000}"/>
    <cellStyle name="Comma 3 14" xfId="473" xr:uid="{00000000-0005-0000-0000-0000B9010000}"/>
    <cellStyle name="Comma 3 14 2" xfId="474" xr:uid="{00000000-0005-0000-0000-0000BA010000}"/>
    <cellStyle name="Comma 3 14 2 2" xfId="475" xr:uid="{00000000-0005-0000-0000-0000BB010000}"/>
    <cellStyle name="Comma 3 14 2 2 2" xfId="476" xr:uid="{00000000-0005-0000-0000-0000BC010000}"/>
    <cellStyle name="Comma 3 14 2 3" xfId="477" xr:uid="{00000000-0005-0000-0000-0000BD010000}"/>
    <cellStyle name="Comma 3 14 3" xfId="478" xr:uid="{00000000-0005-0000-0000-0000BE010000}"/>
    <cellStyle name="Comma 3 14 3 2" xfId="479" xr:uid="{00000000-0005-0000-0000-0000BF010000}"/>
    <cellStyle name="Comma 3 14 3 2 2" xfId="480" xr:uid="{00000000-0005-0000-0000-0000C0010000}"/>
    <cellStyle name="Comma 3 14 3 3" xfId="481" xr:uid="{00000000-0005-0000-0000-0000C1010000}"/>
    <cellStyle name="Comma 3 14 4" xfId="482" xr:uid="{00000000-0005-0000-0000-0000C2010000}"/>
    <cellStyle name="Comma 3 14 4 2" xfId="483" xr:uid="{00000000-0005-0000-0000-0000C3010000}"/>
    <cellStyle name="Comma 3 14 4 2 2" xfId="484" xr:uid="{00000000-0005-0000-0000-0000C4010000}"/>
    <cellStyle name="Comma 3 14 4 3" xfId="485" xr:uid="{00000000-0005-0000-0000-0000C5010000}"/>
    <cellStyle name="Comma 3 14 5" xfId="486" xr:uid="{00000000-0005-0000-0000-0000C6010000}"/>
    <cellStyle name="Comma 3 14 5 2" xfId="487" xr:uid="{00000000-0005-0000-0000-0000C7010000}"/>
    <cellStyle name="Comma 3 14 6" xfId="488" xr:uid="{00000000-0005-0000-0000-0000C8010000}"/>
    <cellStyle name="Comma 3 15" xfId="489" xr:uid="{00000000-0005-0000-0000-0000C9010000}"/>
    <cellStyle name="Comma 3 15 2" xfId="490" xr:uid="{00000000-0005-0000-0000-0000CA010000}"/>
    <cellStyle name="Comma 3 15 2 2" xfId="491" xr:uid="{00000000-0005-0000-0000-0000CB010000}"/>
    <cellStyle name="Comma 3 15 2 2 2" xfId="492" xr:uid="{00000000-0005-0000-0000-0000CC010000}"/>
    <cellStyle name="Comma 3 15 2 3" xfId="493" xr:uid="{00000000-0005-0000-0000-0000CD010000}"/>
    <cellStyle name="Comma 3 15 3" xfId="494" xr:uid="{00000000-0005-0000-0000-0000CE010000}"/>
    <cellStyle name="Comma 3 15 3 2" xfId="495" xr:uid="{00000000-0005-0000-0000-0000CF010000}"/>
    <cellStyle name="Comma 3 15 4" xfId="496" xr:uid="{00000000-0005-0000-0000-0000D0010000}"/>
    <cellStyle name="Comma 3 16" xfId="497" xr:uid="{00000000-0005-0000-0000-0000D1010000}"/>
    <cellStyle name="Comma 3 16 2" xfId="498" xr:uid="{00000000-0005-0000-0000-0000D2010000}"/>
    <cellStyle name="Comma 3 16 2 2" xfId="499" xr:uid="{00000000-0005-0000-0000-0000D3010000}"/>
    <cellStyle name="Comma 3 16 3" xfId="500" xr:uid="{00000000-0005-0000-0000-0000D4010000}"/>
    <cellStyle name="Comma 3 17" xfId="501" xr:uid="{00000000-0005-0000-0000-0000D5010000}"/>
    <cellStyle name="Comma 3 17 2" xfId="502" xr:uid="{00000000-0005-0000-0000-0000D6010000}"/>
    <cellStyle name="Comma 3 17 2 2" xfId="503" xr:uid="{00000000-0005-0000-0000-0000D7010000}"/>
    <cellStyle name="Comma 3 17 3" xfId="504" xr:uid="{00000000-0005-0000-0000-0000D8010000}"/>
    <cellStyle name="Comma 3 18" xfId="505" xr:uid="{00000000-0005-0000-0000-0000D9010000}"/>
    <cellStyle name="Comma 3 18 2" xfId="506" xr:uid="{00000000-0005-0000-0000-0000DA010000}"/>
    <cellStyle name="Comma 3 19" xfId="507" xr:uid="{00000000-0005-0000-0000-0000DB010000}"/>
    <cellStyle name="Comma 3 2" xfId="508" xr:uid="{00000000-0005-0000-0000-0000DC010000}"/>
    <cellStyle name="Comma 3 2 2" xfId="509" xr:uid="{00000000-0005-0000-0000-0000DD010000}"/>
    <cellStyle name="Comma 3 2 2 2" xfId="510" xr:uid="{00000000-0005-0000-0000-0000DE010000}"/>
    <cellStyle name="Comma 3 2 3" xfId="511" xr:uid="{00000000-0005-0000-0000-0000DF010000}"/>
    <cellStyle name="Comma 3 3" xfId="512" xr:uid="{00000000-0005-0000-0000-0000E0010000}"/>
    <cellStyle name="Comma 3 3 2" xfId="513" xr:uid="{00000000-0005-0000-0000-0000E1010000}"/>
    <cellStyle name="Comma 3 3 2 2" xfId="514" xr:uid="{00000000-0005-0000-0000-0000E2010000}"/>
    <cellStyle name="Comma 3 3 2 2 2" xfId="515" xr:uid="{00000000-0005-0000-0000-0000E3010000}"/>
    <cellStyle name="Comma 3 3 2 3" xfId="516" xr:uid="{00000000-0005-0000-0000-0000E4010000}"/>
    <cellStyle name="Comma 3 3 3" xfId="517" xr:uid="{00000000-0005-0000-0000-0000E5010000}"/>
    <cellStyle name="Comma 3 3 3 2" xfId="518" xr:uid="{00000000-0005-0000-0000-0000E6010000}"/>
    <cellStyle name="Comma 3 3 3 2 2" xfId="519" xr:uid="{00000000-0005-0000-0000-0000E7010000}"/>
    <cellStyle name="Comma 3 3 3 3" xfId="520" xr:uid="{00000000-0005-0000-0000-0000E8010000}"/>
    <cellStyle name="Comma 3 3 4" xfId="521" xr:uid="{00000000-0005-0000-0000-0000E9010000}"/>
    <cellStyle name="Comma 3 3 4 2" xfId="522" xr:uid="{00000000-0005-0000-0000-0000EA010000}"/>
    <cellStyle name="Comma 3 3 4 2 2" xfId="523" xr:uid="{00000000-0005-0000-0000-0000EB010000}"/>
    <cellStyle name="Comma 3 3 4 3" xfId="524" xr:uid="{00000000-0005-0000-0000-0000EC010000}"/>
    <cellStyle name="Comma 3 3 5" xfId="525" xr:uid="{00000000-0005-0000-0000-0000ED010000}"/>
    <cellStyle name="Comma 3 3 5 2" xfId="526" xr:uid="{00000000-0005-0000-0000-0000EE010000}"/>
    <cellStyle name="Comma 3 3 5 2 2" xfId="527" xr:uid="{00000000-0005-0000-0000-0000EF010000}"/>
    <cellStyle name="Comma 3 3 5 3" xfId="528" xr:uid="{00000000-0005-0000-0000-0000F0010000}"/>
    <cellStyle name="Comma 3 3 6" xfId="529" xr:uid="{00000000-0005-0000-0000-0000F1010000}"/>
    <cellStyle name="Comma 3 3 6 2" xfId="530" xr:uid="{00000000-0005-0000-0000-0000F2010000}"/>
    <cellStyle name="Comma 3 3 7" xfId="531" xr:uid="{00000000-0005-0000-0000-0000F3010000}"/>
    <cellStyle name="Comma 3 4" xfId="532" xr:uid="{00000000-0005-0000-0000-0000F4010000}"/>
    <cellStyle name="Comma 3 4 2" xfId="533" xr:uid="{00000000-0005-0000-0000-0000F5010000}"/>
    <cellStyle name="Comma 3 4 2 2" xfId="534" xr:uid="{00000000-0005-0000-0000-0000F6010000}"/>
    <cellStyle name="Comma 3 4 2 2 2" xfId="535" xr:uid="{00000000-0005-0000-0000-0000F7010000}"/>
    <cellStyle name="Comma 3 4 2 3" xfId="536" xr:uid="{00000000-0005-0000-0000-0000F8010000}"/>
    <cellStyle name="Comma 3 4 3" xfId="537" xr:uid="{00000000-0005-0000-0000-0000F9010000}"/>
    <cellStyle name="Comma 3 4 3 2" xfId="538" xr:uid="{00000000-0005-0000-0000-0000FA010000}"/>
    <cellStyle name="Comma 3 4 3 2 2" xfId="539" xr:uid="{00000000-0005-0000-0000-0000FB010000}"/>
    <cellStyle name="Comma 3 4 3 3" xfId="540" xr:uid="{00000000-0005-0000-0000-0000FC010000}"/>
    <cellStyle name="Comma 3 4 4" xfId="541" xr:uid="{00000000-0005-0000-0000-0000FD010000}"/>
    <cellStyle name="Comma 3 4 4 2" xfId="542" xr:uid="{00000000-0005-0000-0000-0000FE010000}"/>
    <cellStyle name="Comma 3 4 4 2 2" xfId="543" xr:uid="{00000000-0005-0000-0000-0000FF010000}"/>
    <cellStyle name="Comma 3 4 4 3" xfId="544" xr:uid="{00000000-0005-0000-0000-000000020000}"/>
    <cellStyle name="Comma 3 4 5" xfId="545" xr:uid="{00000000-0005-0000-0000-000001020000}"/>
    <cellStyle name="Comma 3 4 5 2" xfId="546" xr:uid="{00000000-0005-0000-0000-000002020000}"/>
    <cellStyle name="Comma 3 4 5 2 2" xfId="547" xr:uid="{00000000-0005-0000-0000-000003020000}"/>
    <cellStyle name="Comma 3 4 5 3" xfId="548" xr:uid="{00000000-0005-0000-0000-000004020000}"/>
    <cellStyle name="Comma 3 4 6" xfId="549" xr:uid="{00000000-0005-0000-0000-000005020000}"/>
    <cellStyle name="Comma 3 4 6 2" xfId="550" xr:uid="{00000000-0005-0000-0000-000006020000}"/>
    <cellStyle name="Comma 3 4 7" xfId="551" xr:uid="{00000000-0005-0000-0000-000007020000}"/>
    <cellStyle name="Comma 3 5" xfId="552" xr:uid="{00000000-0005-0000-0000-000008020000}"/>
    <cellStyle name="Comma 3 5 2" xfId="553" xr:uid="{00000000-0005-0000-0000-000009020000}"/>
    <cellStyle name="Comma 3 5 2 2" xfId="554" xr:uid="{00000000-0005-0000-0000-00000A020000}"/>
    <cellStyle name="Comma 3 5 2 2 2" xfId="555" xr:uid="{00000000-0005-0000-0000-00000B020000}"/>
    <cellStyle name="Comma 3 5 2 3" xfId="556" xr:uid="{00000000-0005-0000-0000-00000C020000}"/>
    <cellStyle name="Comma 3 5 3" xfId="557" xr:uid="{00000000-0005-0000-0000-00000D020000}"/>
    <cellStyle name="Comma 3 5 3 2" xfId="558" xr:uid="{00000000-0005-0000-0000-00000E020000}"/>
    <cellStyle name="Comma 3 5 3 2 2" xfId="559" xr:uid="{00000000-0005-0000-0000-00000F020000}"/>
    <cellStyle name="Comma 3 5 3 3" xfId="560" xr:uid="{00000000-0005-0000-0000-000010020000}"/>
    <cellStyle name="Comma 3 5 4" xfId="561" xr:uid="{00000000-0005-0000-0000-000011020000}"/>
    <cellStyle name="Comma 3 5 4 2" xfId="562" xr:uid="{00000000-0005-0000-0000-000012020000}"/>
    <cellStyle name="Comma 3 5 4 2 2" xfId="563" xr:uid="{00000000-0005-0000-0000-000013020000}"/>
    <cellStyle name="Comma 3 5 4 3" xfId="564" xr:uid="{00000000-0005-0000-0000-000014020000}"/>
    <cellStyle name="Comma 3 5 5" xfId="565" xr:uid="{00000000-0005-0000-0000-000015020000}"/>
    <cellStyle name="Comma 3 5 5 2" xfId="566" xr:uid="{00000000-0005-0000-0000-000016020000}"/>
    <cellStyle name="Comma 3 5 5 2 2" xfId="567" xr:uid="{00000000-0005-0000-0000-000017020000}"/>
    <cellStyle name="Comma 3 5 5 3" xfId="568" xr:uid="{00000000-0005-0000-0000-000018020000}"/>
    <cellStyle name="Comma 3 5 6" xfId="569" xr:uid="{00000000-0005-0000-0000-000019020000}"/>
    <cellStyle name="Comma 3 5 6 2" xfId="570" xr:uid="{00000000-0005-0000-0000-00001A020000}"/>
    <cellStyle name="Comma 3 5 7" xfId="571" xr:uid="{00000000-0005-0000-0000-00001B020000}"/>
    <cellStyle name="Comma 3 6" xfId="572" xr:uid="{00000000-0005-0000-0000-00001C020000}"/>
    <cellStyle name="Comma 3 6 2" xfId="573" xr:uid="{00000000-0005-0000-0000-00001D020000}"/>
    <cellStyle name="Comma 3 6 2 2" xfId="574" xr:uid="{00000000-0005-0000-0000-00001E020000}"/>
    <cellStyle name="Comma 3 6 2 2 2" xfId="575" xr:uid="{00000000-0005-0000-0000-00001F020000}"/>
    <cellStyle name="Comma 3 6 2 3" xfId="576" xr:uid="{00000000-0005-0000-0000-000020020000}"/>
    <cellStyle name="Comma 3 6 3" xfId="577" xr:uid="{00000000-0005-0000-0000-000021020000}"/>
    <cellStyle name="Comma 3 6 3 2" xfId="578" xr:uid="{00000000-0005-0000-0000-000022020000}"/>
    <cellStyle name="Comma 3 6 3 2 2" xfId="579" xr:uid="{00000000-0005-0000-0000-000023020000}"/>
    <cellStyle name="Comma 3 6 3 3" xfId="580" xr:uid="{00000000-0005-0000-0000-000024020000}"/>
    <cellStyle name="Comma 3 6 4" xfId="581" xr:uid="{00000000-0005-0000-0000-000025020000}"/>
    <cellStyle name="Comma 3 6 4 2" xfId="582" xr:uid="{00000000-0005-0000-0000-000026020000}"/>
    <cellStyle name="Comma 3 6 4 2 2" xfId="583" xr:uid="{00000000-0005-0000-0000-000027020000}"/>
    <cellStyle name="Comma 3 6 4 3" xfId="584" xr:uid="{00000000-0005-0000-0000-000028020000}"/>
    <cellStyle name="Comma 3 6 5" xfId="585" xr:uid="{00000000-0005-0000-0000-000029020000}"/>
    <cellStyle name="Comma 3 6 5 2" xfId="586" xr:uid="{00000000-0005-0000-0000-00002A020000}"/>
    <cellStyle name="Comma 3 6 6" xfId="587" xr:uid="{00000000-0005-0000-0000-00002B020000}"/>
    <cellStyle name="Comma 3 7" xfId="588" xr:uid="{00000000-0005-0000-0000-00002C020000}"/>
    <cellStyle name="Comma 3 7 2" xfId="589" xr:uid="{00000000-0005-0000-0000-00002D020000}"/>
    <cellStyle name="Comma 3 7 2 2" xfId="590" xr:uid="{00000000-0005-0000-0000-00002E020000}"/>
    <cellStyle name="Comma 3 7 2 2 2" xfId="591" xr:uid="{00000000-0005-0000-0000-00002F020000}"/>
    <cellStyle name="Comma 3 7 2 3" xfId="592" xr:uid="{00000000-0005-0000-0000-000030020000}"/>
    <cellStyle name="Comma 3 7 3" xfId="593" xr:uid="{00000000-0005-0000-0000-000031020000}"/>
    <cellStyle name="Comma 3 7 3 2" xfId="594" xr:uid="{00000000-0005-0000-0000-000032020000}"/>
    <cellStyle name="Comma 3 7 3 2 2" xfId="595" xr:uid="{00000000-0005-0000-0000-000033020000}"/>
    <cellStyle name="Comma 3 7 3 3" xfId="596" xr:uid="{00000000-0005-0000-0000-000034020000}"/>
    <cellStyle name="Comma 3 7 4" xfId="597" xr:uid="{00000000-0005-0000-0000-000035020000}"/>
    <cellStyle name="Comma 3 7 4 2" xfId="598" xr:uid="{00000000-0005-0000-0000-000036020000}"/>
    <cellStyle name="Comma 3 7 4 2 2" xfId="599" xr:uid="{00000000-0005-0000-0000-000037020000}"/>
    <cellStyle name="Comma 3 7 4 3" xfId="600" xr:uid="{00000000-0005-0000-0000-000038020000}"/>
    <cellStyle name="Comma 3 7 5" xfId="601" xr:uid="{00000000-0005-0000-0000-000039020000}"/>
    <cellStyle name="Comma 3 7 5 2" xfId="602" xr:uid="{00000000-0005-0000-0000-00003A020000}"/>
    <cellStyle name="Comma 3 7 6" xfId="603" xr:uid="{00000000-0005-0000-0000-00003B020000}"/>
    <cellStyle name="Comma 3 8" xfId="604" xr:uid="{00000000-0005-0000-0000-00003C020000}"/>
    <cellStyle name="Comma 3 8 2" xfId="605" xr:uid="{00000000-0005-0000-0000-00003D020000}"/>
    <cellStyle name="Comma 3 8 2 2" xfId="606" xr:uid="{00000000-0005-0000-0000-00003E020000}"/>
    <cellStyle name="Comma 3 8 2 2 2" xfId="607" xr:uid="{00000000-0005-0000-0000-00003F020000}"/>
    <cellStyle name="Comma 3 8 2 3" xfId="608" xr:uid="{00000000-0005-0000-0000-000040020000}"/>
    <cellStyle name="Comma 3 8 3" xfId="609" xr:uid="{00000000-0005-0000-0000-000041020000}"/>
    <cellStyle name="Comma 3 8 3 2" xfId="610" xr:uid="{00000000-0005-0000-0000-000042020000}"/>
    <cellStyle name="Comma 3 8 3 2 2" xfId="611" xr:uid="{00000000-0005-0000-0000-000043020000}"/>
    <cellStyle name="Comma 3 8 3 3" xfId="612" xr:uid="{00000000-0005-0000-0000-000044020000}"/>
    <cellStyle name="Comma 3 8 4" xfId="613" xr:uid="{00000000-0005-0000-0000-000045020000}"/>
    <cellStyle name="Comma 3 8 4 2" xfId="614" xr:uid="{00000000-0005-0000-0000-000046020000}"/>
    <cellStyle name="Comma 3 8 4 2 2" xfId="615" xr:uid="{00000000-0005-0000-0000-000047020000}"/>
    <cellStyle name="Comma 3 8 4 3" xfId="616" xr:uid="{00000000-0005-0000-0000-000048020000}"/>
    <cellStyle name="Comma 3 8 5" xfId="617" xr:uid="{00000000-0005-0000-0000-000049020000}"/>
    <cellStyle name="Comma 3 8 5 2" xfId="618" xr:uid="{00000000-0005-0000-0000-00004A020000}"/>
    <cellStyle name="Comma 3 8 6" xfId="619" xr:uid="{00000000-0005-0000-0000-00004B020000}"/>
    <cellStyle name="Comma 3 9" xfId="620" xr:uid="{00000000-0005-0000-0000-00004C020000}"/>
    <cellStyle name="Comma 3 9 2" xfId="621" xr:uid="{00000000-0005-0000-0000-00004D020000}"/>
    <cellStyle name="Comma 3 9 2 2" xfId="622" xr:uid="{00000000-0005-0000-0000-00004E020000}"/>
    <cellStyle name="Comma 3 9 3" xfId="623" xr:uid="{00000000-0005-0000-0000-00004F020000}"/>
    <cellStyle name="Comma 4" xfId="22" xr:uid="{00000000-0005-0000-0000-000050020000}"/>
    <cellStyle name="Comma 4 2" xfId="624" xr:uid="{00000000-0005-0000-0000-000051020000}"/>
    <cellStyle name="Comma 4 2 2" xfId="625" xr:uid="{00000000-0005-0000-0000-000052020000}"/>
    <cellStyle name="Comma 4 2 2 2" xfId="626" xr:uid="{00000000-0005-0000-0000-000053020000}"/>
    <cellStyle name="Comma 4 2 2 2 2" xfId="627" xr:uid="{00000000-0005-0000-0000-000054020000}"/>
    <cellStyle name="Comma 4 2 2 3" xfId="628" xr:uid="{00000000-0005-0000-0000-000055020000}"/>
    <cellStyle name="Comma 4 2 3" xfId="629" xr:uid="{00000000-0005-0000-0000-000056020000}"/>
    <cellStyle name="Comma 4 2 3 2" xfId="630" xr:uid="{00000000-0005-0000-0000-000057020000}"/>
    <cellStyle name="Comma 4 2 4" xfId="631" xr:uid="{00000000-0005-0000-0000-000058020000}"/>
    <cellStyle name="Comma 4 3" xfId="632" xr:uid="{00000000-0005-0000-0000-000059020000}"/>
    <cellStyle name="Comma 4 3 2" xfId="633" xr:uid="{00000000-0005-0000-0000-00005A020000}"/>
    <cellStyle name="Comma 4 3 2 2" xfId="634" xr:uid="{00000000-0005-0000-0000-00005B020000}"/>
    <cellStyle name="Comma 4 3 3" xfId="635" xr:uid="{00000000-0005-0000-0000-00005C020000}"/>
    <cellStyle name="Comma 4 4" xfId="636" xr:uid="{00000000-0005-0000-0000-00005D020000}"/>
    <cellStyle name="Comma 4 4 2" xfId="637" xr:uid="{00000000-0005-0000-0000-00005E020000}"/>
    <cellStyle name="Comma 4 5" xfId="638" xr:uid="{00000000-0005-0000-0000-00005F020000}"/>
    <cellStyle name="Comma 5" xfId="30" xr:uid="{00000000-0005-0000-0000-000060020000}"/>
    <cellStyle name="Comma 5 10" xfId="639" xr:uid="{00000000-0005-0000-0000-000061020000}"/>
    <cellStyle name="Comma 5 10 2" xfId="640" xr:uid="{00000000-0005-0000-0000-000062020000}"/>
    <cellStyle name="Comma 5 11" xfId="641" xr:uid="{00000000-0005-0000-0000-000063020000}"/>
    <cellStyle name="Comma 5 2" xfId="642" xr:uid="{00000000-0005-0000-0000-000064020000}"/>
    <cellStyle name="Comma 5 2 2" xfId="643" xr:uid="{00000000-0005-0000-0000-000065020000}"/>
    <cellStyle name="Comma 5 2 2 2" xfId="644" xr:uid="{00000000-0005-0000-0000-000066020000}"/>
    <cellStyle name="Comma 5 2 3" xfId="645" xr:uid="{00000000-0005-0000-0000-000067020000}"/>
    <cellStyle name="Comma 5 3" xfId="646" xr:uid="{00000000-0005-0000-0000-000068020000}"/>
    <cellStyle name="Comma 5 3 2" xfId="647" xr:uid="{00000000-0005-0000-0000-000069020000}"/>
    <cellStyle name="Comma 5 3 2 2" xfId="648" xr:uid="{00000000-0005-0000-0000-00006A020000}"/>
    <cellStyle name="Comma 5 3 3" xfId="649" xr:uid="{00000000-0005-0000-0000-00006B020000}"/>
    <cellStyle name="Comma 5 4" xfId="650" xr:uid="{00000000-0005-0000-0000-00006C020000}"/>
    <cellStyle name="Comma 5 4 2" xfId="651" xr:uid="{00000000-0005-0000-0000-00006D020000}"/>
    <cellStyle name="Comma 5 4 2 2" xfId="652" xr:uid="{00000000-0005-0000-0000-00006E020000}"/>
    <cellStyle name="Comma 5 4 3" xfId="653" xr:uid="{00000000-0005-0000-0000-00006F020000}"/>
    <cellStyle name="Comma 5 5" xfId="654" xr:uid="{00000000-0005-0000-0000-000070020000}"/>
    <cellStyle name="Comma 5 5 2" xfId="655" xr:uid="{00000000-0005-0000-0000-000071020000}"/>
    <cellStyle name="Comma 5 5 2 2" xfId="656" xr:uid="{00000000-0005-0000-0000-000072020000}"/>
    <cellStyle name="Comma 5 5 3" xfId="657" xr:uid="{00000000-0005-0000-0000-000073020000}"/>
    <cellStyle name="Comma 5 6" xfId="658" xr:uid="{00000000-0005-0000-0000-000074020000}"/>
    <cellStyle name="Comma 5 6 2" xfId="659" xr:uid="{00000000-0005-0000-0000-000075020000}"/>
    <cellStyle name="Comma 5 6 2 2" xfId="660" xr:uid="{00000000-0005-0000-0000-000076020000}"/>
    <cellStyle name="Comma 5 6 3" xfId="661" xr:uid="{00000000-0005-0000-0000-000077020000}"/>
    <cellStyle name="Comma 5 7" xfId="662" xr:uid="{00000000-0005-0000-0000-000078020000}"/>
    <cellStyle name="Comma 5 7 2" xfId="663" xr:uid="{00000000-0005-0000-0000-000079020000}"/>
    <cellStyle name="Comma 5 7 2 2" xfId="664" xr:uid="{00000000-0005-0000-0000-00007A020000}"/>
    <cellStyle name="Comma 5 7 3" xfId="665" xr:uid="{00000000-0005-0000-0000-00007B020000}"/>
    <cellStyle name="Comma 5 8" xfId="666" xr:uid="{00000000-0005-0000-0000-00007C020000}"/>
    <cellStyle name="Comma 5 8 2" xfId="667" xr:uid="{00000000-0005-0000-0000-00007D020000}"/>
    <cellStyle name="Comma 5 8 2 2" xfId="668" xr:uid="{00000000-0005-0000-0000-00007E020000}"/>
    <cellStyle name="Comma 5 8 3" xfId="669" xr:uid="{00000000-0005-0000-0000-00007F020000}"/>
    <cellStyle name="Comma 5 9" xfId="670" xr:uid="{00000000-0005-0000-0000-000080020000}"/>
    <cellStyle name="Comma 5 9 2" xfId="671" xr:uid="{00000000-0005-0000-0000-000081020000}"/>
    <cellStyle name="Comma 5 9 2 2" xfId="672" xr:uid="{00000000-0005-0000-0000-000082020000}"/>
    <cellStyle name="Comma 5 9 3" xfId="673" xr:uid="{00000000-0005-0000-0000-000083020000}"/>
    <cellStyle name="Comma 6" xfId="674" xr:uid="{00000000-0005-0000-0000-000084020000}"/>
    <cellStyle name="Comma 6 2" xfId="675" xr:uid="{00000000-0005-0000-0000-000085020000}"/>
    <cellStyle name="Comma 6 2 2" xfId="676" xr:uid="{00000000-0005-0000-0000-000086020000}"/>
    <cellStyle name="Comma 6 2 2 2" xfId="677" xr:uid="{00000000-0005-0000-0000-000087020000}"/>
    <cellStyle name="Comma 6 2 3" xfId="678" xr:uid="{00000000-0005-0000-0000-000088020000}"/>
    <cellStyle name="Comma 6 3" xfId="679" xr:uid="{00000000-0005-0000-0000-000089020000}"/>
    <cellStyle name="Comma 6 3 2" xfId="680" xr:uid="{00000000-0005-0000-0000-00008A020000}"/>
    <cellStyle name="Comma 6 3 2 2" xfId="681" xr:uid="{00000000-0005-0000-0000-00008B020000}"/>
    <cellStyle name="Comma 6 3 3" xfId="682" xr:uid="{00000000-0005-0000-0000-00008C020000}"/>
    <cellStyle name="Comma 6 4" xfId="683" xr:uid="{00000000-0005-0000-0000-00008D020000}"/>
    <cellStyle name="Comma 6 4 2" xfId="684" xr:uid="{00000000-0005-0000-0000-00008E020000}"/>
    <cellStyle name="Comma 6 4 2 2" xfId="685" xr:uid="{00000000-0005-0000-0000-00008F020000}"/>
    <cellStyle name="Comma 6 4 3" xfId="686" xr:uid="{00000000-0005-0000-0000-000090020000}"/>
    <cellStyle name="Comma 6 5" xfId="687" xr:uid="{00000000-0005-0000-0000-000091020000}"/>
    <cellStyle name="Comma 6 5 2" xfId="688" xr:uid="{00000000-0005-0000-0000-000092020000}"/>
    <cellStyle name="Comma 6 5 2 2" xfId="689" xr:uid="{00000000-0005-0000-0000-000093020000}"/>
    <cellStyle name="Comma 6 5 3" xfId="690" xr:uid="{00000000-0005-0000-0000-000094020000}"/>
    <cellStyle name="Comma 6 6" xfId="691" xr:uid="{00000000-0005-0000-0000-000095020000}"/>
    <cellStyle name="Comma 6 6 2" xfId="692" xr:uid="{00000000-0005-0000-0000-000096020000}"/>
    <cellStyle name="Comma 6 7" xfId="693" xr:uid="{00000000-0005-0000-0000-000097020000}"/>
    <cellStyle name="Comma 7" xfId="694" xr:uid="{00000000-0005-0000-0000-000098020000}"/>
    <cellStyle name="Comma 7 2" xfId="695" xr:uid="{00000000-0005-0000-0000-000099020000}"/>
    <cellStyle name="Comma 7 2 2" xfId="696" xr:uid="{00000000-0005-0000-0000-00009A020000}"/>
    <cellStyle name="Comma 7 2 2 2" xfId="697" xr:uid="{00000000-0005-0000-0000-00009B020000}"/>
    <cellStyle name="Comma 7 2 3" xfId="698" xr:uid="{00000000-0005-0000-0000-00009C020000}"/>
    <cellStyle name="Comma 7 3" xfId="699" xr:uid="{00000000-0005-0000-0000-00009D020000}"/>
    <cellStyle name="Comma 7 3 2" xfId="700" xr:uid="{00000000-0005-0000-0000-00009E020000}"/>
    <cellStyle name="Comma 7 3 2 2" xfId="701" xr:uid="{00000000-0005-0000-0000-00009F020000}"/>
    <cellStyle name="Comma 7 3 3" xfId="702" xr:uid="{00000000-0005-0000-0000-0000A0020000}"/>
    <cellStyle name="Comma 7 4" xfId="703" xr:uid="{00000000-0005-0000-0000-0000A1020000}"/>
    <cellStyle name="Comma 7 4 2" xfId="704" xr:uid="{00000000-0005-0000-0000-0000A2020000}"/>
    <cellStyle name="Comma 7 4 2 2" xfId="705" xr:uid="{00000000-0005-0000-0000-0000A3020000}"/>
    <cellStyle name="Comma 7 4 3" xfId="706" xr:uid="{00000000-0005-0000-0000-0000A4020000}"/>
    <cellStyle name="Comma 7 5" xfId="707" xr:uid="{00000000-0005-0000-0000-0000A5020000}"/>
    <cellStyle name="Comma 7 5 2" xfId="708" xr:uid="{00000000-0005-0000-0000-0000A6020000}"/>
    <cellStyle name="Comma 7 5 2 2" xfId="709" xr:uid="{00000000-0005-0000-0000-0000A7020000}"/>
    <cellStyle name="Comma 7 5 3" xfId="710" xr:uid="{00000000-0005-0000-0000-0000A8020000}"/>
    <cellStyle name="Comma 7 6" xfId="711" xr:uid="{00000000-0005-0000-0000-0000A9020000}"/>
    <cellStyle name="Comma 7 6 2" xfId="712" xr:uid="{00000000-0005-0000-0000-0000AA020000}"/>
    <cellStyle name="Comma 7 7" xfId="713" xr:uid="{00000000-0005-0000-0000-0000AB020000}"/>
    <cellStyle name="Comma 8" xfId="714" xr:uid="{00000000-0005-0000-0000-0000AC020000}"/>
    <cellStyle name="Comma 8 2" xfId="715" xr:uid="{00000000-0005-0000-0000-0000AD020000}"/>
    <cellStyle name="Comma 8 2 2" xfId="716" xr:uid="{00000000-0005-0000-0000-0000AE020000}"/>
    <cellStyle name="Comma 8 2 2 2" xfId="717" xr:uid="{00000000-0005-0000-0000-0000AF020000}"/>
    <cellStyle name="Comma 8 2 3" xfId="718" xr:uid="{00000000-0005-0000-0000-0000B0020000}"/>
    <cellStyle name="Comma 8 3" xfId="719" xr:uid="{00000000-0005-0000-0000-0000B1020000}"/>
    <cellStyle name="Comma 8 3 2" xfId="720" xr:uid="{00000000-0005-0000-0000-0000B2020000}"/>
    <cellStyle name="Comma 8 3 2 2" xfId="721" xr:uid="{00000000-0005-0000-0000-0000B3020000}"/>
    <cellStyle name="Comma 8 3 3" xfId="722" xr:uid="{00000000-0005-0000-0000-0000B4020000}"/>
    <cellStyle name="Comma 8 4" xfId="723" xr:uid="{00000000-0005-0000-0000-0000B5020000}"/>
    <cellStyle name="Comma 8 4 2" xfId="724" xr:uid="{00000000-0005-0000-0000-0000B6020000}"/>
    <cellStyle name="Comma 8 4 2 2" xfId="725" xr:uid="{00000000-0005-0000-0000-0000B7020000}"/>
    <cellStyle name="Comma 8 4 3" xfId="726" xr:uid="{00000000-0005-0000-0000-0000B8020000}"/>
    <cellStyle name="Comma 8 5" xfId="727" xr:uid="{00000000-0005-0000-0000-0000B9020000}"/>
    <cellStyle name="Comma 8 5 2" xfId="728" xr:uid="{00000000-0005-0000-0000-0000BA020000}"/>
    <cellStyle name="Comma 8 5 2 2" xfId="729" xr:uid="{00000000-0005-0000-0000-0000BB020000}"/>
    <cellStyle name="Comma 8 5 3" xfId="730" xr:uid="{00000000-0005-0000-0000-0000BC020000}"/>
    <cellStyle name="Comma 8 6" xfId="731" xr:uid="{00000000-0005-0000-0000-0000BD020000}"/>
    <cellStyle name="Comma 8 6 2" xfId="732" xr:uid="{00000000-0005-0000-0000-0000BE020000}"/>
    <cellStyle name="Comma 8 7" xfId="733" xr:uid="{00000000-0005-0000-0000-0000BF020000}"/>
    <cellStyle name="Comma 9" xfId="734" xr:uid="{00000000-0005-0000-0000-0000C0020000}"/>
    <cellStyle name="Comma 9 2" xfId="735" xr:uid="{00000000-0005-0000-0000-0000C1020000}"/>
    <cellStyle name="Comma 9 2 2" xfId="736" xr:uid="{00000000-0005-0000-0000-0000C2020000}"/>
    <cellStyle name="Comma 9 2 2 2" xfId="737" xr:uid="{00000000-0005-0000-0000-0000C3020000}"/>
    <cellStyle name="Comma 9 2 3" xfId="738" xr:uid="{00000000-0005-0000-0000-0000C4020000}"/>
    <cellStyle name="Comma 9 3" xfId="739" xr:uid="{00000000-0005-0000-0000-0000C5020000}"/>
    <cellStyle name="Comma 9 3 2" xfId="740" xr:uid="{00000000-0005-0000-0000-0000C6020000}"/>
    <cellStyle name="Comma 9 3 2 2" xfId="741" xr:uid="{00000000-0005-0000-0000-0000C7020000}"/>
    <cellStyle name="Comma 9 3 3" xfId="742" xr:uid="{00000000-0005-0000-0000-0000C8020000}"/>
    <cellStyle name="Comma 9 4" xfId="743" xr:uid="{00000000-0005-0000-0000-0000C9020000}"/>
    <cellStyle name="Comma 9 4 2" xfId="744" xr:uid="{00000000-0005-0000-0000-0000CA020000}"/>
    <cellStyle name="Comma 9 4 2 2" xfId="745" xr:uid="{00000000-0005-0000-0000-0000CB020000}"/>
    <cellStyle name="Comma 9 4 3" xfId="746" xr:uid="{00000000-0005-0000-0000-0000CC020000}"/>
    <cellStyle name="Comma 9 5" xfId="747" xr:uid="{00000000-0005-0000-0000-0000CD020000}"/>
    <cellStyle name="Comma 9 5 2" xfId="748" xr:uid="{00000000-0005-0000-0000-0000CE020000}"/>
    <cellStyle name="Comma 9 5 2 2" xfId="749" xr:uid="{00000000-0005-0000-0000-0000CF020000}"/>
    <cellStyle name="Comma 9 5 3" xfId="750" xr:uid="{00000000-0005-0000-0000-0000D0020000}"/>
    <cellStyle name="Comma 9 6" xfId="751" xr:uid="{00000000-0005-0000-0000-0000D1020000}"/>
    <cellStyle name="Comma 9 6 2" xfId="752" xr:uid="{00000000-0005-0000-0000-0000D2020000}"/>
    <cellStyle name="Comma 9 7" xfId="753" xr:uid="{00000000-0005-0000-0000-0000D3020000}"/>
    <cellStyle name="Currency 2" xfId="36" xr:uid="{00000000-0005-0000-0000-0000D4020000}"/>
    <cellStyle name="Currency 2 2" xfId="754" xr:uid="{00000000-0005-0000-0000-0000D5020000}"/>
    <cellStyle name="Currency 3" xfId="755" xr:uid="{00000000-0005-0000-0000-0000D6020000}"/>
    <cellStyle name="Currency 4" xfId="756" xr:uid="{00000000-0005-0000-0000-0000D7020000}"/>
    <cellStyle name="Euro" xfId="4" xr:uid="{00000000-0005-0000-0000-0000D8020000}"/>
    <cellStyle name="Factset" xfId="5" xr:uid="{00000000-0005-0000-0000-0000D9020000}"/>
    <cellStyle name="Frame" xfId="6" xr:uid="{00000000-0005-0000-0000-0000DA020000}"/>
    <cellStyle name="General text" xfId="7" xr:uid="{00000000-0005-0000-0000-0000DB020000}"/>
    <cellStyle name="Hardcoded numbers" xfId="8" xr:uid="{00000000-0005-0000-0000-0000DC020000}"/>
    <cellStyle name="Lien hypertexte" xfId="1836" builtinId="8"/>
    <cellStyle name="Linked to other spreadsheets" xfId="9" xr:uid="{00000000-0005-0000-0000-0000DE020000}"/>
    <cellStyle name="Milliers" xfId="31" builtinId="3"/>
    <cellStyle name="Milliers [0]" xfId="1834" builtinId="6"/>
    <cellStyle name="Milliers 2 2" xfId="25" xr:uid="{00000000-0005-0000-0000-0000E1020000}"/>
    <cellStyle name="Milliers 3" xfId="26" xr:uid="{00000000-0005-0000-0000-0000E2020000}"/>
    <cellStyle name="Normal" xfId="0" builtinId="0"/>
    <cellStyle name="Normal - Style1" xfId="757" xr:uid="{00000000-0005-0000-0000-0000E4020000}"/>
    <cellStyle name="Normal - Style1 2" xfId="758" xr:uid="{00000000-0005-0000-0000-0000E5020000}"/>
    <cellStyle name="Normal - Style1 2 2" xfId="759" xr:uid="{00000000-0005-0000-0000-0000E6020000}"/>
    <cellStyle name="Normal - Style1 2 2 2" xfId="760" xr:uid="{00000000-0005-0000-0000-0000E7020000}"/>
    <cellStyle name="Normal - Style1 2 3" xfId="761" xr:uid="{00000000-0005-0000-0000-0000E8020000}"/>
    <cellStyle name="Normal - Style1 3" xfId="762" xr:uid="{00000000-0005-0000-0000-0000E9020000}"/>
    <cellStyle name="Normal - Style1 3 2" xfId="763" xr:uid="{00000000-0005-0000-0000-0000EA020000}"/>
    <cellStyle name="Normal - Style1 3 2 2" xfId="764" xr:uid="{00000000-0005-0000-0000-0000EB020000}"/>
    <cellStyle name="Normal - Style1 3 3" xfId="765" xr:uid="{00000000-0005-0000-0000-0000EC020000}"/>
    <cellStyle name="Normal - Style1 4" xfId="766" xr:uid="{00000000-0005-0000-0000-0000ED020000}"/>
    <cellStyle name="Normal - Style1 4 2" xfId="767" xr:uid="{00000000-0005-0000-0000-0000EE020000}"/>
    <cellStyle name="Normal - Style1 5" xfId="768" xr:uid="{00000000-0005-0000-0000-0000EF020000}"/>
    <cellStyle name="Normal 10" xfId="769" xr:uid="{00000000-0005-0000-0000-0000F0020000}"/>
    <cellStyle name="Normal 10 2" xfId="770" xr:uid="{00000000-0005-0000-0000-0000F1020000}"/>
    <cellStyle name="Normal 10 2 2" xfId="771" xr:uid="{00000000-0005-0000-0000-0000F2020000}"/>
    <cellStyle name="Normal 10 3" xfId="772" xr:uid="{00000000-0005-0000-0000-0000F3020000}"/>
    <cellStyle name="Normal 10 4" xfId="773" xr:uid="{00000000-0005-0000-0000-0000F4020000}"/>
    <cellStyle name="Normal 10 5" xfId="774" xr:uid="{00000000-0005-0000-0000-0000F5020000}"/>
    <cellStyle name="Normal 11" xfId="775" xr:uid="{00000000-0005-0000-0000-0000F6020000}"/>
    <cellStyle name="Normal 11 2" xfId="23" xr:uid="{00000000-0005-0000-0000-0000F7020000}"/>
    <cellStyle name="Normal 11 2 2" xfId="776" xr:uid="{00000000-0005-0000-0000-0000F8020000}"/>
    <cellStyle name="Normal 11 3" xfId="777" xr:uid="{00000000-0005-0000-0000-0000F9020000}"/>
    <cellStyle name="Normal 11 4" xfId="778" xr:uid="{00000000-0005-0000-0000-0000FA020000}"/>
    <cellStyle name="Normal 11 5" xfId="779" xr:uid="{00000000-0005-0000-0000-0000FB020000}"/>
    <cellStyle name="Normal 12" xfId="780" xr:uid="{00000000-0005-0000-0000-0000FC020000}"/>
    <cellStyle name="Normal 12 2" xfId="781" xr:uid="{00000000-0005-0000-0000-0000FD020000}"/>
    <cellStyle name="Normal 12 2 2" xfId="782" xr:uid="{00000000-0005-0000-0000-0000FE020000}"/>
    <cellStyle name="Normal 12 3" xfId="783" xr:uid="{00000000-0005-0000-0000-0000FF020000}"/>
    <cellStyle name="Normal 12 4" xfId="784" xr:uid="{00000000-0005-0000-0000-000000030000}"/>
    <cellStyle name="Normal 12 5" xfId="785" xr:uid="{00000000-0005-0000-0000-000001030000}"/>
    <cellStyle name="Normal 13" xfId="786" xr:uid="{00000000-0005-0000-0000-000002030000}"/>
    <cellStyle name="Normal 13 2" xfId="787" xr:uid="{00000000-0005-0000-0000-000003030000}"/>
    <cellStyle name="Normal 14" xfId="788" xr:uid="{00000000-0005-0000-0000-000004030000}"/>
    <cellStyle name="Normal 14 2" xfId="789" xr:uid="{00000000-0005-0000-0000-000005030000}"/>
    <cellStyle name="Normal 15" xfId="790" xr:uid="{00000000-0005-0000-0000-000006030000}"/>
    <cellStyle name="Normal 15 2" xfId="791" xr:uid="{00000000-0005-0000-0000-000007030000}"/>
    <cellStyle name="Normal 15 2 2" xfId="792" xr:uid="{00000000-0005-0000-0000-000008030000}"/>
    <cellStyle name="Normal 15 3" xfId="793" xr:uid="{00000000-0005-0000-0000-000009030000}"/>
    <cellStyle name="Normal 16" xfId="794" xr:uid="{00000000-0005-0000-0000-00000A030000}"/>
    <cellStyle name="Normal 16 2" xfId="795" xr:uid="{00000000-0005-0000-0000-00000B030000}"/>
    <cellStyle name="Normal 17" xfId="796" xr:uid="{00000000-0005-0000-0000-00000C030000}"/>
    <cellStyle name="Normal 17 2" xfId="797" xr:uid="{00000000-0005-0000-0000-00000D030000}"/>
    <cellStyle name="Normal 18" xfId="798" xr:uid="{00000000-0005-0000-0000-00000E030000}"/>
    <cellStyle name="Normal 18 2" xfId="799" xr:uid="{00000000-0005-0000-0000-00000F030000}"/>
    <cellStyle name="Normal 19" xfId="800" xr:uid="{00000000-0005-0000-0000-000010030000}"/>
    <cellStyle name="Normal 19 2" xfId="801" xr:uid="{00000000-0005-0000-0000-000011030000}"/>
    <cellStyle name="Normal 2" xfId="10" xr:uid="{00000000-0005-0000-0000-000012030000}"/>
    <cellStyle name="Normal 2 10" xfId="802" xr:uid="{00000000-0005-0000-0000-000013030000}"/>
    <cellStyle name="Normal 2 10 2" xfId="803" xr:uid="{00000000-0005-0000-0000-000014030000}"/>
    <cellStyle name="Normal 2 10 2 2" xfId="804" xr:uid="{00000000-0005-0000-0000-000015030000}"/>
    <cellStyle name="Normal 2 10 3" xfId="805" xr:uid="{00000000-0005-0000-0000-000016030000}"/>
    <cellStyle name="Normal 2 2" xfId="27" xr:uid="{00000000-0005-0000-0000-000017030000}"/>
    <cellStyle name="Normal 2 2 2" xfId="806" xr:uid="{00000000-0005-0000-0000-000018030000}"/>
    <cellStyle name="Normal 2 2 2 2" xfId="807" xr:uid="{00000000-0005-0000-0000-000019030000}"/>
    <cellStyle name="Normal 2 2 3" xfId="808" xr:uid="{00000000-0005-0000-0000-00001A030000}"/>
    <cellStyle name="Normal 2 3" xfId="809" xr:uid="{00000000-0005-0000-0000-00001B030000}"/>
    <cellStyle name="Normal 2 3 2" xfId="810" xr:uid="{00000000-0005-0000-0000-00001C030000}"/>
    <cellStyle name="Normal 2 4" xfId="811" xr:uid="{00000000-0005-0000-0000-00001D030000}"/>
    <cellStyle name="Normal 2 41" xfId="812" xr:uid="{00000000-0005-0000-0000-00001E030000}"/>
    <cellStyle name="Normal 2 41 2" xfId="813" xr:uid="{00000000-0005-0000-0000-00001F030000}"/>
    <cellStyle name="Normal 2 41 2 2" xfId="814" xr:uid="{00000000-0005-0000-0000-000020030000}"/>
    <cellStyle name="Normal 2 41 3" xfId="815" xr:uid="{00000000-0005-0000-0000-000021030000}"/>
    <cellStyle name="Normal 2 42" xfId="816" xr:uid="{00000000-0005-0000-0000-000022030000}"/>
    <cellStyle name="Normal 2 42 2" xfId="817" xr:uid="{00000000-0005-0000-0000-000023030000}"/>
    <cellStyle name="Normal 2 42 2 2" xfId="818" xr:uid="{00000000-0005-0000-0000-000024030000}"/>
    <cellStyle name="Normal 2 42 3" xfId="819" xr:uid="{00000000-0005-0000-0000-000025030000}"/>
    <cellStyle name="Normal 2 43" xfId="820" xr:uid="{00000000-0005-0000-0000-000026030000}"/>
    <cellStyle name="Normal 2 43 2" xfId="821" xr:uid="{00000000-0005-0000-0000-000027030000}"/>
    <cellStyle name="Normal 2 43 2 2" xfId="822" xr:uid="{00000000-0005-0000-0000-000028030000}"/>
    <cellStyle name="Normal 2 43 3" xfId="823" xr:uid="{00000000-0005-0000-0000-000029030000}"/>
    <cellStyle name="Normal 2 5" xfId="824" xr:uid="{00000000-0005-0000-0000-00002A030000}"/>
    <cellStyle name="Normal 20" xfId="825" xr:uid="{00000000-0005-0000-0000-00002B030000}"/>
    <cellStyle name="Normal 20 2" xfId="826" xr:uid="{00000000-0005-0000-0000-00002C030000}"/>
    <cellStyle name="Normal 21" xfId="827" xr:uid="{00000000-0005-0000-0000-00002D030000}"/>
    <cellStyle name="Normal 21 2" xfId="828" xr:uid="{00000000-0005-0000-0000-00002E030000}"/>
    <cellStyle name="Normal 22" xfId="829" xr:uid="{00000000-0005-0000-0000-00002F030000}"/>
    <cellStyle name="Normal 22 2" xfId="830" xr:uid="{00000000-0005-0000-0000-000030030000}"/>
    <cellStyle name="Normal 23" xfId="831" xr:uid="{00000000-0005-0000-0000-000031030000}"/>
    <cellStyle name="Normal 23 2" xfId="832" xr:uid="{00000000-0005-0000-0000-000032030000}"/>
    <cellStyle name="Normal 24" xfId="833" xr:uid="{00000000-0005-0000-0000-000033030000}"/>
    <cellStyle name="Normal 24 2" xfId="834" xr:uid="{00000000-0005-0000-0000-000034030000}"/>
    <cellStyle name="Normal 25" xfId="835" xr:uid="{00000000-0005-0000-0000-000035030000}"/>
    <cellStyle name="Normal 25 2" xfId="836" xr:uid="{00000000-0005-0000-0000-000036030000}"/>
    <cellStyle name="Normal 26" xfId="837" xr:uid="{00000000-0005-0000-0000-000037030000}"/>
    <cellStyle name="Normal 26 2" xfId="838" xr:uid="{00000000-0005-0000-0000-000038030000}"/>
    <cellStyle name="Normal 27" xfId="839" xr:uid="{00000000-0005-0000-0000-000039030000}"/>
    <cellStyle name="Normal 27 2" xfId="840" xr:uid="{00000000-0005-0000-0000-00003A030000}"/>
    <cellStyle name="Normal 28" xfId="841" xr:uid="{00000000-0005-0000-0000-00003B030000}"/>
    <cellStyle name="Normal 28 2" xfId="842" xr:uid="{00000000-0005-0000-0000-00003C030000}"/>
    <cellStyle name="Normal 29" xfId="843" xr:uid="{00000000-0005-0000-0000-00003D030000}"/>
    <cellStyle name="Normal 29 2" xfId="844" xr:uid="{00000000-0005-0000-0000-00003E030000}"/>
    <cellStyle name="Normal 3" xfId="11" xr:uid="{00000000-0005-0000-0000-00003F030000}"/>
    <cellStyle name="Normal 3 10" xfId="845" xr:uid="{00000000-0005-0000-0000-000040030000}"/>
    <cellStyle name="Normal 3 11" xfId="33" xr:uid="{00000000-0005-0000-0000-000041030000}"/>
    <cellStyle name="Normal 3 11 2" xfId="846" xr:uid="{00000000-0005-0000-0000-000042030000}"/>
    <cellStyle name="Normal 3 11 3" xfId="847" xr:uid="{00000000-0005-0000-0000-000043030000}"/>
    <cellStyle name="Normal 3 12" xfId="848" xr:uid="{00000000-0005-0000-0000-000044030000}"/>
    <cellStyle name="Normal 3 12 2" xfId="849" xr:uid="{00000000-0005-0000-0000-000045030000}"/>
    <cellStyle name="Normal 3 13" xfId="850" xr:uid="{00000000-0005-0000-0000-000046030000}"/>
    <cellStyle name="Normal 3 14" xfId="851" xr:uid="{00000000-0005-0000-0000-000047030000}"/>
    <cellStyle name="Normal 3 15" xfId="852" xr:uid="{00000000-0005-0000-0000-000048030000}"/>
    <cellStyle name="Normal 3 16" xfId="853" xr:uid="{00000000-0005-0000-0000-000049030000}"/>
    <cellStyle name="Normal 3 2" xfId="24" xr:uid="{00000000-0005-0000-0000-00004A030000}"/>
    <cellStyle name="Normal 3 2 2" xfId="854" xr:uid="{00000000-0005-0000-0000-00004B030000}"/>
    <cellStyle name="Normal 3 2 3" xfId="855" xr:uid="{00000000-0005-0000-0000-00004C030000}"/>
    <cellStyle name="Normal 3 2 4" xfId="856" xr:uid="{00000000-0005-0000-0000-00004D030000}"/>
    <cellStyle name="Normal 3 2 5" xfId="857" xr:uid="{00000000-0005-0000-0000-00004E030000}"/>
    <cellStyle name="Normal 3 3" xfId="858" xr:uid="{00000000-0005-0000-0000-00004F030000}"/>
    <cellStyle name="Normal 3 3 2" xfId="859" xr:uid="{00000000-0005-0000-0000-000050030000}"/>
    <cellStyle name="Normal 3 3 3" xfId="860" xr:uid="{00000000-0005-0000-0000-000051030000}"/>
    <cellStyle name="Normal 3 3 4" xfId="861" xr:uid="{00000000-0005-0000-0000-000052030000}"/>
    <cellStyle name="Normal 3 3 5" xfId="862" xr:uid="{00000000-0005-0000-0000-000053030000}"/>
    <cellStyle name="Normal 3 4" xfId="863" xr:uid="{00000000-0005-0000-0000-000054030000}"/>
    <cellStyle name="Normal 3 4 2" xfId="864" xr:uid="{00000000-0005-0000-0000-000055030000}"/>
    <cellStyle name="Normal 3 4 3" xfId="865" xr:uid="{00000000-0005-0000-0000-000056030000}"/>
    <cellStyle name="Normal 3 4 4" xfId="866" xr:uid="{00000000-0005-0000-0000-000057030000}"/>
    <cellStyle name="Normal 3 4 5" xfId="867" xr:uid="{00000000-0005-0000-0000-000058030000}"/>
    <cellStyle name="Normal 3 5" xfId="868" xr:uid="{00000000-0005-0000-0000-000059030000}"/>
    <cellStyle name="Normal 3 5 2" xfId="869" xr:uid="{00000000-0005-0000-0000-00005A030000}"/>
    <cellStyle name="Normal 3 5 3" xfId="870" xr:uid="{00000000-0005-0000-0000-00005B030000}"/>
    <cellStyle name="Normal 3 5 4" xfId="871" xr:uid="{00000000-0005-0000-0000-00005C030000}"/>
    <cellStyle name="Normal 3 5 5" xfId="872" xr:uid="{00000000-0005-0000-0000-00005D030000}"/>
    <cellStyle name="Normal 3 6" xfId="873" xr:uid="{00000000-0005-0000-0000-00005E030000}"/>
    <cellStyle name="Normal 3 7" xfId="874" xr:uid="{00000000-0005-0000-0000-00005F030000}"/>
    <cellStyle name="Normal 3 8" xfId="875" xr:uid="{00000000-0005-0000-0000-000060030000}"/>
    <cellStyle name="Normal 3 9" xfId="876" xr:uid="{00000000-0005-0000-0000-000061030000}"/>
    <cellStyle name="Normal 3 9 2" xfId="877" xr:uid="{00000000-0005-0000-0000-000062030000}"/>
    <cellStyle name="Normal 3 9 2 2" xfId="878" xr:uid="{00000000-0005-0000-0000-000063030000}"/>
    <cellStyle name="Normal 3 9 3" xfId="879" xr:uid="{00000000-0005-0000-0000-000064030000}"/>
    <cellStyle name="Normal 3_National ARV Response Costs" xfId="880" xr:uid="{00000000-0005-0000-0000-000065030000}"/>
    <cellStyle name="Normal 30" xfId="881" xr:uid="{00000000-0005-0000-0000-000066030000}"/>
    <cellStyle name="Normal 30 2" xfId="882" xr:uid="{00000000-0005-0000-0000-000067030000}"/>
    <cellStyle name="Normal 31" xfId="883" xr:uid="{00000000-0005-0000-0000-000068030000}"/>
    <cellStyle name="Normal 31 2" xfId="884" xr:uid="{00000000-0005-0000-0000-000069030000}"/>
    <cellStyle name="Normal 32" xfId="885" xr:uid="{00000000-0005-0000-0000-00006A030000}"/>
    <cellStyle name="Normal 32 2" xfId="886" xr:uid="{00000000-0005-0000-0000-00006B030000}"/>
    <cellStyle name="Normal 33" xfId="887" xr:uid="{00000000-0005-0000-0000-00006C030000}"/>
    <cellStyle name="Normal 33 2" xfId="888" xr:uid="{00000000-0005-0000-0000-00006D030000}"/>
    <cellStyle name="Normal 34" xfId="889" xr:uid="{00000000-0005-0000-0000-00006E030000}"/>
    <cellStyle name="Normal 34 2" xfId="890" xr:uid="{00000000-0005-0000-0000-00006F030000}"/>
    <cellStyle name="Normal 35" xfId="891" xr:uid="{00000000-0005-0000-0000-000070030000}"/>
    <cellStyle name="Normal 35 2" xfId="892" xr:uid="{00000000-0005-0000-0000-000071030000}"/>
    <cellStyle name="Normal 36" xfId="893" xr:uid="{00000000-0005-0000-0000-000072030000}"/>
    <cellStyle name="Normal 36 2" xfId="894" xr:uid="{00000000-0005-0000-0000-000073030000}"/>
    <cellStyle name="Normal 36 2 2" xfId="895" xr:uid="{00000000-0005-0000-0000-000074030000}"/>
    <cellStyle name="Normal 36 3" xfId="896" xr:uid="{00000000-0005-0000-0000-000075030000}"/>
    <cellStyle name="Normal 37" xfId="897" xr:uid="{00000000-0005-0000-0000-000076030000}"/>
    <cellStyle name="Normal 37 2" xfId="898" xr:uid="{00000000-0005-0000-0000-000077030000}"/>
    <cellStyle name="Normal 37 2 2" xfId="899" xr:uid="{00000000-0005-0000-0000-000078030000}"/>
    <cellStyle name="Normal 37 3" xfId="900" xr:uid="{00000000-0005-0000-0000-000079030000}"/>
    <cellStyle name="Normal 38" xfId="901" xr:uid="{00000000-0005-0000-0000-00007A030000}"/>
    <cellStyle name="Normal 38 2" xfId="902" xr:uid="{00000000-0005-0000-0000-00007B030000}"/>
    <cellStyle name="Normal 39" xfId="903" xr:uid="{00000000-0005-0000-0000-00007C030000}"/>
    <cellStyle name="Normal 39 2" xfId="904" xr:uid="{00000000-0005-0000-0000-00007D030000}"/>
    <cellStyle name="Normal 4" xfId="12" xr:uid="{00000000-0005-0000-0000-00007E030000}"/>
    <cellStyle name="Normal 4 2" xfId="905" xr:uid="{00000000-0005-0000-0000-00007F030000}"/>
    <cellStyle name="Normal 4 2 2" xfId="906" xr:uid="{00000000-0005-0000-0000-000080030000}"/>
    <cellStyle name="Normal 4 2 2 2" xfId="907" xr:uid="{00000000-0005-0000-0000-000081030000}"/>
    <cellStyle name="Normal 4 2 3" xfId="908" xr:uid="{00000000-0005-0000-0000-000082030000}"/>
    <cellStyle name="Normal 4 3" xfId="909" xr:uid="{00000000-0005-0000-0000-000083030000}"/>
    <cellStyle name="Normal 4 3 2" xfId="910" xr:uid="{00000000-0005-0000-0000-000084030000}"/>
    <cellStyle name="Normal 4 4" xfId="911" xr:uid="{00000000-0005-0000-0000-000085030000}"/>
    <cellStyle name="Normal 4 5" xfId="912" xr:uid="{00000000-0005-0000-0000-000086030000}"/>
    <cellStyle name="Normal 4 6" xfId="913" xr:uid="{00000000-0005-0000-0000-000087030000}"/>
    <cellStyle name="Normal 40" xfId="914" xr:uid="{00000000-0005-0000-0000-000088030000}"/>
    <cellStyle name="Normal 40 2" xfId="915" xr:uid="{00000000-0005-0000-0000-000089030000}"/>
    <cellStyle name="Normal 41" xfId="916" xr:uid="{00000000-0005-0000-0000-00008A030000}"/>
    <cellStyle name="Normal 41 2" xfId="917" xr:uid="{00000000-0005-0000-0000-00008B030000}"/>
    <cellStyle name="Normal 42" xfId="918" xr:uid="{00000000-0005-0000-0000-00008C030000}"/>
    <cellStyle name="Normal 42 2" xfId="919" xr:uid="{00000000-0005-0000-0000-00008D030000}"/>
    <cellStyle name="Normal 43" xfId="920" xr:uid="{00000000-0005-0000-0000-00008E030000}"/>
    <cellStyle name="Normal 43 2" xfId="921" xr:uid="{00000000-0005-0000-0000-00008F030000}"/>
    <cellStyle name="Normal 44" xfId="922" xr:uid="{00000000-0005-0000-0000-000090030000}"/>
    <cellStyle name="Normal 44 2" xfId="923" xr:uid="{00000000-0005-0000-0000-000091030000}"/>
    <cellStyle name="Normal 45" xfId="924" xr:uid="{00000000-0005-0000-0000-000092030000}"/>
    <cellStyle name="Normal 45 2" xfId="925" xr:uid="{00000000-0005-0000-0000-000093030000}"/>
    <cellStyle name="Normal 46" xfId="926" xr:uid="{00000000-0005-0000-0000-000094030000}"/>
    <cellStyle name="Normal 46 2" xfId="927" xr:uid="{00000000-0005-0000-0000-000095030000}"/>
    <cellStyle name="Normal 47" xfId="928" xr:uid="{00000000-0005-0000-0000-000096030000}"/>
    <cellStyle name="Normal 47 2" xfId="929" xr:uid="{00000000-0005-0000-0000-000097030000}"/>
    <cellStyle name="Normal 48" xfId="930" xr:uid="{00000000-0005-0000-0000-000098030000}"/>
    <cellStyle name="Normal 48 2" xfId="931" xr:uid="{00000000-0005-0000-0000-000099030000}"/>
    <cellStyle name="Normal 49" xfId="932" xr:uid="{00000000-0005-0000-0000-00009A030000}"/>
    <cellStyle name="Normal 49 2" xfId="933" xr:uid="{00000000-0005-0000-0000-00009B030000}"/>
    <cellStyle name="Normal 5" xfId="29" xr:uid="{00000000-0005-0000-0000-00009C030000}"/>
    <cellStyle name="Normal 5 2" xfId="934" xr:uid="{00000000-0005-0000-0000-00009D030000}"/>
    <cellStyle name="Normal 5 2 2" xfId="935" xr:uid="{00000000-0005-0000-0000-00009E030000}"/>
    <cellStyle name="Normal 5 2 2 2" xfId="936" xr:uid="{00000000-0005-0000-0000-00009F030000}"/>
    <cellStyle name="Normal 5 2 3" xfId="937" xr:uid="{00000000-0005-0000-0000-0000A0030000}"/>
    <cellStyle name="Normal 5 3" xfId="938" xr:uid="{00000000-0005-0000-0000-0000A1030000}"/>
    <cellStyle name="Normal 5 3 2" xfId="939" xr:uid="{00000000-0005-0000-0000-0000A2030000}"/>
    <cellStyle name="Normal 5 4" xfId="940" xr:uid="{00000000-0005-0000-0000-0000A3030000}"/>
    <cellStyle name="Normal 5 5" xfId="941" xr:uid="{00000000-0005-0000-0000-0000A4030000}"/>
    <cellStyle name="Normal 5 6" xfId="942" xr:uid="{00000000-0005-0000-0000-0000A5030000}"/>
    <cellStyle name="Normal 50" xfId="943" xr:uid="{00000000-0005-0000-0000-0000A6030000}"/>
    <cellStyle name="Normal 50 2" xfId="944" xr:uid="{00000000-0005-0000-0000-0000A7030000}"/>
    <cellStyle name="Normal 51" xfId="945" xr:uid="{00000000-0005-0000-0000-0000A8030000}"/>
    <cellStyle name="Normal 51 2" xfId="946" xr:uid="{00000000-0005-0000-0000-0000A9030000}"/>
    <cellStyle name="Normal 52" xfId="947" xr:uid="{00000000-0005-0000-0000-0000AA030000}"/>
    <cellStyle name="Normal 52 2" xfId="948" xr:uid="{00000000-0005-0000-0000-0000AB030000}"/>
    <cellStyle name="Normal 53" xfId="949" xr:uid="{00000000-0005-0000-0000-0000AC030000}"/>
    <cellStyle name="Normal 53 2" xfId="950" xr:uid="{00000000-0005-0000-0000-0000AD030000}"/>
    <cellStyle name="Normal 54" xfId="951" xr:uid="{00000000-0005-0000-0000-0000AE030000}"/>
    <cellStyle name="Normal 54 2" xfId="952" xr:uid="{00000000-0005-0000-0000-0000AF030000}"/>
    <cellStyle name="Normal 55" xfId="953" xr:uid="{00000000-0005-0000-0000-0000B0030000}"/>
    <cellStyle name="Normal 55 2" xfId="954" xr:uid="{00000000-0005-0000-0000-0000B1030000}"/>
    <cellStyle name="Normal 56" xfId="955" xr:uid="{00000000-0005-0000-0000-0000B2030000}"/>
    <cellStyle name="Normal 56 2" xfId="956" xr:uid="{00000000-0005-0000-0000-0000B3030000}"/>
    <cellStyle name="Normal 57" xfId="957" xr:uid="{00000000-0005-0000-0000-0000B4030000}"/>
    <cellStyle name="Normal 57 2" xfId="958" xr:uid="{00000000-0005-0000-0000-0000B5030000}"/>
    <cellStyle name="Normal 58" xfId="959" xr:uid="{00000000-0005-0000-0000-0000B6030000}"/>
    <cellStyle name="Normal 58 2" xfId="960" xr:uid="{00000000-0005-0000-0000-0000B7030000}"/>
    <cellStyle name="Normal 59" xfId="961" xr:uid="{00000000-0005-0000-0000-0000B8030000}"/>
    <cellStyle name="Normal 59 2" xfId="962" xr:uid="{00000000-0005-0000-0000-0000B9030000}"/>
    <cellStyle name="Normal 6" xfId="28" xr:uid="{00000000-0005-0000-0000-0000BA030000}"/>
    <cellStyle name="Normal 6 2" xfId="963" xr:uid="{00000000-0005-0000-0000-0000BB030000}"/>
    <cellStyle name="Normal 6 2 2" xfId="964" xr:uid="{00000000-0005-0000-0000-0000BC030000}"/>
    <cellStyle name="Normal 6 3" xfId="965" xr:uid="{00000000-0005-0000-0000-0000BD030000}"/>
    <cellStyle name="Normal 6 4" xfId="966" xr:uid="{00000000-0005-0000-0000-0000BE030000}"/>
    <cellStyle name="Normal 6 5" xfId="967" xr:uid="{00000000-0005-0000-0000-0000BF030000}"/>
    <cellStyle name="Normal 60" xfId="968" xr:uid="{00000000-0005-0000-0000-0000C0030000}"/>
    <cellStyle name="Normal 60 2" xfId="969" xr:uid="{00000000-0005-0000-0000-0000C1030000}"/>
    <cellStyle name="Normal 61" xfId="970" xr:uid="{00000000-0005-0000-0000-0000C2030000}"/>
    <cellStyle name="Normal 61 2" xfId="971" xr:uid="{00000000-0005-0000-0000-0000C3030000}"/>
    <cellStyle name="Normal 62" xfId="972" xr:uid="{00000000-0005-0000-0000-0000C4030000}"/>
    <cellStyle name="Normal 62 2" xfId="973" xr:uid="{00000000-0005-0000-0000-0000C5030000}"/>
    <cellStyle name="Normal 63" xfId="974" xr:uid="{00000000-0005-0000-0000-0000C6030000}"/>
    <cellStyle name="Normal 63 2" xfId="975" xr:uid="{00000000-0005-0000-0000-0000C7030000}"/>
    <cellStyle name="Normal 64" xfId="976" xr:uid="{00000000-0005-0000-0000-0000C8030000}"/>
    <cellStyle name="Normal 64 2" xfId="977" xr:uid="{00000000-0005-0000-0000-0000C9030000}"/>
    <cellStyle name="Normal 65" xfId="978" xr:uid="{00000000-0005-0000-0000-0000CA030000}"/>
    <cellStyle name="Normal 65 2" xfId="979" xr:uid="{00000000-0005-0000-0000-0000CB030000}"/>
    <cellStyle name="Normal 66" xfId="980" xr:uid="{00000000-0005-0000-0000-0000CC030000}"/>
    <cellStyle name="Normal 66 2" xfId="981" xr:uid="{00000000-0005-0000-0000-0000CD030000}"/>
    <cellStyle name="Normal 67" xfId="982" xr:uid="{00000000-0005-0000-0000-0000CE030000}"/>
    <cellStyle name="Normal 67 2" xfId="983" xr:uid="{00000000-0005-0000-0000-0000CF030000}"/>
    <cellStyle name="Normal 68" xfId="984" xr:uid="{00000000-0005-0000-0000-0000D0030000}"/>
    <cellStyle name="Normal 68 2" xfId="985" xr:uid="{00000000-0005-0000-0000-0000D1030000}"/>
    <cellStyle name="Normal 69" xfId="986" xr:uid="{00000000-0005-0000-0000-0000D2030000}"/>
    <cellStyle name="Normal 69 2" xfId="987" xr:uid="{00000000-0005-0000-0000-0000D3030000}"/>
    <cellStyle name="Normal 7" xfId="988" xr:uid="{00000000-0005-0000-0000-0000D4030000}"/>
    <cellStyle name="Normal 7 2" xfId="989" xr:uid="{00000000-0005-0000-0000-0000D5030000}"/>
    <cellStyle name="Normal 7 2 2" xfId="990" xr:uid="{00000000-0005-0000-0000-0000D6030000}"/>
    <cellStyle name="Normal 7 3" xfId="991" xr:uid="{00000000-0005-0000-0000-0000D7030000}"/>
    <cellStyle name="Normal 7 4" xfId="992" xr:uid="{00000000-0005-0000-0000-0000D8030000}"/>
    <cellStyle name="Normal 7 5" xfId="993" xr:uid="{00000000-0005-0000-0000-0000D9030000}"/>
    <cellStyle name="Normal 70" xfId="994" xr:uid="{00000000-0005-0000-0000-0000DA030000}"/>
    <cellStyle name="Normal 70 2" xfId="995" xr:uid="{00000000-0005-0000-0000-0000DB030000}"/>
    <cellStyle name="Normal 71" xfId="996" xr:uid="{00000000-0005-0000-0000-0000DC030000}"/>
    <cellStyle name="Normal 71 2" xfId="997" xr:uid="{00000000-0005-0000-0000-0000DD030000}"/>
    <cellStyle name="Normal 72" xfId="998" xr:uid="{00000000-0005-0000-0000-0000DE030000}"/>
    <cellStyle name="Normal 72 2" xfId="999" xr:uid="{00000000-0005-0000-0000-0000DF030000}"/>
    <cellStyle name="Normal 73" xfId="1000" xr:uid="{00000000-0005-0000-0000-0000E0030000}"/>
    <cellStyle name="Normal 73 2" xfId="1001" xr:uid="{00000000-0005-0000-0000-0000E1030000}"/>
    <cellStyle name="Normal 74" xfId="1002" xr:uid="{00000000-0005-0000-0000-0000E2030000}"/>
    <cellStyle name="Normal 74 2" xfId="1003" xr:uid="{00000000-0005-0000-0000-0000E3030000}"/>
    <cellStyle name="Normal 75" xfId="1004" xr:uid="{00000000-0005-0000-0000-0000E4030000}"/>
    <cellStyle name="Normal 75 2" xfId="1005" xr:uid="{00000000-0005-0000-0000-0000E5030000}"/>
    <cellStyle name="Normal 76" xfId="1006" xr:uid="{00000000-0005-0000-0000-0000E6030000}"/>
    <cellStyle name="Normal 76 2" xfId="1007" xr:uid="{00000000-0005-0000-0000-0000E7030000}"/>
    <cellStyle name="Normal 77" xfId="1008" xr:uid="{00000000-0005-0000-0000-0000E8030000}"/>
    <cellStyle name="Normal 77 2" xfId="1009" xr:uid="{00000000-0005-0000-0000-0000E9030000}"/>
    <cellStyle name="Normal 78" xfId="1010" xr:uid="{00000000-0005-0000-0000-0000EA030000}"/>
    <cellStyle name="Normal 79" xfId="1011" xr:uid="{00000000-0005-0000-0000-0000EB030000}"/>
    <cellStyle name="Normal 8" xfId="1012" xr:uid="{00000000-0005-0000-0000-0000EC030000}"/>
    <cellStyle name="Normal 8 2" xfId="1013" xr:uid="{00000000-0005-0000-0000-0000ED030000}"/>
    <cellStyle name="Normal 8 3" xfId="1014" xr:uid="{00000000-0005-0000-0000-0000EE030000}"/>
    <cellStyle name="Normal 8 4" xfId="1015" xr:uid="{00000000-0005-0000-0000-0000EF030000}"/>
    <cellStyle name="Normal 9" xfId="1016" xr:uid="{00000000-0005-0000-0000-0000F0030000}"/>
    <cellStyle name="Normal 9 2" xfId="1017" xr:uid="{00000000-0005-0000-0000-0000F1030000}"/>
    <cellStyle name="Normal 9 2 2" xfId="1018" xr:uid="{00000000-0005-0000-0000-0000F2030000}"/>
    <cellStyle name="Normal 9 3" xfId="1019" xr:uid="{00000000-0005-0000-0000-0000F3030000}"/>
    <cellStyle name="Normal 9 4" xfId="1020" xr:uid="{00000000-0005-0000-0000-0000F4030000}"/>
    <cellStyle name="Normal 9 5" xfId="1021" xr:uid="{00000000-0005-0000-0000-0000F5030000}"/>
    <cellStyle name="Normal_Feuil13" xfId="1835" xr:uid="{00000000-0005-0000-0000-0000F6030000}"/>
    <cellStyle name="Note 10" xfId="1022" xr:uid="{00000000-0005-0000-0000-0000F7030000}"/>
    <cellStyle name="Note 10 2" xfId="1023" xr:uid="{00000000-0005-0000-0000-0000F8030000}"/>
    <cellStyle name="Note 10 2 2" xfId="1024" xr:uid="{00000000-0005-0000-0000-0000F9030000}"/>
    <cellStyle name="Note 10 3" xfId="1025" xr:uid="{00000000-0005-0000-0000-0000FA030000}"/>
    <cellStyle name="Note 11" xfId="1026" xr:uid="{00000000-0005-0000-0000-0000FB030000}"/>
    <cellStyle name="Note 11 2" xfId="1027" xr:uid="{00000000-0005-0000-0000-0000FC030000}"/>
    <cellStyle name="Note 11 2 2" xfId="1028" xr:uid="{00000000-0005-0000-0000-0000FD030000}"/>
    <cellStyle name="Note 11 3" xfId="1029" xr:uid="{00000000-0005-0000-0000-0000FE030000}"/>
    <cellStyle name="Note 12" xfId="1030" xr:uid="{00000000-0005-0000-0000-0000FF030000}"/>
    <cellStyle name="Note 12 2" xfId="1031" xr:uid="{00000000-0005-0000-0000-000000040000}"/>
    <cellStyle name="Note 12 2 2" xfId="1032" xr:uid="{00000000-0005-0000-0000-000001040000}"/>
    <cellStyle name="Note 12 2 2 2" xfId="1033" xr:uid="{00000000-0005-0000-0000-000002040000}"/>
    <cellStyle name="Note 12 2 2 2 2" xfId="1034" xr:uid="{00000000-0005-0000-0000-000003040000}"/>
    <cellStyle name="Note 12 2 2 3" xfId="1035" xr:uid="{00000000-0005-0000-0000-000004040000}"/>
    <cellStyle name="Note 12 2 3" xfId="1036" xr:uid="{00000000-0005-0000-0000-000005040000}"/>
    <cellStyle name="Note 12 2 3 2" xfId="1037" xr:uid="{00000000-0005-0000-0000-000006040000}"/>
    <cellStyle name="Note 12 2 3 2 2" xfId="1038" xr:uid="{00000000-0005-0000-0000-000007040000}"/>
    <cellStyle name="Note 12 2 3 3" xfId="1039" xr:uid="{00000000-0005-0000-0000-000008040000}"/>
    <cellStyle name="Note 12 2 4" xfId="1040" xr:uid="{00000000-0005-0000-0000-000009040000}"/>
    <cellStyle name="Note 12 2 4 2" xfId="1041" xr:uid="{00000000-0005-0000-0000-00000A040000}"/>
    <cellStyle name="Note 12 2 5" xfId="1042" xr:uid="{00000000-0005-0000-0000-00000B040000}"/>
    <cellStyle name="Note 12 3" xfId="1043" xr:uid="{00000000-0005-0000-0000-00000C040000}"/>
    <cellStyle name="Note 12 3 2" xfId="1044" xr:uid="{00000000-0005-0000-0000-00000D040000}"/>
    <cellStyle name="Note 12 3 2 2" xfId="1045" xr:uid="{00000000-0005-0000-0000-00000E040000}"/>
    <cellStyle name="Note 12 3 2 2 2" xfId="1046" xr:uid="{00000000-0005-0000-0000-00000F040000}"/>
    <cellStyle name="Note 12 3 2 3" xfId="1047" xr:uid="{00000000-0005-0000-0000-000010040000}"/>
    <cellStyle name="Note 12 3 3" xfId="1048" xr:uid="{00000000-0005-0000-0000-000011040000}"/>
    <cellStyle name="Note 12 3 3 2" xfId="1049" xr:uid="{00000000-0005-0000-0000-000012040000}"/>
    <cellStyle name="Note 12 3 3 2 2" xfId="1050" xr:uid="{00000000-0005-0000-0000-000013040000}"/>
    <cellStyle name="Note 12 3 3 3" xfId="1051" xr:uid="{00000000-0005-0000-0000-000014040000}"/>
    <cellStyle name="Note 12 3 4" xfId="1052" xr:uid="{00000000-0005-0000-0000-000015040000}"/>
    <cellStyle name="Note 12 3 4 2" xfId="1053" xr:uid="{00000000-0005-0000-0000-000016040000}"/>
    <cellStyle name="Note 12 3 4 2 2" xfId="1054" xr:uid="{00000000-0005-0000-0000-000017040000}"/>
    <cellStyle name="Note 12 3 4 3" xfId="1055" xr:uid="{00000000-0005-0000-0000-000018040000}"/>
    <cellStyle name="Note 12 3 5" xfId="1056" xr:uid="{00000000-0005-0000-0000-000019040000}"/>
    <cellStyle name="Note 12 3 5 2" xfId="1057" xr:uid="{00000000-0005-0000-0000-00001A040000}"/>
    <cellStyle name="Note 12 3 6" xfId="1058" xr:uid="{00000000-0005-0000-0000-00001B040000}"/>
    <cellStyle name="Note 12 4" xfId="1059" xr:uid="{00000000-0005-0000-0000-00001C040000}"/>
    <cellStyle name="Note 12 4 2" xfId="1060" xr:uid="{00000000-0005-0000-0000-00001D040000}"/>
    <cellStyle name="Note 12 4 2 2" xfId="1061" xr:uid="{00000000-0005-0000-0000-00001E040000}"/>
    <cellStyle name="Note 12 4 2 2 2" xfId="1062" xr:uid="{00000000-0005-0000-0000-00001F040000}"/>
    <cellStyle name="Note 12 4 2 3" xfId="1063" xr:uid="{00000000-0005-0000-0000-000020040000}"/>
    <cellStyle name="Note 12 4 3" xfId="1064" xr:uid="{00000000-0005-0000-0000-000021040000}"/>
    <cellStyle name="Note 12 4 3 2" xfId="1065" xr:uid="{00000000-0005-0000-0000-000022040000}"/>
    <cellStyle name="Note 12 4 4" xfId="1066" xr:uid="{00000000-0005-0000-0000-000023040000}"/>
    <cellStyle name="Note 12 5" xfId="1067" xr:uid="{00000000-0005-0000-0000-000024040000}"/>
    <cellStyle name="Note 12 5 2" xfId="1068" xr:uid="{00000000-0005-0000-0000-000025040000}"/>
    <cellStyle name="Note 12 5 2 2" xfId="1069" xr:uid="{00000000-0005-0000-0000-000026040000}"/>
    <cellStyle name="Note 12 5 3" xfId="1070" xr:uid="{00000000-0005-0000-0000-000027040000}"/>
    <cellStyle name="Note 12 6" xfId="1071" xr:uid="{00000000-0005-0000-0000-000028040000}"/>
    <cellStyle name="Note 13 2" xfId="1072" xr:uid="{00000000-0005-0000-0000-000029040000}"/>
    <cellStyle name="Note 13 2 2" xfId="1073" xr:uid="{00000000-0005-0000-0000-00002A040000}"/>
    <cellStyle name="Note 13 2 2 2" xfId="1074" xr:uid="{00000000-0005-0000-0000-00002B040000}"/>
    <cellStyle name="Note 13 2 2 2 2" xfId="1075" xr:uid="{00000000-0005-0000-0000-00002C040000}"/>
    <cellStyle name="Note 13 2 2 3" xfId="1076" xr:uid="{00000000-0005-0000-0000-00002D040000}"/>
    <cellStyle name="Note 13 2 3" xfId="1077" xr:uid="{00000000-0005-0000-0000-00002E040000}"/>
    <cellStyle name="Note 13 2 3 2" xfId="1078" xr:uid="{00000000-0005-0000-0000-00002F040000}"/>
    <cellStyle name="Note 13 2 3 2 2" xfId="1079" xr:uid="{00000000-0005-0000-0000-000030040000}"/>
    <cellStyle name="Note 13 2 3 3" xfId="1080" xr:uid="{00000000-0005-0000-0000-000031040000}"/>
    <cellStyle name="Note 13 2 4" xfId="1081" xr:uid="{00000000-0005-0000-0000-000032040000}"/>
    <cellStyle name="Note 13 2 4 2" xfId="1082" xr:uid="{00000000-0005-0000-0000-000033040000}"/>
    <cellStyle name="Note 13 2 5" xfId="1083" xr:uid="{00000000-0005-0000-0000-000034040000}"/>
    <cellStyle name="Note 13 3" xfId="1084" xr:uid="{00000000-0005-0000-0000-000035040000}"/>
    <cellStyle name="Note 13 3 2" xfId="1085" xr:uid="{00000000-0005-0000-0000-000036040000}"/>
    <cellStyle name="Note 13 3 2 2" xfId="1086" xr:uid="{00000000-0005-0000-0000-000037040000}"/>
    <cellStyle name="Note 13 3 3" xfId="1087" xr:uid="{00000000-0005-0000-0000-000038040000}"/>
    <cellStyle name="Note 13 4" xfId="1088" xr:uid="{00000000-0005-0000-0000-000039040000}"/>
    <cellStyle name="Note 13 4 2" xfId="1089" xr:uid="{00000000-0005-0000-0000-00003A040000}"/>
    <cellStyle name="Note 13 4 2 2" xfId="1090" xr:uid="{00000000-0005-0000-0000-00003B040000}"/>
    <cellStyle name="Note 13 4 3" xfId="1091" xr:uid="{00000000-0005-0000-0000-00003C040000}"/>
    <cellStyle name="Note 14" xfId="1092" xr:uid="{00000000-0005-0000-0000-00003D040000}"/>
    <cellStyle name="Note 14 2" xfId="1093" xr:uid="{00000000-0005-0000-0000-00003E040000}"/>
    <cellStyle name="Note 14 2 2" xfId="1094" xr:uid="{00000000-0005-0000-0000-00003F040000}"/>
    <cellStyle name="Note 14 2 2 2" xfId="1095" xr:uid="{00000000-0005-0000-0000-000040040000}"/>
    <cellStyle name="Note 14 2 3" xfId="1096" xr:uid="{00000000-0005-0000-0000-000041040000}"/>
    <cellStyle name="Note 14 3" xfId="1097" xr:uid="{00000000-0005-0000-0000-000042040000}"/>
    <cellStyle name="Note 14 3 2" xfId="1098" xr:uid="{00000000-0005-0000-0000-000043040000}"/>
    <cellStyle name="Note 14 4" xfId="1099" xr:uid="{00000000-0005-0000-0000-000044040000}"/>
    <cellStyle name="Note 15 2" xfId="1100" xr:uid="{00000000-0005-0000-0000-000045040000}"/>
    <cellStyle name="Note 15 2 2" xfId="1101" xr:uid="{00000000-0005-0000-0000-000046040000}"/>
    <cellStyle name="Note 15 2 2 2" xfId="1102" xr:uid="{00000000-0005-0000-0000-000047040000}"/>
    <cellStyle name="Note 15 2 3" xfId="1103" xr:uid="{00000000-0005-0000-0000-000048040000}"/>
    <cellStyle name="Note 16 2" xfId="1104" xr:uid="{00000000-0005-0000-0000-000049040000}"/>
    <cellStyle name="Note 16 2 2" xfId="1105" xr:uid="{00000000-0005-0000-0000-00004A040000}"/>
    <cellStyle name="Note 16 2 2 2" xfId="1106" xr:uid="{00000000-0005-0000-0000-00004B040000}"/>
    <cellStyle name="Note 16 2 3" xfId="1107" xr:uid="{00000000-0005-0000-0000-00004C040000}"/>
    <cellStyle name="Note 2" xfId="1108" xr:uid="{00000000-0005-0000-0000-00004D040000}"/>
    <cellStyle name="Note 2 2" xfId="1109" xr:uid="{00000000-0005-0000-0000-00004E040000}"/>
    <cellStyle name="Note 2 2 2" xfId="1110" xr:uid="{00000000-0005-0000-0000-00004F040000}"/>
    <cellStyle name="Note 2 2 2 2" xfId="1111" xr:uid="{00000000-0005-0000-0000-000050040000}"/>
    <cellStyle name="Note 2 2 3" xfId="1112" xr:uid="{00000000-0005-0000-0000-000051040000}"/>
    <cellStyle name="Note 2 3" xfId="1113" xr:uid="{00000000-0005-0000-0000-000052040000}"/>
    <cellStyle name="Note 2 3 2" xfId="1114" xr:uid="{00000000-0005-0000-0000-000053040000}"/>
    <cellStyle name="Note 2 3 2 2" xfId="1115" xr:uid="{00000000-0005-0000-0000-000054040000}"/>
    <cellStyle name="Note 2 3 3" xfId="1116" xr:uid="{00000000-0005-0000-0000-000055040000}"/>
    <cellStyle name="Note 2 4" xfId="1117" xr:uid="{00000000-0005-0000-0000-000056040000}"/>
    <cellStyle name="Note 2 4 2" xfId="1118" xr:uid="{00000000-0005-0000-0000-000057040000}"/>
    <cellStyle name="Note 2 4 2 2" xfId="1119" xr:uid="{00000000-0005-0000-0000-000058040000}"/>
    <cellStyle name="Note 2 4 3" xfId="1120" xr:uid="{00000000-0005-0000-0000-000059040000}"/>
    <cellStyle name="Note 2 5" xfId="1121" xr:uid="{00000000-0005-0000-0000-00005A040000}"/>
    <cellStyle name="Note 2 5 2" xfId="1122" xr:uid="{00000000-0005-0000-0000-00005B040000}"/>
    <cellStyle name="Note 2 5 2 2" xfId="1123" xr:uid="{00000000-0005-0000-0000-00005C040000}"/>
    <cellStyle name="Note 2 5 3" xfId="1124" xr:uid="{00000000-0005-0000-0000-00005D040000}"/>
    <cellStyle name="Note 2 6" xfId="1125" xr:uid="{00000000-0005-0000-0000-00005E040000}"/>
    <cellStyle name="Note 2 6 2" xfId="1126" xr:uid="{00000000-0005-0000-0000-00005F040000}"/>
    <cellStyle name="Note 2 7" xfId="1127" xr:uid="{00000000-0005-0000-0000-000060040000}"/>
    <cellStyle name="Note 2 8" xfId="1128" xr:uid="{00000000-0005-0000-0000-000061040000}"/>
    <cellStyle name="Note 2 9" xfId="1129" xr:uid="{00000000-0005-0000-0000-000062040000}"/>
    <cellStyle name="Note 3" xfId="1130" xr:uid="{00000000-0005-0000-0000-000063040000}"/>
    <cellStyle name="Note 3 2" xfId="1131" xr:uid="{00000000-0005-0000-0000-000064040000}"/>
    <cellStyle name="Note 3 2 2" xfId="1132" xr:uid="{00000000-0005-0000-0000-000065040000}"/>
    <cellStyle name="Note 3 2 2 2" xfId="1133" xr:uid="{00000000-0005-0000-0000-000066040000}"/>
    <cellStyle name="Note 3 2 3" xfId="1134" xr:uid="{00000000-0005-0000-0000-000067040000}"/>
    <cellStyle name="Note 3 3" xfId="1135" xr:uid="{00000000-0005-0000-0000-000068040000}"/>
    <cellStyle name="Note 3 3 2" xfId="1136" xr:uid="{00000000-0005-0000-0000-000069040000}"/>
    <cellStyle name="Note 3 3 2 2" xfId="1137" xr:uid="{00000000-0005-0000-0000-00006A040000}"/>
    <cellStyle name="Note 3 3 3" xfId="1138" xr:uid="{00000000-0005-0000-0000-00006B040000}"/>
    <cellStyle name="Note 3 4" xfId="1139" xr:uid="{00000000-0005-0000-0000-00006C040000}"/>
    <cellStyle name="Note 3 4 2" xfId="1140" xr:uid="{00000000-0005-0000-0000-00006D040000}"/>
    <cellStyle name="Note 3 4 2 2" xfId="1141" xr:uid="{00000000-0005-0000-0000-00006E040000}"/>
    <cellStyle name="Note 3 4 3" xfId="1142" xr:uid="{00000000-0005-0000-0000-00006F040000}"/>
    <cellStyle name="Note 3 5" xfId="1143" xr:uid="{00000000-0005-0000-0000-000070040000}"/>
    <cellStyle name="Note 3 5 2" xfId="1144" xr:uid="{00000000-0005-0000-0000-000071040000}"/>
    <cellStyle name="Note 3 5 2 2" xfId="1145" xr:uid="{00000000-0005-0000-0000-000072040000}"/>
    <cellStyle name="Note 3 5 3" xfId="1146" xr:uid="{00000000-0005-0000-0000-000073040000}"/>
    <cellStyle name="Note 3 6" xfId="1147" xr:uid="{00000000-0005-0000-0000-000074040000}"/>
    <cellStyle name="Note 3 6 2" xfId="1148" xr:uid="{00000000-0005-0000-0000-000075040000}"/>
    <cellStyle name="Note 3 7" xfId="1149" xr:uid="{00000000-0005-0000-0000-000076040000}"/>
    <cellStyle name="Note 4" xfId="1150" xr:uid="{00000000-0005-0000-0000-000077040000}"/>
    <cellStyle name="Note 4 2" xfId="1151" xr:uid="{00000000-0005-0000-0000-000078040000}"/>
    <cellStyle name="Note 4 2 2" xfId="1152" xr:uid="{00000000-0005-0000-0000-000079040000}"/>
    <cellStyle name="Note 4 2 2 2" xfId="1153" xr:uid="{00000000-0005-0000-0000-00007A040000}"/>
    <cellStyle name="Note 4 2 3" xfId="1154" xr:uid="{00000000-0005-0000-0000-00007B040000}"/>
    <cellStyle name="Note 4 3" xfId="1155" xr:uid="{00000000-0005-0000-0000-00007C040000}"/>
    <cellStyle name="Note 4 3 2" xfId="1156" xr:uid="{00000000-0005-0000-0000-00007D040000}"/>
    <cellStyle name="Note 4 3 2 2" xfId="1157" xr:uid="{00000000-0005-0000-0000-00007E040000}"/>
    <cellStyle name="Note 4 3 3" xfId="1158" xr:uid="{00000000-0005-0000-0000-00007F040000}"/>
    <cellStyle name="Note 4 4" xfId="1159" xr:uid="{00000000-0005-0000-0000-000080040000}"/>
    <cellStyle name="Note 4 4 2" xfId="1160" xr:uid="{00000000-0005-0000-0000-000081040000}"/>
    <cellStyle name="Note 4 4 2 2" xfId="1161" xr:uid="{00000000-0005-0000-0000-000082040000}"/>
    <cellStyle name="Note 4 4 3" xfId="1162" xr:uid="{00000000-0005-0000-0000-000083040000}"/>
    <cellStyle name="Note 4 5" xfId="1163" xr:uid="{00000000-0005-0000-0000-000084040000}"/>
    <cellStyle name="Note 4 5 2" xfId="1164" xr:uid="{00000000-0005-0000-0000-000085040000}"/>
    <cellStyle name="Note 4 5 2 2" xfId="1165" xr:uid="{00000000-0005-0000-0000-000086040000}"/>
    <cellStyle name="Note 4 5 3" xfId="1166" xr:uid="{00000000-0005-0000-0000-000087040000}"/>
    <cellStyle name="Note 4 6" xfId="1167" xr:uid="{00000000-0005-0000-0000-000088040000}"/>
    <cellStyle name="Note 4 6 2" xfId="1168" xr:uid="{00000000-0005-0000-0000-000089040000}"/>
    <cellStyle name="Note 4 7" xfId="1169" xr:uid="{00000000-0005-0000-0000-00008A040000}"/>
    <cellStyle name="Note 5" xfId="1170" xr:uid="{00000000-0005-0000-0000-00008B040000}"/>
    <cellStyle name="Note 5 2" xfId="1171" xr:uid="{00000000-0005-0000-0000-00008C040000}"/>
    <cellStyle name="Note 5 2 2" xfId="1172" xr:uid="{00000000-0005-0000-0000-00008D040000}"/>
    <cellStyle name="Note 5 2 2 2" xfId="1173" xr:uid="{00000000-0005-0000-0000-00008E040000}"/>
    <cellStyle name="Note 5 2 3" xfId="1174" xr:uid="{00000000-0005-0000-0000-00008F040000}"/>
    <cellStyle name="Note 5 3" xfId="1175" xr:uid="{00000000-0005-0000-0000-000090040000}"/>
    <cellStyle name="Note 5 3 2" xfId="1176" xr:uid="{00000000-0005-0000-0000-000091040000}"/>
    <cellStyle name="Note 5 3 2 2" xfId="1177" xr:uid="{00000000-0005-0000-0000-000092040000}"/>
    <cellStyle name="Note 5 3 3" xfId="1178" xr:uid="{00000000-0005-0000-0000-000093040000}"/>
    <cellStyle name="Note 5 4" xfId="1179" xr:uid="{00000000-0005-0000-0000-000094040000}"/>
    <cellStyle name="Note 5 4 2" xfId="1180" xr:uid="{00000000-0005-0000-0000-000095040000}"/>
    <cellStyle name="Note 5 4 2 2" xfId="1181" xr:uid="{00000000-0005-0000-0000-000096040000}"/>
    <cellStyle name="Note 5 4 3" xfId="1182" xr:uid="{00000000-0005-0000-0000-000097040000}"/>
    <cellStyle name="Note 5 5" xfId="1183" xr:uid="{00000000-0005-0000-0000-000098040000}"/>
    <cellStyle name="Note 5 5 2" xfId="1184" xr:uid="{00000000-0005-0000-0000-000099040000}"/>
    <cellStyle name="Note 5 5 2 2" xfId="1185" xr:uid="{00000000-0005-0000-0000-00009A040000}"/>
    <cellStyle name="Note 5 5 3" xfId="1186" xr:uid="{00000000-0005-0000-0000-00009B040000}"/>
    <cellStyle name="Note 5 6" xfId="1187" xr:uid="{00000000-0005-0000-0000-00009C040000}"/>
    <cellStyle name="Note 5 6 2" xfId="1188" xr:uid="{00000000-0005-0000-0000-00009D040000}"/>
    <cellStyle name="Note 5 7" xfId="1189" xr:uid="{00000000-0005-0000-0000-00009E040000}"/>
    <cellStyle name="Note 6" xfId="1190" xr:uid="{00000000-0005-0000-0000-00009F040000}"/>
    <cellStyle name="Note 6 2" xfId="1191" xr:uid="{00000000-0005-0000-0000-0000A0040000}"/>
    <cellStyle name="Note 6 2 2" xfId="1192" xr:uid="{00000000-0005-0000-0000-0000A1040000}"/>
    <cellStyle name="Note 6 2 2 2" xfId="1193" xr:uid="{00000000-0005-0000-0000-0000A2040000}"/>
    <cellStyle name="Note 6 2 3" xfId="1194" xr:uid="{00000000-0005-0000-0000-0000A3040000}"/>
    <cellStyle name="Note 6 3" xfId="1195" xr:uid="{00000000-0005-0000-0000-0000A4040000}"/>
    <cellStyle name="Note 6 3 2" xfId="1196" xr:uid="{00000000-0005-0000-0000-0000A5040000}"/>
    <cellStyle name="Note 6 3 2 2" xfId="1197" xr:uid="{00000000-0005-0000-0000-0000A6040000}"/>
    <cellStyle name="Note 6 3 3" xfId="1198" xr:uid="{00000000-0005-0000-0000-0000A7040000}"/>
    <cellStyle name="Note 6 4" xfId="1199" xr:uid="{00000000-0005-0000-0000-0000A8040000}"/>
    <cellStyle name="Note 6 4 2" xfId="1200" xr:uid="{00000000-0005-0000-0000-0000A9040000}"/>
    <cellStyle name="Note 6 4 2 2" xfId="1201" xr:uid="{00000000-0005-0000-0000-0000AA040000}"/>
    <cellStyle name="Note 6 4 3" xfId="1202" xr:uid="{00000000-0005-0000-0000-0000AB040000}"/>
    <cellStyle name="Note 6 5" xfId="1203" xr:uid="{00000000-0005-0000-0000-0000AC040000}"/>
    <cellStyle name="Note 6 5 2" xfId="1204" xr:uid="{00000000-0005-0000-0000-0000AD040000}"/>
    <cellStyle name="Note 6 6" xfId="1205" xr:uid="{00000000-0005-0000-0000-0000AE040000}"/>
    <cellStyle name="Note 7" xfId="1206" xr:uid="{00000000-0005-0000-0000-0000AF040000}"/>
    <cellStyle name="Note 7 2" xfId="1207" xr:uid="{00000000-0005-0000-0000-0000B0040000}"/>
    <cellStyle name="Note 7 2 2" xfId="1208" xr:uid="{00000000-0005-0000-0000-0000B1040000}"/>
    <cellStyle name="Note 7 2 2 2" xfId="1209" xr:uid="{00000000-0005-0000-0000-0000B2040000}"/>
    <cellStyle name="Note 7 2 3" xfId="1210" xr:uid="{00000000-0005-0000-0000-0000B3040000}"/>
    <cellStyle name="Note 7 3" xfId="1211" xr:uid="{00000000-0005-0000-0000-0000B4040000}"/>
    <cellStyle name="Note 7 3 2" xfId="1212" xr:uid="{00000000-0005-0000-0000-0000B5040000}"/>
    <cellStyle name="Note 7 3 2 2" xfId="1213" xr:uid="{00000000-0005-0000-0000-0000B6040000}"/>
    <cellStyle name="Note 7 3 3" xfId="1214" xr:uid="{00000000-0005-0000-0000-0000B7040000}"/>
    <cellStyle name="Note 7 4" xfId="1215" xr:uid="{00000000-0005-0000-0000-0000B8040000}"/>
    <cellStyle name="Note 7 4 2" xfId="1216" xr:uid="{00000000-0005-0000-0000-0000B9040000}"/>
    <cellStyle name="Note 7 4 2 2" xfId="1217" xr:uid="{00000000-0005-0000-0000-0000BA040000}"/>
    <cellStyle name="Note 7 4 3" xfId="1218" xr:uid="{00000000-0005-0000-0000-0000BB040000}"/>
    <cellStyle name="Note 7 5" xfId="1219" xr:uid="{00000000-0005-0000-0000-0000BC040000}"/>
    <cellStyle name="Note 7 5 2" xfId="1220" xr:uid="{00000000-0005-0000-0000-0000BD040000}"/>
    <cellStyle name="Note 7 6" xfId="1221" xr:uid="{00000000-0005-0000-0000-0000BE040000}"/>
    <cellStyle name="Note 8" xfId="1222" xr:uid="{00000000-0005-0000-0000-0000BF040000}"/>
    <cellStyle name="Note 8 2" xfId="1223" xr:uid="{00000000-0005-0000-0000-0000C0040000}"/>
    <cellStyle name="Note 8 2 2" xfId="1224" xr:uid="{00000000-0005-0000-0000-0000C1040000}"/>
    <cellStyle name="Note 8 3" xfId="1225" xr:uid="{00000000-0005-0000-0000-0000C2040000}"/>
    <cellStyle name="Note 9" xfId="1226" xr:uid="{00000000-0005-0000-0000-0000C3040000}"/>
    <cellStyle name="Note 9 2" xfId="1227" xr:uid="{00000000-0005-0000-0000-0000C4040000}"/>
    <cellStyle name="Note 9 2 2" xfId="1228" xr:uid="{00000000-0005-0000-0000-0000C5040000}"/>
    <cellStyle name="Note 9 3" xfId="1229" xr:uid="{00000000-0005-0000-0000-0000C6040000}"/>
    <cellStyle name="Page Title" xfId="13" xr:uid="{00000000-0005-0000-0000-0000C7040000}"/>
    <cellStyle name="Percent 10" xfId="1230" xr:uid="{00000000-0005-0000-0000-0000C8040000}"/>
    <cellStyle name="Percent 10 2" xfId="1231" xr:uid="{00000000-0005-0000-0000-0000C9040000}"/>
    <cellStyle name="Percent 10 2 2" xfId="1232" xr:uid="{00000000-0005-0000-0000-0000CA040000}"/>
    <cellStyle name="Percent 10 2 2 2" xfId="1233" xr:uid="{00000000-0005-0000-0000-0000CB040000}"/>
    <cellStyle name="Percent 10 2 3" xfId="1234" xr:uid="{00000000-0005-0000-0000-0000CC040000}"/>
    <cellStyle name="Percent 10 3" xfId="1235" xr:uid="{00000000-0005-0000-0000-0000CD040000}"/>
    <cellStyle name="Percent 10 3 2" xfId="1236" xr:uid="{00000000-0005-0000-0000-0000CE040000}"/>
    <cellStyle name="Percent 10 3 2 2" xfId="1237" xr:uid="{00000000-0005-0000-0000-0000CF040000}"/>
    <cellStyle name="Percent 10 3 3" xfId="1238" xr:uid="{00000000-0005-0000-0000-0000D0040000}"/>
    <cellStyle name="Percent 10 4" xfId="1239" xr:uid="{00000000-0005-0000-0000-0000D1040000}"/>
    <cellStyle name="Percent 10 4 2" xfId="1240" xr:uid="{00000000-0005-0000-0000-0000D2040000}"/>
    <cellStyle name="Percent 10 4 2 2" xfId="1241" xr:uid="{00000000-0005-0000-0000-0000D3040000}"/>
    <cellStyle name="Percent 10 4 3" xfId="1242" xr:uid="{00000000-0005-0000-0000-0000D4040000}"/>
    <cellStyle name="Percent 10 5" xfId="1243" xr:uid="{00000000-0005-0000-0000-0000D5040000}"/>
    <cellStyle name="Percent 10 5 2" xfId="1244" xr:uid="{00000000-0005-0000-0000-0000D6040000}"/>
    <cellStyle name="Percent 10 5 2 2" xfId="1245" xr:uid="{00000000-0005-0000-0000-0000D7040000}"/>
    <cellStyle name="Percent 10 5 3" xfId="1246" xr:uid="{00000000-0005-0000-0000-0000D8040000}"/>
    <cellStyle name="Percent 10 6" xfId="1247" xr:uid="{00000000-0005-0000-0000-0000D9040000}"/>
    <cellStyle name="Percent 10 6 2" xfId="1248" xr:uid="{00000000-0005-0000-0000-0000DA040000}"/>
    <cellStyle name="Percent 10 7" xfId="1249" xr:uid="{00000000-0005-0000-0000-0000DB040000}"/>
    <cellStyle name="Percent 11" xfId="1250" xr:uid="{00000000-0005-0000-0000-0000DC040000}"/>
    <cellStyle name="Percent 11 2" xfId="1251" xr:uid="{00000000-0005-0000-0000-0000DD040000}"/>
    <cellStyle name="Percent 11 2 2" xfId="1252" xr:uid="{00000000-0005-0000-0000-0000DE040000}"/>
    <cellStyle name="Percent 11 2 2 2" xfId="1253" xr:uid="{00000000-0005-0000-0000-0000DF040000}"/>
    <cellStyle name="Percent 11 2 3" xfId="1254" xr:uid="{00000000-0005-0000-0000-0000E0040000}"/>
    <cellStyle name="Percent 11 3" xfId="1255" xr:uid="{00000000-0005-0000-0000-0000E1040000}"/>
    <cellStyle name="Percent 11 3 2" xfId="1256" xr:uid="{00000000-0005-0000-0000-0000E2040000}"/>
    <cellStyle name="Percent 11 3 2 2" xfId="1257" xr:uid="{00000000-0005-0000-0000-0000E3040000}"/>
    <cellStyle name="Percent 11 3 3" xfId="1258" xr:uid="{00000000-0005-0000-0000-0000E4040000}"/>
    <cellStyle name="Percent 11 4" xfId="1259" xr:uid="{00000000-0005-0000-0000-0000E5040000}"/>
    <cellStyle name="Percent 11 4 2" xfId="1260" xr:uid="{00000000-0005-0000-0000-0000E6040000}"/>
    <cellStyle name="Percent 11 4 2 2" xfId="1261" xr:uid="{00000000-0005-0000-0000-0000E7040000}"/>
    <cellStyle name="Percent 11 4 3" xfId="1262" xr:uid="{00000000-0005-0000-0000-0000E8040000}"/>
    <cellStyle name="Percent 11 5" xfId="1263" xr:uid="{00000000-0005-0000-0000-0000E9040000}"/>
    <cellStyle name="Percent 11 5 2" xfId="1264" xr:uid="{00000000-0005-0000-0000-0000EA040000}"/>
    <cellStyle name="Percent 11 6" xfId="1265" xr:uid="{00000000-0005-0000-0000-0000EB040000}"/>
    <cellStyle name="Percent 12" xfId="1266" xr:uid="{00000000-0005-0000-0000-0000EC040000}"/>
    <cellStyle name="Percent 12 2" xfId="1267" xr:uid="{00000000-0005-0000-0000-0000ED040000}"/>
    <cellStyle name="Percent 12 2 2" xfId="1268" xr:uid="{00000000-0005-0000-0000-0000EE040000}"/>
    <cellStyle name="Percent 12 2 2 2" xfId="1269" xr:uid="{00000000-0005-0000-0000-0000EF040000}"/>
    <cellStyle name="Percent 12 2 3" xfId="1270" xr:uid="{00000000-0005-0000-0000-0000F0040000}"/>
    <cellStyle name="Percent 12 3" xfId="1271" xr:uid="{00000000-0005-0000-0000-0000F1040000}"/>
    <cellStyle name="Percent 12 3 2" xfId="1272" xr:uid="{00000000-0005-0000-0000-0000F2040000}"/>
    <cellStyle name="Percent 12 3 2 2" xfId="1273" xr:uid="{00000000-0005-0000-0000-0000F3040000}"/>
    <cellStyle name="Percent 12 3 3" xfId="1274" xr:uid="{00000000-0005-0000-0000-0000F4040000}"/>
    <cellStyle name="Percent 12 4" xfId="1275" xr:uid="{00000000-0005-0000-0000-0000F5040000}"/>
    <cellStyle name="Percent 12 4 2" xfId="1276" xr:uid="{00000000-0005-0000-0000-0000F6040000}"/>
    <cellStyle name="Percent 12 5" xfId="1277" xr:uid="{00000000-0005-0000-0000-0000F7040000}"/>
    <cellStyle name="Percent 13" xfId="34" xr:uid="{00000000-0005-0000-0000-0000F8040000}"/>
    <cellStyle name="Percent 13 2" xfId="1278" xr:uid="{00000000-0005-0000-0000-0000F9040000}"/>
    <cellStyle name="Percent 13 2 2" xfId="1279" xr:uid="{00000000-0005-0000-0000-0000FA040000}"/>
    <cellStyle name="Percent 13 2 2 2" xfId="1280" xr:uid="{00000000-0005-0000-0000-0000FB040000}"/>
    <cellStyle name="Percent 13 2 2 2 2" xfId="1281" xr:uid="{00000000-0005-0000-0000-0000FC040000}"/>
    <cellStyle name="Percent 13 2 2 3" xfId="1282" xr:uid="{00000000-0005-0000-0000-0000FD040000}"/>
    <cellStyle name="Percent 13 2 3" xfId="1283" xr:uid="{00000000-0005-0000-0000-0000FE040000}"/>
    <cellStyle name="Percent 13 2 3 2" xfId="1284" xr:uid="{00000000-0005-0000-0000-0000FF040000}"/>
    <cellStyle name="Percent 13 2 4" xfId="1285" xr:uid="{00000000-0005-0000-0000-000000050000}"/>
    <cellStyle name="Percent 13 3" xfId="1286" xr:uid="{00000000-0005-0000-0000-000001050000}"/>
    <cellStyle name="Percent 14" xfId="1287" xr:uid="{00000000-0005-0000-0000-000002050000}"/>
    <cellStyle name="Percent 14 2" xfId="1288" xr:uid="{00000000-0005-0000-0000-000003050000}"/>
    <cellStyle name="Percent 14 2 2" xfId="1289" xr:uid="{00000000-0005-0000-0000-000004050000}"/>
    <cellStyle name="Percent 14 2 2 2" xfId="1290" xr:uid="{00000000-0005-0000-0000-000005050000}"/>
    <cellStyle name="Percent 14 2 3" xfId="1291" xr:uid="{00000000-0005-0000-0000-000006050000}"/>
    <cellStyle name="Percent 14 3" xfId="1292" xr:uid="{00000000-0005-0000-0000-000007050000}"/>
    <cellStyle name="Percent 14 3 2" xfId="1293" xr:uid="{00000000-0005-0000-0000-000008050000}"/>
    <cellStyle name="Percent 14 4" xfId="1294" xr:uid="{00000000-0005-0000-0000-000009050000}"/>
    <cellStyle name="Percent 15" xfId="1295" xr:uid="{00000000-0005-0000-0000-00000A050000}"/>
    <cellStyle name="Percent 15 2" xfId="1296" xr:uid="{00000000-0005-0000-0000-00000B050000}"/>
    <cellStyle name="Percent 15 2 2" xfId="1297" xr:uid="{00000000-0005-0000-0000-00000C050000}"/>
    <cellStyle name="Percent 16" xfId="1298" xr:uid="{00000000-0005-0000-0000-00000D050000}"/>
    <cellStyle name="Percent 16 2" xfId="1299" xr:uid="{00000000-0005-0000-0000-00000E050000}"/>
    <cellStyle name="Percent 16 2 2" xfId="1300" xr:uid="{00000000-0005-0000-0000-00000F050000}"/>
    <cellStyle name="Percent 16 2 2 2" xfId="1301" xr:uid="{00000000-0005-0000-0000-000010050000}"/>
    <cellStyle name="Percent 16 2 3" xfId="1302" xr:uid="{00000000-0005-0000-0000-000011050000}"/>
    <cellStyle name="Percent 16 3" xfId="1303" xr:uid="{00000000-0005-0000-0000-000012050000}"/>
    <cellStyle name="Percent 17" xfId="1304" xr:uid="{00000000-0005-0000-0000-000013050000}"/>
    <cellStyle name="Percent 18" xfId="1305" xr:uid="{00000000-0005-0000-0000-000014050000}"/>
    <cellStyle name="Percent 2" xfId="14" xr:uid="{00000000-0005-0000-0000-000015050000}"/>
    <cellStyle name="Percent 2 10" xfId="1306" xr:uid="{00000000-0005-0000-0000-000016050000}"/>
    <cellStyle name="Percent 2 10 2" xfId="1307" xr:uid="{00000000-0005-0000-0000-000017050000}"/>
    <cellStyle name="Percent 2 10 2 2" xfId="1308" xr:uid="{00000000-0005-0000-0000-000018050000}"/>
    <cellStyle name="Percent 2 10 3" xfId="1309" xr:uid="{00000000-0005-0000-0000-000019050000}"/>
    <cellStyle name="Percent 2 11" xfId="1310" xr:uid="{00000000-0005-0000-0000-00001A050000}"/>
    <cellStyle name="Percent 2 11 2" xfId="1311" xr:uid="{00000000-0005-0000-0000-00001B050000}"/>
    <cellStyle name="Percent 2 11 2 2" xfId="1312" xr:uid="{00000000-0005-0000-0000-00001C050000}"/>
    <cellStyle name="Percent 2 11 3" xfId="1313" xr:uid="{00000000-0005-0000-0000-00001D050000}"/>
    <cellStyle name="Percent 2 12" xfId="1314" xr:uid="{00000000-0005-0000-0000-00001E050000}"/>
    <cellStyle name="Percent 2 12 2" xfId="1315" xr:uid="{00000000-0005-0000-0000-00001F050000}"/>
    <cellStyle name="Percent 2 12 2 2" xfId="1316" xr:uid="{00000000-0005-0000-0000-000020050000}"/>
    <cellStyle name="Percent 2 12 2 2 2" xfId="1317" xr:uid="{00000000-0005-0000-0000-000021050000}"/>
    <cellStyle name="Percent 2 12 2 3" xfId="1318" xr:uid="{00000000-0005-0000-0000-000022050000}"/>
    <cellStyle name="Percent 2 12 3" xfId="1319" xr:uid="{00000000-0005-0000-0000-000023050000}"/>
    <cellStyle name="Percent 2 12 3 2" xfId="1320" xr:uid="{00000000-0005-0000-0000-000024050000}"/>
    <cellStyle name="Percent 2 12 3 2 2" xfId="1321" xr:uid="{00000000-0005-0000-0000-000025050000}"/>
    <cellStyle name="Percent 2 12 3 3" xfId="1322" xr:uid="{00000000-0005-0000-0000-000026050000}"/>
    <cellStyle name="Percent 2 12 4" xfId="1323" xr:uid="{00000000-0005-0000-0000-000027050000}"/>
    <cellStyle name="Percent 2 12 4 2" xfId="1324" xr:uid="{00000000-0005-0000-0000-000028050000}"/>
    <cellStyle name="Percent 2 12 5" xfId="1325" xr:uid="{00000000-0005-0000-0000-000029050000}"/>
    <cellStyle name="Percent 2 13" xfId="1326" xr:uid="{00000000-0005-0000-0000-00002A050000}"/>
    <cellStyle name="Percent 2 13 2" xfId="1327" xr:uid="{00000000-0005-0000-0000-00002B050000}"/>
    <cellStyle name="Percent 2 13 2 2" xfId="1328" xr:uid="{00000000-0005-0000-0000-00002C050000}"/>
    <cellStyle name="Percent 2 13 2 2 2" xfId="1329" xr:uid="{00000000-0005-0000-0000-00002D050000}"/>
    <cellStyle name="Percent 2 13 2 3" xfId="1330" xr:uid="{00000000-0005-0000-0000-00002E050000}"/>
    <cellStyle name="Percent 2 13 3" xfId="1331" xr:uid="{00000000-0005-0000-0000-00002F050000}"/>
    <cellStyle name="Percent 2 13 3 2" xfId="1332" xr:uid="{00000000-0005-0000-0000-000030050000}"/>
    <cellStyle name="Percent 2 13 3 2 2" xfId="1333" xr:uid="{00000000-0005-0000-0000-000031050000}"/>
    <cellStyle name="Percent 2 13 3 3" xfId="1334" xr:uid="{00000000-0005-0000-0000-000032050000}"/>
    <cellStyle name="Percent 2 13 4" xfId="1335" xr:uid="{00000000-0005-0000-0000-000033050000}"/>
    <cellStyle name="Percent 2 13 4 2" xfId="1336" xr:uid="{00000000-0005-0000-0000-000034050000}"/>
    <cellStyle name="Percent 2 13 4 2 2" xfId="1337" xr:uid="{00000000-0005-0000-0000-000035050000}"/>
    <cellStyle name="Percent 2 13 4 3" xfId="1338" xr:uid="{00000000-0005-0000-0000-000036050000}"/>
    <cellStyle name="Percent 2 13 5" xfId="1339" xr:uid="{00000000-0005-0000-0000-000037050000}"/>
    <cellStyle name="Percent 2 13 5 2" xfId="1340" xr:uid="{00000000-0005-0000-0000-000038050000}"/>
    <cellStyle name="Percent 2 13 6" xfId="1341" xr:uid="{00000000-0005-0000-0000-000039050000}"/>
    <cellStyle name="Percent 2 14" xfId="1342" xr:uid="{00000000-0005-0000-0000-00003A050000}"/>
    <cellStyle name="Percent 2 14 2" xfId="1343" xr:uid="{00000000-0005-0000-0000-00003B050000}"/>
    <cellStyle name="Percent 2 14 2 2" xfId="1344" xr:uid="{00000000-0005-0000-0000-00003C050000}"/>
    <cellStyle name="Percent 2 14 2 2 2" xfId="1345" xr:uid="{00000000-0005-0000-0000-00003D050000}"/>
    <cellStyle name="Percent 2 14 2 3" xfId="1346" xr:uid="{00000000-0005-0000-0000-00003E050000}"/>
    <cellStyle name="Percent 2 14 3" xfId="1347" xr:uid="{00000000-0005-0000-0000-00003F050000}"/>
    <cellStyle name="Percent 2 14 3 2" xfId="1348" xr:uid="{00000000-0005-0000-0000-000040050000}"/>
    <cellStyle name="Percent 2 14 4" xfId="1349" xr:uid="{00000000-0005-0000-0000-000041050000}"/>
    <cellStyle name="Percent 2 15" xfId="1350" xr:uid="{00000000-0005-0000-0000-000042050000}"/>
    <cellStyle name="Percent 2 15 2" xfId="1351" xr:uid="{00000000-0005-0000-0000-000043050000}"/>
    <cellStyle name="Percent 2 15 2 2" xfId="1352" xr:uid="{00000000-0005-0000-0000-000044050000}"/>
    <cellStyle name="Percent 2 15 3" xfId="1353" xr:uid="{00000000-0005-0000-0000-000045050000}"/>
    <cellStyle name="Percent 2 16" xfId="1354" xr:uid="{00000000-0005-0000-0000-000046050000}"/>
    <cellStyle name="Percent 2 16 2" xfId="1355" xr:uid="{00000000-0005-0000-0000-000047050000}"/>
    <cellStyle name="Percent 2 16 2 2" xfId="1356" xr:uid="{00000000-0005-0000-0000-000048050000}"/>
    <cellStyle name="Percent 2 16 3" xfId="1357" xr:uid="{00000000-0005-0000-0000-000049050000}"/>
    <cellStyle name="Percent 2 17" xfId="1358" xr:uid="{00000000-0005-0000-0000-00004A050000}"/>
    <cellStyle name="Percent 2 17 2" xfId="1359" xr:uid="{00000000-0005-0000-0000-00004B050000}"/>
    <cellStyle name="Percent 2 18" xfId="1360" xr:uid="{00000000-0005-0000-0000-00004C050000}"/>
    <cellStyle name="Percent 2 2" xfId="1361" xr:uid="{00000000-0005-0000-0000-00004D050000}"/>
    <cellStyle name="Percent 2 2 2" xfId="1362" xr:uid="{00000000-0005-0000-0000-00004E050000}"/>
    <cellStyle name="Percent 2 2 2 2" xfId="1363" xr:uid="{00000000-0005-0000-0000-00004F050000}"/>
    <cellStyle name="Percent 2 2 2 2 2" xfId="1364" xr:uid="{00000000-0005-0000-0000-000050050000}"/>
    <cellStyle name="Percent 2 2 2 3" xfId="1365" xr:uid="{00000000-0005-0000-0000-000051050000}"/>
    <cellStyle name="Percent 2 2 3" xfId="1366" xr:uid="{00000000-0005-0000-0000-000052050000}"/>
    <cellStyle name="Percent 2 2 3 2" xfId="1367" xr:uid="{00000000-0005-0000-0000-000053050000}"/>
    <cellStyle name="Percent 2 2 3 2 2" xfId="1368" xr:uid="{00000000-0005-0000-0000-000054050000}"/>
    <cellStyle name="Percent 2 2 3 3" xfId="1369" xr:uid="{00000000-0005-0000-0000-000055050000}"/>
    <cellStyle name="Percent 2 2 4" xfId="1370" xr:uid="{00000000-0005-0000-0000-000056050000}"/>
    <cellStyle name="Percent 2 2 4 2" xfId="1371" xr:uid="{00000000-0005-0000-0000-000057050000}"/>
    <cellStyle name="Percent 2 2 4 2 2" xfId="1372" xr:uid="{00000000-0005-0000-0000-000058050000}"/>
    <cellStyle name="Percent 2 2 4 3" xfId="1373" xr:uid="{00000000-0005-0000-0000-000059050000}"/>
    <cellStyle name="Percent 2 2 5" xfId="1374" xr:uid="{00000000-0005-0000-0000-00005A050000}"/>
    <cellStyle name="Percent 2 2 5 2" xfId="1375" xr:uid="{00000000-0005-0000-0000-00005B050000}"/>
    <cellStyle name="Percent 2 2 5 2 2" xfId="1376" xr:uid="{00000000-0005-0000-0000-00005C050000}"/>
    <cellStyle name="Percent 2 2 5 3" xfId="1377" xr:uid="{00000000-0005-0000-0000-00005D050000}"/>
    <cellStyle name="Percent 2 2 6" xfId="1378" xr:uid="{00000000-0005-0000-0000-00005E050000}"/>
    <cellStyle name="Percent 2 2 6 2" xfId="1379" xr:uid="{00000000-0005-0000-0000-00005F050000}"/>
    <cellStyle name="Percent 2 2 7" xfId="1380" xr:uid="{00000000-0005-0000-0000-000060050000}"/>
    <cellStyle name="Percent 2 3" xfId="1381" xr:uid="{00000000-0005-0000-0000-000061050000}"/>
    <cellStyle name="Percent 2 3 2" xfId="1382" xr:uid="{00000000-0005-0000-0000-000062050000}"/>
    <cellStyle name="Percent 2 3 2 2" xfId="1383" xr:uid="{00000000-0005-0000-0000-000063050000}"/>
    <cellStyle name="Percent 2 3 2 2 2" xfId="1384" xr:uid="{00000000-0005-0000-0000-000064050000}"/>
    <cellStyle name="Percent 2 3 2 3" xfId="1385" xr:uid="{00000000-0005-0000-0000-000065050000}"/>
    <cellStyle name="Percent 2 3 3" xfId="1386" xr:uid="{00000000-0005-0000-0000-000066050000}"/>
    <cellStyle name="Percent 2 3 3 2" xfId="1387" xr:uid="{00000000-0005-0000-0000-000067050000}"/>
    <cellStyle name="Percent 2 3 3 2 2" xfId="1388" xr:uid="{00000000-0005-0000-0000-000068050000}"/>
    <cellStyle name="Percent 2 3 3 3" xfId="1389" xr:uid="{00000000-0005-0000-0000-000069050000}"/>
    <cellStyle name="Percent 2 3 4" xfId="1390" xr:uid="{00000000-0005-0000-0000-00006A050000}"/>
    <cellStyle name="Percent 2 3 4 2" xfId="1391" xr:uid="{00000000-0005-0000-0000-00006B050000}"/>
    <cellStyle name="Percent 2 3 4 2 2" xfId="1392" xr:uid="{00000000-0005-0000-0000-00006C050000}"/>
    <cellStyle name="Percent 2 3 4 3" xfId="1393" xr:uid="{00000000-0005-0000-0000-00006D050000}"/>
    <cellStyle name="Percent 2 3 5" xfId="1394" xr:uid="{00000000-0005-0000-0000-00006E050000}"/>
    <cellStyle name="Percent 2 3 5 2" xfId="1395" xr:uid="{00000000-0005-0000-0000-00006F050000}"/>
    <cellStyle name="Percent 2 3 5 2 2" xfId="1396" xr:uid="{00000000-0005-0000-0000-000070050000}"/>
    <cellStyle name="Percent 2 3 5 3" xfId="1397" xr:uid="{00000000-0005-0000-0000-000071050000}"/>
    <cellStyle name="Percent 2 3 6" xfId="1398" xr:uid="{00000000-0005-0000-0000-000072050000}"/>
    <cellStyle name="Percent 2 3 6 2" xfId="1399" xr:uid="{00000000-0005-0000-0000-000073050000}"/>
    <cellStyle name="Percent 2 3 7" xfId="1400" xr:uid="{00000000-0005-0000-0000-000074050000}"/>
    <cellStyle name="Percent 2 4" xfId="1401" xr:uid="{00000000-0005-0000-0000-000075050000}"/>
    <cellStyle name="Percent 2 4 2" xfId="1402" xr:uid="{00000000-0005-0000-0000-000076050000}"/>
    <cellStyle name="Percent 2 4 2 2" xfId="1403" xr:uid="{00000000-0005-0000-0000-000077050000}"/>
    <cellStyle name="Percent 2 4 2 2 2" xfId="1404" xr:uid="{00000000-0005-0000-0000-000078050000}"/>
    <cellStyle name="Percent 2 4 2 3" xfId="1405" xr:uid="{00000000-0005-0000-0000-000079050000}"/>
    <cellStyle name="Percent 2 4 3" xfId="1406" xr:uid="{00000000-0005-0000-0000-00007A050000}"/>
    <cellStyle name="Percent 2 4 3 2" xfId="1407" xr:uid="{00000000-0005-0000-0000-00007B050000}"/>
    <cellStyle name="Percent 2 4 3 2 2" xfId="1408" xr:uid="{00000000-0005-0000-0000-00007C050000}"/>
    <cellStyle name="Percent 2 4 3 3" xfId="1409" xr:uid="{00000000-0005-0000-0000-00007D050000}"/>
    <cellStyle name="Percent 2 4 4" xfId="1410" xr:uid="{00000000-0005-0000-0000-00007E050000}"/>
    <cellStyle name="Percent 2 4 4 2" xfId="1411" xr:uid="{00000000-0005-0000-0000-00007F050000}"/>
    <cellStyle name="Percent 2 4 4 2 2" xfId="1412" xr:uid="{00000000-0005-0000-0000-000080050000}"/>
    <cellStyle name="Percent 2 4 4 3" xfId="1413" xr:uid="{00000000-0005-0000-0000-000081050000}"/>
    <cellStyle name="Percent 2 4 5" xfId="1414" xr:uid="{00000000-0005-0000-0000-000082050000}"/>
    <cellStyle name="Percent 2 4 5 2" xfId="1415" xr:uid="{00000000-0005-0000-0000-000083050000}"/>
    <cellStyle name="Percent 2 4 5 2 2" xfId="1416" xr:uid="{00000000-0005-0000-0000-000084050000}"/>
    <cellStyle name="Percent 2 4 5 3" xfId="1417" xr:uid="{00000000-0005-0000-0000-000085050000}"/>
    <cellStyle name="Percent 2 4 6" xfId="1418" xr:uid="{00000000-0005-0000-0000-000086050000}"/>
    <cellStyle name="Percent 2 4 6 2" xfId="1419" xr:uid="{00000000-0005-0000-0000-000087050000}"/>
    <cellStyle name="Percent 2 4 7" xfId="1420" xr:uid="{00000000-0005-0000-0000-000088050000}"/>
    <cellStyle name="Percent 2 5" xfId="1421" xr:uid="{00000000-0005-0000-0000-000089050000}"/>
    <cellStyle name="Percent 2 5 2" xfId="1422" xr:uid="{00000000-0005-0000-0000-00008A050000}"/>
    <cellStyle name="Percent 2 5 2 2" xfId="1423" xr:uid="{00000000-0005-0000-0000-00008B050000}"/>
    <cellStyle name="Percent 2 5 2 2 2" xfId="1424" xr:uid="{00000000-0005-0000-0000-00008C050000}"/>
    <cellStyle name="Percent 2 5 2 3" xfId="1425" xr:uid="{00000000-0005-0000-0000-00008D050000}"/>
    <cellStyle name="Percent 2 5 3" xfId="1426" xr:uid="{00000000-0005-0000-0000-00008E050000}"/>
    <cellStyle name="Percent 2 5 3 2" xfId="1427" xr:uid="{00000000-0005-0000-0000-00008F050000}"/>
    <cellStyle name="Percent 2 5 3 2 2" xfId="1428" xr:uid="{00000000-0005-0000-0000-000090050000}"/>
    <cellStyle name="Percent 2 5 3 3" xfId="1429" xr:uid="{00000000-0005-0000-0000-000091050000}"/>
    <cellStyle name="Percent 2 5 4" xfId="1430" xr:uid="{00000000-0005-0000-0000-000092050000}"/>
    <cellStyle name="Percent 2 5 4 2" xfId="1431" xr:uid="{00000000-0005-0000-0000-000093050000}"/>
    <cellStyle name="Percent 2 5 4 2 2" xfId="1432" xr:uid="{00000000-0005-0000-0000-000094050000}"/>
    <cellStyle name="Percent 2 5 4 3" xfId="1433" xr:uid="{00000000-0005-0000-0000-000095050000}"/>
    <cellStyle name="Percent 2 5 5" xfId="1434" xr:uid="{00000000-0005-0000-0000-000096050000}"/>
    <cellStyle name="Percent 2 5 5 2" xfId="1435" xr:uid="{00000000-0005-0000-0000-000097050000}"/>
    <cellStyle name="Percent 2 5 5 2 2" xfId="1436" xr:uid="{00000000-0005-0000-0000-000098050000}"/>
    <cellStyle name="Percent 2 5 5 3" xfId="1437" xr:uid="{00000000-0005-0000-0000-000099050000}"/>
    <cellStyle name="Percent 2 5 6" xfId="1438" xr:uid="{00000000-0005-0000-0000-00009A050000}"/>
    <cellStyle name="Percent 2 5 6 2" xfId="1439" xr:uid="{00000000-0005-0000-0000-00009B050000}"/>
    <cellStyle name="Percent 2 5 7" xfId="1440" xr:uid="{00000000-0005-0000-0000-00009C050000}"/>
    <cellStyle name="Percent 2 6" xfId="1441" xr:uid="{00000000-0005-0000-0000-00009D050000}"/>
    <cellStyle name="Percent 2 6 2" xfId="1442" xr:uid="{00000000-0005-0000-0000-00009E050000}"/>
    <cellStyle name="Percent 2 6 2 2" xfId="1443" xr:uid="{00000000-0005-0000-0000-00009F050000}"/>
    <cellStyle name="Percent 2 6 2 2 2" xfId="1444" xr:uid="{00000000-0005-0000-0000-0000A0050000}"/>
    <cellStyle name="Percent 2 6 2 3" xfId="1445" xr:uid="{00000000-0005-0000-0000-0000A1050000}"/>
    <cellStyle name="Percent 2 6 3" xfId="1446" xr:uid="{00000000-0005-0000-0000-0000A2050000}"/>
    <cellStyle name="Percent 2 6 3 2" xfId="1447" xr:uid="{00000000-0005-0000-0000-0000A3050000}"/>
    <cellStyle name="Percent 2 6 3 2 2" xfId="1448" xr:uid="{00000000-0005-0000-0000-0000A4050000}"/>
    <cellStyle name="Percent 2 6 3 3" xfId="1449" xr:uid="{00000000-0005-0000-0000-0000A5050000}"/>
    <cellStyle name="Percent 2 6 4" xfId="1450" xr:uid="{00000000-0005-0000-0000-0000A6050000}"/>
    <cellStyle name="Percent 2 6 4 2" xfId="1451" xr:uid="{00000000-0005-0000-0000-0000A7050000}"/>
    <cellStyle name="Percent 2 6 4 2 2" xfId="1452" xr:uid="{00000000-0005-0000-0000-0000A8050000}"/>
    <cellStyle name="Percent 2 6 4 3" xfId="1453" xr:uid="{00000000-0005-0000-0000-0000A9050000}"/>
    <cellStyle name="Percent 2 6 5" xfId="1454" xr:uid="{00000000-0005-0000-0000-0000AA050000}"/>
    <cellStyle name="Percent 2 6 5 2" xfId="1455" xr:uid="{00000000-0005-0000-0000-0000AB050000}"/>
    <cellStyle name="Percent 2 6 6" xfId="1456" xr:uid="{00000000-0005-0000-0000-0000AC050000}"/>
    <cellStyle name="Percent 2 7" xfId="1457" xr:uid="{00000000-0005-0000-0000-0000AD050000}"/>
    <cellStyle name="Percent 2 7 2" xfId="1458" xr:uid="{00000000-0005-0000-0000-0000AE050000}"/>
    <cellStyle name="Percent 2 7 2 2" xfId="1459" xr:uid="{00000000-0005-0000-0000-0000AF050000}"/>
    <cellStyle name="Percent 2 7 2 2 2" xfId="1460" xr:uid="{00000000-0005-0000-0000-0000B0050000}"/>
    <cellStyle name="Percent 2 7 2 3" xfId="1461" xr:uid="{00000000-0005-0000-0000-0000B1050000}"/>
    <cellStyle name="Percent 2 7 3" xfId="1462" xr:uid="{00000000-0005-0000-0000-0000B2050000}"/>
    <cellStyle name="Percent 2 7 3 2" xfId="1463" xr:uid="{00000000-0005-0000-0000-0000B3050000}"/>
    <cellStyle name="Percent 2 7 3 2 2" xfId="1464" xr:uid="{00000000-0005-0000-0000-0000B4050000}"/>
    <cellStyle name="Percent 2 7 3 3" xfId="1465" xr:uid="{00000000-0005-0000-0000-0000B5050000}"/>
    <cellStyle name="Percent 2 7 4" xfId="1466" xr:uid="{00000000-0005-0000-0000-0000B6050000}"/>
    <cellStyle name="Percent 2 7 4 2" xfId="1467" xr:uid="{00000000-0005-0000-0000-0000B7050000}"/>
    <cellStyle name="Percent 2 7 4 2 2" xfId="1468" xr:uid="{00000000-0005-0000-0000-0000B8050000}"/>
    <cellStyle name="Percent 2 7 4 3" xfId="1469" xr:uid="{00000000-0005-0000-0000-0000B9050000}"/>
    <cellStyle name="Percent 2 7 5" xfId="1470" xr:uid="{00000000-0005-0000-0000-0000BA050000}"/>
    <cellStyle name="Percent 2 7 5 2" xfId="1471" xr:uid="{00000000-0005-0000-0000-0000BB050000}"/>
    <cellStyle name="Percent 2 7 6" xfId="1472" xr:uid="{00000000-0005-0000-0000-0000BC050000}"/>
    <cellStyle name="Percent 2 8" xfId="1473" xr:uid="{00000000-0005-0000-0000-0000BD050000}"/>
    <cellStyle name="Percent 2 8 2" xfId="1474" xr:uid="{00000000-0005-0000-0000-0000BE050000}"/>
    <cellStyle name="Percent 2 8 2 2" xfId="1475" xr:uid="{00000000-0005-0000-0000-0000BF050000}"/>
    <cellStyle name="Percent 2 8 3" xfId="1476" xr:uid="{00000000-0005-0000-0000-0000C0050000}"/>
    <cellStyle name="Percent 2 9" xfId="1477" xr:uid="{00000000-0005-0000-0000-0000C1050000}"/>
    <cellStyle name="Percent 2 9 2" xfId="1478" xr:uid="{00000000-0005-0000-0000-0000C2050000}"/>
    <cellStyle name="Percent 2 9 2 2" xfId="1479" xr:uid="{00000000-0005-0000-0000-0000C3050000}"/>
    <cellStyle name="Percent 2 9 3" xfId="1480" xr:uid="{00000000-0005-0000-0000-0000C4050000}"/>
    <cellStyle name="Percent 3" xfId="1481" xr:uid="{00000000-0005-0000-0000-0000C5050000}"/>
    <cellStyle name="Percent 3 10" xfId="1482" xr:uid="{00000000-0005-0000-0000-0000C6050000}"/>
    <cellStyle name="Percent 3 10 2" xfId="1483" xr:uid="{00000000-0005-0000-0000-0000C7050000}"/>
    <cellStyle name="Percent 3 10 2 2" xfId="1484" xr:uid="{00000000-0005-0000-0000-0000C8050000}"/>
    <cellStyle name="Percent 3 10 3" xfId="1485" xr:uid="{00000000-0005-0000-0000-0000C9050000}"/>
    <cellStyle name="Percent 3 11" xfId="1486" xr:uid="{00000000-0005-0000-0000-0000CA050000}"/>
    <cellStyle name="Percent 3 11 2" xfId="1487" xr:uid="{00000000-0005-0000-0000-0000CB050000}"/>
    <cellStyle name="Percent 3 11 2 2" xfId="1488" xr:uid="{00000000-0005-0000-0000-0000CC050000}"/>
    <cellStyle name="Percent 3 11 3" xfId="1489" xr:uid="{00000000-0005-0000-0000-0000CD050000}"/>
    <cellStyle name="Percent 3 12" xfId="1490" xr:uid="{00000000-0005-0000-0000-0000CE050000}"/>
    <cellStyle name="Percent 3 12 2" xfId="1491" xr:uid="{00000000-0005-0000-0000-0000CF050000}"/>
    <cellStyle name="Percent 3 12 2 2" xfId="1492" xr:uid="{00000000-0005-0000-0000-0000D0050000}"/>
    <cellStyle name="Percent 3 12 2 2 2" xfId="1493" xr:uid="{00000000-0005-0000-0000-0000D1050000}"/>
    <cellStyle name="Percent 3 12 2 3" xfId="1494" xr:uid="{00000000-0005-0000-0000-0000D2050000}"/>
    <cellStyle name="Percent 3 12 3" xfId="1495" xr:uid="{00000000-0005-0000-0000-0000D3050000}"/>
    <cellStyle name="Percent 3 12 3 2" xfId="1496" xr:uid="{00000000-0005-0000-0000-0000D4050000}"/>
    <cellStyle name="Percent 3 12 3 2 2" xfId="1497" xr:uid="{00000000-0005-0000-0000-0000D5050000}"/>
    <cellStyle name="Percent 3 12 3 3" xfId="1498" xr:uid="{00000000-0005-0000-0000-0000D6050000}"/>
    <cellStyle name="Percent 3 12 4" xfId="1499" xr:uid="{00000000-0005-0000-0000-0000D7050000}"/>
    <cellStyle name="Percent 3 12 4 2" xfId="1500" xr:uid="{00000000-0005-0000-0000-0000D8050000}"/>
    <cellStyle name="Percent 3 12 5" xfId="1501" xr:uid="{00000000-0005-0000-0000-0000D9050000}"/>
    <cellStyle name="Percent 3 13" xfId="1502" xr:uid="{00000000-0005-0000-0000-0000DA050000}"/>
    <cellStyle name="Percent 3 13 2" xfId="1503" xr:uid="{00000000-0005-0000-0000-0000DB050000}"/>
    <cellStyle name="Percent 3 13 2 2" xfId="1504" xr:uid="{00000000-0005-0000-0000-0000DC050000}"/>
    <cellStyle name="Percent 3 13 2 2 2" xfId="1505" xr:uid="{00000000-0005-0000-0000-0000DD050000}"/>
    <cellStyle name="Percent 3 13 2 3" xfId="1506" xr:uid="{00000000-0005-0000-0000-0000DE050000}"/>
    <cellStyle name="Percent 3 13 3" xfId="1507" xr:uid="{00000000-0005-0000-0000-0000DF050000}"/>
    <cellStyle name="Percent 3 13 3 2" xfId="1508" xr:uid="{00000000-0005-0000-0000-0000E0050000}"/>
    <cellStyle name="Percent 3 13 3 2 2" xfId="1509" xr:uid="{00000000-0005-0000-0000-0000E1050000}"/>
    <cellStyle name="Percent 3 13 3 3" xfId="1510" xr:uid="{00000000-0005-0000-0000-0000E2050000}"/>
    <cellStyle name="Percent 3 13 4" xfId="1511" xr:uid="{00000000-0005-0000-0000-0000E3050000}"/>
    <cellStyle name="Percent 3 13 4 2" xfId="1512" xr:uid="{00000000-0005-0000-0000-0000E4050000}"/>
    <cellStyle name="Percent 3 13 4 2 2" xfId="1513" xr:uid="{00000000-0005-0000-0000-0000E5050000}"/>
    <cellStyle name="Percent 3 13 4 3" xfId="1514" xr:uid="{00000000-0005-0000-0000-0000E6050000}"/>
    <cellStyle name="Percent 3 13 5" xfId="1515" xr:uid="{00000000-0005-0000-0000-0000E7050000}"/>
    <cellStyle name="Percent 3 13 5 2" xfId="1516" xr:uid="{00000000-0005-0000-0000-0000E8050000}"/>
    <cellStyle name="Percent 3 13 6" xfId="1517" xr:uid="{00000000-0005-0000-0000-0000E9050000}"/>
    <cellStyle name="Percent 3 14" xfId="1518" xr:uid="{00000000-0005-0000-0000-0000EA050000}"/>
    <cellStyle name="Percent 3 14 2" xfId="1519" xr:uid="{00000000-0005-0000-0000-0000EB050000}"/>
    <cellStyle name="Percent 3 14 2 2" xfId="1520" xr:uid="{00000000-0005-0000-0000-0000EC050000}"/>
    <cellStyle name="Percent 3 14 2 2 2" xfId="1521" xr:uid="{00000000-0005-0000-0000-0000ED050000}"/>
    <cellStyle name="Percent 3 14 2 3" xfId="1522" xr:uid="{00000000-0005-0000-0000-0000EE050000}"/>
    <cellStyle name="Percent 3 14 3" xfId="1523" xr:uid="{00000000-0005-0000-0000-0000EF050000}"/>
    <cellStyle name="Percent 3 14 3 2" xfId="1524" xr:uid="{00000000-0005-0000-0000-0000F0050000}"/>
    <cellStyle name="Percent 3 14 4" xfId="1525" xr:uid="{00000000-0005-0000-0000-0000F1050000}"/>
    <cellStyle name="Percent 3 15" xfId="1526" xr:uid="{00000000-0005-0000-0000-0000F2050000}"/>
    <cellStyle name="Percent 3 15 2" xfId="1527" xr:uid="{00000000-0005-0000-0000-0000F3050000}"/>
    <cellStyle name="Percent 3 15 2 2" xfId="1528" xr:uid="{00000000-0005-0000-0000-0000F4050000}"/>
    <cellStyle name="Percent 3 15 3" xfId="1529" xr:uid="{00000000-0005-0000-0000-0000F5050000}"/>
    <cellStyle name="Percent 3 16" xfId="1530" xr:uid="{00000000-0005-0000-0000-0000F6050000}"/>
    <cellStyle name="Percent 3 16 2" xfId="1531" xr:uid="{00000000-0005-0000-0000-0000F7050000}"/>
    <cellStyle name="Percent 3 16 2 2" xfId="1532" xr:uid="{00000000-0005-0000-0000-0000F8050000}"/>
    <cellStyle name="Percent 3 16 3" xfId="1533" xr:uid="{00000000-0005-0000-0000-0000F9050000}"/>
    <cellStyle name="Percent 3 17" xfId="1534" xr:uid="{00000000-0005-0000-0000-0000FA050000}"/>
    <cellStyle name="Percent 3 17 2" xfId="1535" xr:uid="{00000000-0005-0000-0000-0000FB050000}"/>
    <cellStyle name="Percent 3 18" xfId="1536" xr:uid="{00000000-0005-0000-0000-0000FC050000}"/>
    <cellStyle name="Percent 3 2" xfId="1537" xr:uid="{00000000-0005-0000-0000-0000FD050000}"/>
    <cellStyle name="Percent 3 2 2" xfId="1538" xr:uid="{00000000-0005-0000-0000-0000FE050000}"/>
    <cellStyle name="Percent 3 2 2 2" xfId="1539" xr:uid="{00000000-0005-0000-0000-0000FF050000}"/>
    <cellStyle name="Percent 3 2 2 2 2" xfId="1540" xr:uid="{00000000-0005-0000-0000-000000060000}"/>
    <cellStyle name="Percent 3 2 2 3" xfId="1541" xr:uid="{00000000-0005-0000-0000-000001060000}"/>
    <cellStyle name="Percent 3 2 3" xfId="1542" xr:uid="{00000000-0005-0000-0000-000002060000}"/>
    <cellStyle name="Percent 3 2 3 2" xfId="1543" xr:uid="{00000000-0005-0000-0000-000003060000}"/>
    <cellStyle name="Percent 3 2 3 2 2" xfId="1544" xr:uid="{00000000-0005-0000-0000-000004060000}"/>
    <cellStyle name="Percent 3 2 3 3" xfId="1545" xr:uid="{00000000-0005-0000-0000-000005060000}"/>
    <cellStyle name="Percent 3 2 4" xfId="1546" xr:uid="{00000000-0005-0000-0000-000006060000}"/>
    <cellStyle name="Percent 3 2 4 2" xfId="1547" xr:uid="{00000000-0005-0000-0000-000007060000}"/>
    <cellStyle name="Percent 3 2 4 2 2" xfId="1548" xr:uid="{00000000-0005-0000-0000-000008060000}"/>
    <cellStyle name="Percent 3 2 4 3" xfId="1549" xr:uid="{00000000-0005-0000-0000-000009060000}"/>
    <cellStyle name="Percent 3 2 5" xfId="1550" xr:uid="{00000000-0005-0000-0000-00000A060000}"/>
    <cellStyle name="Percent 3 2 5 2" xfId="1551" xr:uid="{00000000-0005-0000-0000-00000B060000}"/>
    <cellStyle name="Percent 3 2 5 2 2" xfId="1552" xr:uid="{00000000-0005-0000-0000-00000C060000}"/>
    <cellStyle name="Percent 3 2 5 3" xfId="1553" xr:uid="{00000000-0005-0000-0000-00000D060000}"/>
    <cellStyle name="Percent 3 2 6" xfId="1554" xr:uid="{00000000-0005-0000-0000-00000E060000}"/>
    <cellStyle name="Percent 3 2 6 2" xfId="1555" xr:uid="{00000000-0005-0000-0000-00000F060000}"/>
    <cellStyle name="Percent 3 2 7" xfId="1556" xr:uid="{00000000-0005-0000-0000-000010060000}"/>
    <cellStyle name="Percent 3 3" xfId="1557" xr:uid="{00000000-0005-0000-0000-000011060000}"/>
    <cellStyle name="Percent 3 3 2" xfId="1558" xr:uid="{00000000-0005-0000-0000-000012060000}"/>
    <cellStyle name="Percent 3 3 2 2" xfId="1559" xr:uid="{00000000-0005-0000-0000-000013060000}"/>
    <cellStyle name="Percent 3 3 2 2 2" xfId="1560" xr:uid="{00000000-0005-0000-0000-000014060000}"/>
    <cellStyle name="Percent 3 3 2 3" xfId="1561" xr:uid="{00000000-0005-0000-0000-000015060000}"/>
    <cellStyle name="Percent 3 3 3" xfId="1562" xr:uid="{00000000-0005-0000-0000-000016060000}"/>
    <cellStyle name="Percent 3 3 3 2" xfId="1563" xr:uid="{00000000-0005-0000-0000-000017060000}"/>
    <cellStyle name="Percent 3 3 3 2 2" xfId="1564" xr:uid="{00000000-0005-0000-0000-000018060000}"/>
    <cellStyle name="Percent 3 3 3 3" xfId="1565" xr:uid="{00000000-0005-0000-0000-000019060000}"/>
    <cellStyle name="Percent 3 3 4" xfId="1566" xr:uid="{00000000-0005-0000-0000-00001A060000}"/>
    <cellStyle name="Percent 3 3 4 2" xfId="1567" xr:uid="{00000000-0005-0000-0000-00001B060000}"/>
    <cellStyle name="Percent 3 3 4 2 2" xfId="1568" xr:uid="{00000000-0005-0000-0000-00001C060000}"/>
    <cellStyle name="Percent 3 3 4 3" xfId="1569" xr:uid="{00000000-0005-0000-0000-00001D060000}"/>
    <cellStyle name="Percent 3 3 5" xfId="1570" xr:uid="{00000000-0005-0000-0000-00001E060000}"/>
    <cellStyle name="Percent 3 3 5 2" xfId="1571" xr:uid="{00000000-0005-0000-0000-00001F060000}"/>
    <cellStyle name="Percent 3 3 5 2 2" xfId="1572" xr:uid="{00000000-0005-0000-0000-000020060000}"/>
    <cellStyle name="Percent 3 3 5 3" xfId="1573" xr:uid="{00000000-0005-0000-0000-000021060000}"/>
    <cellStyle name="Percent 3 3 6" xfId="1574" xr:uid="{00000000-0005-0000-0000-000022060000}"/>
    <cellStyle name="Percent 3 3 6 2" xfId="1575" xr:uid="{00000000-0005-0000-0000-000023060000}"/>
    <cellStyle name="Percent 3 3 7" xfId="1576" xr:uid="{00000000-0005-0000-0000-000024060000}"/>
    <cellStyle name="Percent 3 4" xfId="1577" xr:uid="{00000000-0005-0000-0000-000025060000}"/>
    <cellStyle name="Percent 3 4 2" xfId="1578" xr:uid="{00000000-0005-0000-0000-000026060000}"/>
    <cellStyle name="Percent 3 4 2 2" xfId="1579" xr:uid="{00000000-0005-0000-0000-000027060000}"/>
    <cellStyle name="Percent 3 4 2 2 2" xfId="1580" xr:uid="{00000000-0005-0000-0000-000028060000}"/>
    <cellStyle name="Percent 3 4 2 3" xfId="1581" xr:uid="{00000000-0005-0000-0000-000029060000}"/>
    <cellStyle name="Percent 3 4 3" xfId="1582" xr:uid="{00000000-0005-0000-0000-00002A060000}"/>
    <cellStyle name="Percent 3 4 3 2" xfId="1583" xr:uid="{00000000-0005-0000-0000-00002B060000}"/>
    <cellStyle name="Percent 3 4 3 2 2" xfId="1584" xr:uid="{00000000-0005-0000-0000-00002C060000}"/>
    <cellStyle name="Percent 3 4 3 3" xfId="1585" xr:uid="{00000000-0005-0000-0000-00002D060000}"/>
    <cellStyle name="Percent 3 4 4" xfId="1586" xr:uid="{00000000-0005-0000-0000-00002E060000}"/>
    <cellStyle name="Percent 3 4 4 2" xfId="1587" xr:uid="{00000000-0005-0000-0000-00002F060000}"/>
    <cellStyle name="Percent 3 4 4 2 2" xfId="1588" xr:uid="{00000000-0005-0000-0000-000030060000}"/>
    <cellStyle name="Percent 3 4 4 3" xfId="1589" xr:uid="{00000000-0005-0000-0000-000031060000}"/>
    <cellStyle name="Percent 3 4 5" xfId="1590" xr:uid="{00000000-0005-0000-0000-000032060000}"/>
    <cellStyle name="Percent 3 4 5 2" xfId="1591" xr:uid="{00000000-0005-0000-0000-000033060000}"/>
    <cellStyle name="Percent 3 4 5 2 2" xfId="1592" xr:uid="{00000000-0005-0000-0000-000034060000}"/>
    <cellStyle name="Percent 3 4 5 3" xfId="1593" xr:uid="{00000000-0005-0000-0000-000035060000}"/>
    <cellStyle name="Percent 3 4 6" xfId="1594" xr:uid="{00000000-0005-0000-0000-000036060000}"/>
    <cellStyle name="Percent 3 4 6 2" xfId="1595" xr:uid="{00000000-0005-0000-0000-000037060000}"/>
    <cellStyle name="Percent 3 4 7" xfId="1596" xr:uid="{00000000-0005-0000-0000-000038060000}"/>
    <cellStyle name="Percent 3 5" xfId="1597" xr:uid="{00000000-0005-0000-0000-000039060000}"/>
    <cellStyle name="Percent 3 5 2" xfId="1598" xr:uid="{00000000-0005-0000-0000-00003A060000}"/>
    <cellStyle name="Percent 3 5 2 2" xfId="1599" xr:uid="{00000000-0005-0000-0000-00003B060000}"/>
    <cellStyle name="Percent 3 5 2 2 2" xfId="1600" xr:uid="{00000000-0005-0000-0000-00003C060000}"/>
    <cellStyle name="Percent 3 5 2 3" xfId="1601" xr:uid="{00000000-0005-0000-0000-00003D060000}"/>
    <cellStyle name="Percent 3 5 3" xfId="1602" xr:uid="{00000000-0005-0000-0000-00003E060000}"/>
    <cellStyle name="Percent 3 5 3 2" xfId="1603" xr:uid="{00000000-0005-0000-0000-00003F060000}"/>
    <cellStyle name="Percent 3 5 3 2 2" xfId="1604" xr:uid="{00000000-0005-0000-0000-000040060000}"/>
    <cellStyle name="Percent 3 5 3 3" xfId="1605" xr:uid="{00000000-0005-0000-0000-000041060000}"/>
    <cellStyle name="Percent 3 5 4" xfId="1606" xr:uid="{00000000-0005-0000-0000-000042060000}"/>
    <cellStyle name="Percent 3 5 4 2" xfId="1607" xr:uid="{00000000-0005-0000-0000-000043060000}"/>
    <cellStyle name="Percent 3 5 4 2 2" xfId="1608" xr:uid="{00000000-0005-0000-0000-000044060000}"/>
    <cellStyle name="Percent 3 5 4 3" xfId="1609" xr:uid="{00000000-0005-0000-0000-000045060000}"/>
    <cellStyle name="Percent 3 5 5" xfId="1610" xr:uid="{00000000-0005-0000-0000-000046060000}"/>
    <cellStyle name="Percent 3 5 5 2" xfId="1611" xr:uid="{00000000-0005-0000-0000-000047060000}"/>
    <cellStyle name="Percent 3 5 5 2 2" xfId="1612" xr:uid="{00000000-0005-0000-0000-000048060000}"/>
    <cellStyle name="Percent 3 5 5 3" xfId="1613" xr:uid="{00000000-0005-0000-0000-000049060000}"/>
    <cellStyle name="Percent 3 5 6" xfId="1614" xr:uid="{00000000-0005-0000-0000-00004A060000}"/>
    <cellStyle name="Percent 3 5 6 2" xfId="1615" xr:uid="{00000000-0005-0000-0000-00004B060000}"/>
    <cellStyle name="Percent 3 5 7" xfId="1616" xr:uid="{00000000-0005-0000-0000-00004C060000}"/>
    <cellStyle name="Percent 3 6" xfId="1617" xr:uid="{00000000-0005-0000-0000-00004D060000}"/>
    <cellStyle name="Percent 3 6 2" xfId="1618" xr:uid="{00000000-0005-0000-0000-00004E060000}"/>
    <cellStyle name="Percent 3 6 2 2" xfId="1619" xr:uid="{00000000-0005-0000-0000-00004F060000}"/>
    <cellStyle name="Percent 3 6 2 2 2" xfId="1620" xr:uid="{00000000-0005-0000-0000-000050060000}"/>
    <cellStyle name="Percent 3 6 2 3" xfId="1621" xr:uid="{00000000-0005-0000-0000-000051060000}"/>
    <cellStyle name="Percent 3 6 3" xfId="1622" xr:uid="{00000000-0005-0000-0000-000052060000}"/>
    <cellStyle name="Percent 3 6 3 2" xfId="1623" xr:uid="{00000000-0005-0000-0000-000053060000}"/>
    <cellStyle name="Percent 3 6 3 2 2" xfId="1624" xr:uid="{00000000-0005-0000-0000-000054060000}"/>
    <cellStyle name="Percent 3 6 3 3" xfId="1625" xr:uid="{00000000-0005-0000-0000-000055060000}"/>
    <cellStyle name="Percent 3 6 4" xfId="1626" xr:uid="{00000000-0005-0000-0000-000056060000}"/>
    <cellStyle name="Percent 3 6 4 2" xfId="1627" xr:uid="{00000000-0005-0000-0000-000057060000}"/>
    <cellStyle name="Percent 3 6 4 2 2" xfId="1628" xr:uid="{00000000-0005-0000-0000-000058060000}"/>
    <cellStyle name="Percent 3 6 4 3" xfId="1629" xr:uid="{00000000-0005-0000-0000-000059060000}"/>
    <cellStyle name="Percent 3 6 5" xfId="1630" xr:uid="{00000000-0005-0000-0000-00005A060000}"/>
    <cellStyle name="Percent 3 6 5 2" xfId="1631" xr:uid="{00000000-0005-0000-0000-00005B060000}"/>
    <cellStyle name="Percent 3 6 6" xfId="1632" xr:uid="{00000000-0005-0000-0000-00005C060000}"/>
    <cellStyle name="Percent 3 7" xfId="1633" xr:uid="{00000000-0005-0000-0000-00005D060000}"/>
    <cellStyle name="Percent 3 7 2" xfId="1634" xr:uid="{00000000-0005-0000-0000-00005E060000}"/>
    <cellStyle name="Percent 3 7 2 2" xfId="1635" xr:uid="{00000000-0005-0000-0000-00005F060000}"/>
    <cellStyle name="Percent 3 7 2 2 2" xfId="1636" xr:uid="{00000000-0005-0000-0000-000060060000}"/>
    <cellStyle name="Percent 3 7 2 3" xfId="1637" xr:uid="{00000000-0005-0000-0000-000061060000}"/>
    <cellStyle name="Percent 3 7 3" xfId="1638" xr:uid="{00000000-0005-0000-0000-000062060000}"/>
    <cellStyle name="Percent 3 7 3 2" xfId="1639" xr:uid="{00000000-0005-0000-0000-000063060000}"/>
    <cellStyle name="Percent 3 7 3 2 2" xfId="1640" xr:uid="{00000000-0005-0000-0000-000064060000}"/>
    <cellStyle name="Percent 3 7 3 3" xfId="1641" xr:uid="{00000000-0005-0000-0000-000065060000}"/>
    <cellStyle name="Percent 3 7 4" xfId="1642" xr:uid="{00000000-0005-0000-0000-000066060000}"/>
    <cellStyle name="Percent 3 7 4 2" xfId="1643" xr:uid="{00000000-0005-0000-0000-000067060000}"/>
    <cellStyle name="Percent 3 7 4 2 2" xfId="1644" xr:uid="{00000000-0005-0000-0000-000068060000}"/>
    <cellStyle name="Percent 3 7 4 3" xfId="1645" xr:uid="{00000000-0005-0000-0000-000069060000}"/>
    <cellStyle name="Percent 3 7 5" xfId="1646" xr:uid="{00000000-0005-0000-0000-00006A060000}"/>
    <cellStyle name="Percent 3 7 5 2" xfId="1647" xr:uid="{00000000-0005-0000-0000-00006B060000}"/>
    <cellStyle name="Percent 3 7 6" xfId="1648" xr:uid="{00000000-0005-0000-0000-00006C060000}"/>
    <cellStyle name="Percent 3 8" xfId="1649" xr:uid="{00000000-0005-0000-0000-00006D060000}"/>
    <cellStyle name="Percent 3 8 2" xfId="1650" xr:uid="{00000000-0005-0000-0000-00006E060000}"/>
    <cellStyle name="Percent 3 8 2 2" xfId="1651" xr:uid="{00000000-0005-0000-0000-00006F060000}"/>
    <cellStyle name="Percent 3 8 3" xfId="1652" xr:uid="{00000000-0005-0000-0000-000070060000}"/>
    <cellStyle name="Percent 3 9" xfId="1653" xr:uid="{00000000-0005-0000-0000-000071060000}"/>
    <cellStyle name="Percent 3 9 2" xfId="1654" xr:uid="{00000000-0005-0000-0000-000072060000}"/>
    <cellStyle name="Percent 3 9 2 2" xfId="1655" xr:uid="{00000000-0005-0000-0000-000073060000}"/>
    <cellStyle name="Percent 3 9 3" xfId="1656" xr:uid="{00000000-0005-0000-0000-000074060000}"/>
    <cellStyle name="Percent 4" xfId="1657" xr:uid="{00000000-0005-0000-0000-000075060000}"/>
    <cellStyle name="Percent 4 2" xfId="1658" xr:uid="{00000000-0005-0000-0000-000076060000}"/>
    <cellStyle name="Percent 4 2 2" xfId="1659" xr:uid="{00000000-0005-0000-0000-000077060000}"/>
    <cellStyle name="Percent 4 2 2 2" xfId="1660" xr:uid="{00000000-0005-0000-0000-000078060000}"/>
    <cellStyle name="Percent 4 2 3" xfId="1661" xr:uid="{00000000-0005-0000-0000-000079060000}"/>
    <cellStyle name="Percent 4 3" xfId="1662" xr:uid="{00000000-0005-0000-0000-00007A060000}"/>
    <cellStyle name="Percent 4 3 2" xfId="1663" xr:uid="{00000000-0005-0000-0000-00007B060000}"/>
    <cellStyle name="Percent 4 4" xfId="1664" xr:uid="{00000000-0005-0000-0000-00007C060000}"/>
    <cellStyle name="Percent 5" xfId="1665" xr:uid="{00000000-0005-0000-0000-00007D060000}"/>
    <cellStyle name="Percent 5 10" xfId="1666" xr:uid="{00000000-0005-0000-0000-00007E060000}"/>
    <cellStyle name="Percent 5 10 2" xfId="1667" xr:uid="{00000000-0005-0000-0000-00007F060000}"/>
    <cellStyle name="Percent 5 11" xfId="1668" xr:uid="{00000000-0005-0000-0000-000080060000}"/>
    <cellStyle name="Percent 5 2" xfId="1669" xr:uid="{00000000-0005-0000-0000-000081060000}"/>
    <cellStyle name="Percent 5 2 2" xfId="1670" xr:uid="{00000000-0005-0000-0000-000082060000}"/>
    <cellStyle name="Percent 5 2 2 2" xfId="1671" xr:uid="{00000000-0005-0000-0000-000083060000}"/>
    <cellStyle name="Percent 5 2 3" xfId="1672" xr:uid="{00000000-0005-0000-0000-000084060000}"/>
    <cellStyle name="Percent 5 3" xfId="1673" xr:uid="{00000000-0005-0000-0000-000085060000}"/>
    <cellStyle name="Percent 5 3 2" xfId="1674" xr:uid="{00000000-0005-0000-0000-000086060000}"/>
    <cellStyle name="Percent 5 3 2 2" xfId="1675" xr:uid="{00000000-0005-0000-0000-000087060000}"/>
    <cellStyle name="Percent 5 3 3" xfId="1676" xr:uid="{00000000-0005-0000-0000-000088060000}"/>
    <cellStyle name="Percent 5 4" xfId="1677" xr:uid="{00000000-0005-0000-0000-000089060000}"/>
    <cellStyle name="Percent 5 4 2" xfId="1678" xr:uid="{00000000-0005-0000-0000-00008A060000}"/>
    <cellStyle name="Percent 5 4 2 2" xfId="1679" xr:uid="{00000000-0005-0000-0000-00008B060000}"/>
    <cellStyle name="Percent 5 4 3" xfId="1680" xr:uid="{00000000-0005-0000-0000-00008C060000}"/>
    <cellStyle name="Percent 5 5" xfId="1681" xr:uid="{00000000-0005-0000-0000-00008D060000}"/>
    <cellStyle name="Percent 5 5 2" xfId="1682" xr:uid="{00000000-0005-0000-0000-00008E060000}"/>
    <cellStyle name="Percent 5 5 2 2" xfId="1683" xr:uid="{00000000-0005-0000-0000-00008F060000}"/>
    <cellStyle name="Percent 5 5 3" xfId="1684" xr:uid="{00000000-0005-0000-0000-000090060000}"/>
    <cellStyle name="Percent 5 6" xfId="1685" xr:uid="{00000000-0005-0000-0000-000091060000}"/>
    <cellStyle name="Percent 5 6 2" xfId="1686" xr:uid="{00000000-0005-0000-0000-000092060000}"/>
    <cellStyle name="Percent 5 6 2 2" xfId="1687" xr:uid="{00000000-0005-0000-0000-000093060000}"/>
    <cellStyle name="Percent 5 6 3" xfId="1688" xr:uid="{00000000-0005-0000-0000-000094060000}"/>
    <cellStyle name="Percent 5 7" xfId="1689" xr:uid="{00000000-0005-0000-0000-000095060000}"/>
    <cellStyle name="Percent 5 7 2" xfId="1690" xr:uid="{00000000-0005-0000-0000-000096060000}"/>
    <cellStyle name="Percent 5 7 2 2" xfId="1691" xr:uid="{00000000-0005-0000-0000-000097060000}"/>
    <cellStyle name="Percent 5 7 3" xfId="1692" xr:uid="{00000000-0005-0000-0000-000098060000}"/>
    <cellStyle name="Percent 5 8" xfId="1693" xr:uid="{00000000-0005-0000-0000-000099060000}"/>
    <cellStyle name="Percent 5 8 2" xfId="1694" xr:uid="{00000000-0005-0000-0000-00009A060000}"/>
    <cellStyle name="Percent 5 8 2 2" xfId="1695" xr:uid="{00000000-0005-0000-0000-00009B060000}"/>
    <cellStyle name="Percent 5 8 3" xfId="1696" xr:uid="{00000000-0005-0000-0000-00009C060000}"/>
    <cellStyle name="Percent 5 9" xfId="1697" xr:uid="{00000000-0005-0000-0000-00009D060000}"/>
    <cellStyle name="Percent 5 9 2" xfId="1698" xr:uid="{00000000-0005-0000-0000-00009E060000}"/>
    <cellStyle name="Percent 5 9 2 2" xfId="1699" xr:uid="{00000000-0005-0000-0000-00009F060000}"/>
    <cellStyle name="Percent 5 9 3" xfId="1700" xr:uid="{00000000-0005-0000-0000-0000A0060000}"/>
    <cellStyle name="Percent 6" xfId="1701" xr:uid="{00000000-0005-0000-0000-0000A1060000}"/>
    <cellStyle name="Percent 6 2" xfId="1702" xr:uid="{00000000-0005-0000-0000-0000A2060000}"/>
    <cellStyle name="Percent 6 2 2" xfId="1703" xr:uid="{00000000-0005-0000-0000-0000A3060000}"/>
    <cellStyle name="Percent 6 2 2 2" xfId="1704" xr:uid="{00000000-0005-0000-0000-0000A4060000}"/>
    <cellStyle name="Percent 6 2 3" xfId="1705" xr:uid="{00000000-0005-0000-0000-0000A5060000}"/>
    <cellStyle name="Percent 6 3" xfId="1706" xr:uid="{00000000-0005-0000-0000-0000A6060000}"/>
    <cellStyle name="Percent 6 3 2" xfId="1707" xr:uid="{00000000-0005-0000-0000-0000A7060000}"/>
    <cellStyle name="Percent 6 3 2 2" xfId="1708" xr:uid="{00000000-0005-0000-0000-0000A8060000}"/>
    <cellStyle name="Percent 6 3 3" xfId="1709" xr:uid="{00000000-0005-0000-0000-0000A9060000}"/>
    <cellStyle name="Percent 6 4" xfId="1710" xr:uid="{00000000-0005-0000-0000-0000AA060000}"/>
    <cellStyle name="Percent 6 4 2" xfId="1711" xr:uid="{00000000-0005-0000-0000-0000AB060000}"/>
    <cellStyle name="Percent 6 4 2 2" xfId="1712" xr:uid="{00000000-0005-0000-0000-0000AC060000}"/>
    <cellStyle name="Percent 6 4 3" xfId="1713" xr:uid="{00000000-0005-0000-0000-0000AD060000}"/>
    <cellStyle name="Percent 6 5" xfId="1714" xr:uid="{00000000-0005-0000-0000-0000AE060000}"/>
    <cellStyle name="Percent 6 5 2" xfId="1715" xr:uid="{00000000-0005-0000-0000-0000AF060000}"/>
    <cellStyle name="Percent 6 5 2 2" xfId="1716" xr:uid="{00000000-0005-0000-0000-0000B0060000}"/>
    <cellStyle name="Percent 6 5 3" xfId="1717" xr:uid="{00000000-0005-0000-0000-0000B1060000}"/>
    <cellStyle name="Percent 6 6" xfId="1718" xr:uid="{00000000-0005-0000-0000-0000B2060000}"/>
    <cellStyle name="Percent 6 6 2" xfId="1719" xr:uid="{00000000-0005-0000-0000-0000B3060000}"/>
    <cellStyle name="Percent 6 7" xfId="1720" xr:uid="{00000000-0005-0000-0000-0000B4060000}"/>
    <cellStyle name="Percent 7" xfId="1721" xr:uid="{00000000-0005-0000-0000-0000B5060000}"/>
    <cellStyle name="Percent 7 2" xfId="1722" xr:uid="{00000000-0005-0000-0000-0000B6060000}"/>
    <cellStyle name="Percent 7 2 2" xfId="1723" xr:uid="{00000000-0005-0000-0000-0000B7060000}"/>
    <cellStyle name="Percent 7 2 2 2" xfId="1724" xr:uid="{00000000-0005-0000-0000-0000B8060000}"/>
    <cellStyle name="Percent 7 2 3" xfId="1725" xr:uid="{00000000-0005-0000-0000-0000B9060000}"/>
    <cellStyle name="Percent 7 3" xfId="1726" xr:uid="{00000000-0005-0000-0000-0000BA060000}"/>
    <cellStyle name="Percent 7 3 2" xfId="1727" xr:uid="{00000000-0005-0000-0000-0000BB060000}"/>
    <cellStyle name="Percent 7 3 2 2" xfId="1728" xr:uid="{00000000-0005-0000-0000-0000BC060000}"/>
    <cellStyle name="Percent 7 3 3" xfId="1729" xr:uid="{00000000-0005-0000-0000-0000BD060000}"/>
    <cellStyle name="Percent 7 4" xfId="1730" xr:uid="{00000000-0005-0000-0000-0000BE060000}"/>
    <cellStyle name="Percent 7 4 2" xfId="1731" xr:uid="{00000000-0005-0000-0000-0000BF060000}"/>
    <cellStyle name="Percent 7 4 2 2" xfId="1732" xr:uid="{00000000-0005-0000-0000-0000C0060000}"/>
    <cellStyle name="Percent 7 4 3" xfId="1733" xr:uid="{00000000-0005-0000-0000-0000C1060000}"/>
    <cellStyle name="Percent 7 5" xfId="1734" xr:uid="{00000000-0005-0000-0000-0000C2060000}"/>
    <cellStyle name="Percent 7 5 2" xfId="1735" xr:uid="{00000000-0005-0000-0000-0000C3060000}"/>
    <cellStyle name="Percent 7 5 2 2" xfId="1736" xr:uid="{00000000-0005-0000-0000-0000C4060000}"/>
    <cellStyle name="Percent 7 5 3" xfId="1737" xr:uid="{00000000-0005-0000-0000-0000C5060000}"/>
    <cellStyle name="Percent 7 6" xfId="1738" xr:uid="{00000000-0005-0000-0000-0000C6060000}"/>
    <cellStyle name="Percent 7 6 2" xfId="1739" xr:uid="{00000000-0005-0000-0000-0000C7060000}"/>
    <cellStyle name="Percent 7 7" xfId="1740" xr:uid="{00000000-0005-0000-0000-0000C8060000}"/>
    <cellStyle name="Percent 8" xfId="1741" xr:uid="{00000000-0005-0000-0000-0000C9060000}"/>
    <cellStyle name="Percent 8 2" xfId="1742" xr:uid="{00000000-0005-0000-0000-0000CA060000}"/>
    <cellStyle name="Percent 8 2 2" xfId="1743" xr:uid="{00000000-0005-0000-0000-0000CB060000}"/>
    <cellStyle name="Percent 8 2 2 2" xfId="1744" xr:uid="{00000000-0005-0000-0000-0000CC060000}"/>
    <cellStyle name="Percent 8 2 3" xfId="1745" xr:uid="{00000000-0005-0000-0000-0000CD060000}"/>
    <cellStyle name="Percent 8 3" xfId="1746" xr:uid="{00000000-0005-0000-0000-0000CE060000}"/>
    <cellStyle name="Percent 8 3 2" xfId="1747" xr:uid="{00000000-0005-0000-0000-0000CF060000}"/>
    <cellStyle name="Percent 8 3 2 2" xfId="1748" xr:uid="{00000000-0005-0000-0000-0000D0060000}"/>
    <cellStyle name="Percent 8 3 3" xfId="1749" xr:uid="{00000000-0005-0000-0000-0000D1060000}"/>
    <cellStyle name="Percent 8 4" xfId="1750" xr:uid="{00000000-0005-0000-0000-0000D2060000}"/>
    <cellStyle name="Percent 8 4 2" xfId="1751" xr:uid="{00000000-0005-0000-0000-0000D3060000}"/>
    <cellStyle name="Percent 8 4 2 2" xfId="1752" xr:uid="{00000000-0005-0000-0000-0000D4060000}"/>
    <cellStyle name="Percent 8 4 3" xfId="1753" xr:uid="{00000000-0005-0000-0000-0000D5060000}"/>
    <cellStyle name="Percent 8 5" xfId="1754" xr:uid="{00000000-0005-0000-0000-0000D6060000}"/>
    <cellStyle name="Percent 8 5 2" xfId="1755" xr:uid="{00000000-0005-0000-0000-0000D7060000}"/>
    <cellStyle name="Percent 8 5 2 2" xfId="1756" xr:uid="{00000000-0005-0000-0000-0000D8060000}"/>
    <cellStyle name="Percent 8 5 3" xfId="1757" xr:uid="{00000000-0005-0000-0000-0000D9060000}"/>
    <cellStyle name="Percent 8 6" xfId="1758" xr:uid="{00000000-0005-0000-0000-0000DA060000}"/>
    <cellStyle name="Percent 8 6 2" xfId="1759" xr:uid="{00000000-0005-0000-0000-0000DB060000}"/>
    <cellStyle name="Percent 8 7" xfId="1760" xr:uid="{00000000-0005-0000-0000-0000DC060000}"/>
    <cellStyle name="Percent 9" xfId="1761" xr:uid="{00000000-0005-0000-0000-0000DD060000}"/>
    <cellStyle name="Percent 9 2" xfId="1762" xr:uid="{00000000-0005-0000-0000-0000DE060000}"/>
    <cellStyle name="Percent 9 2 2" xfId="1763" xr:uid="{00000000-0005-0000-0000-0000DF060000}"/>
    <cellStyle name="Percent 9 2 2 2" xfId="1764" xr:uid="{00000000-0005-0000-0000-0000E0060000}"/>
    <cellStyle name="Percent 9 2 3" xfId="1765" xr:uid="{00000000-0005-0000-0000-0000E1060000}"/>
    <cellStyle name="Percent 9 3" xfId="1766" xr:uid="{00000000-0005-0000-0000-0000E2060000}"/>
    <cellStyle name="Percent 9 3 2" xfId="1767" xr:uid="{00000000-0005-0000-0000-0000E3060000}"/>
    <cellStyle name="Percent 9 3 2 2" xfId="1768" xr:uid="{00000000-0005-0000-0000-0000E4060000}"/>
    <cellStyle name="Percent 9 3 3" xfId="1769" xr:uid="{00000000-0005-0000-0000-0000E5060000}"/>
    <cellStyle name="Percent 9 4" xfId="1770" xr:uid="{00000000-0005-0000-0000-0000E6060000}"/>
    <cellStyle name="Percent 9 4 2" xfId="1771" xr:uid="{00000000-0005-0000-0000-0000E7060000}"/>
    <cellStyle name="Percent 9 4 2 2" xfId="1772" xr:uid="{00000000-0005-0000-0000-0000E8060000}"/>
    <cellStyle name="Percent 9 4 3" xfId="1773" xr:uid="{00000000-0005-0000-0000-0000E9060000}"/>
    <cellStyle name="Percent 9 5" xfId="1774" xr:uid="{00000000-0005-0000-0000-0000EA060000}"/>
    <cellStyle name="Percent 9 5 2" xfId="1775" xr:uid="{00000000-0005-0000-0000-0000EB060000}"/>
    <cellStyle name="Percent 9 5 2 2" xfId="1776" xr:uid="{00000000-0005-0000-0000-0000EC060000}"/>
    <cellStyle name="Percent 9 5 3" xfId="1777" xr:uid="{00000000-0005-0000-0000-0000ED060000}"/>
    <cellStyle name="Percent 9 6" xfId="1778" xr:uid="{00000000-0005-0000-0000-0000EE060000}"/>
    <cellStyle name="Percent 9 6 2" xfId="1779" xr:uid="{00000000-0005-0000-0000-0000EF060000}"/>
    <cellStyle name="Percent 9 7" xfId="1780" xr:uid="{00000000-0005-0000-0000-0000F0060000}"/>
    <cellStyle name="Pourcentage" xfId="32" builtinId="5"/>
    <cellStyle name="Results of formulas" xfId="15" xr:uid="{00000000-0005-0000-0000-0000F2060000}"/>
    <cellStyle name="Subhead text" xfId="16" xr:uid="{00000000-0005-0000-0000-0000F3060000}"/>
    <cellStyle name="Table - row immediately under table" xfId="1781" xr:uid="{00000000-0005-0000-0000-0000F4060000}"/>
    <cellStyle name="Table - row immediately under table 2" xfId="1782" xr:uid="{00000000-0005-0000-0000-0000F5060000}"/>
    <cellStyle name="Table - row immediately under table 2 2" xfId="1783" xr:uid="{00000000-0005-0000-0000-0000F6060000}"/>
    <cellStyle name="Table - row immediately under table 2 2 2" xfId="1784" xr:uid="{00000000-0005-0000-0000-0000F7060000}"/>
    <cellStyle name="Table - row immediately under table 2 3" xfId="1785" xr:uid="{00000000-0005-0000-0000-0000F8060000}"/>
    <cellStyle name="Table - row immediately under table 3" xfId="1786" xr:uid="{00000000-0005-0000-0000-0000F9060000}"/>
    <cellStyle name="Table - row immediately under table 3 2" xfId="1787" xr:uid="{00000000-0005-0000-0000-0000FA060000}"/>
    <cellStyle name="Table - row immediately under table 3 2 2" xfId="1788" xr:uid="{00000000-0005-0000-0000-0000FB060000}"/>
    <cellStyle name="Table - row immediately under table 3 3" xfId="1789" xr:uid="{00000000-0005-0000-0000-0000FC060000}"/>
    <cellStyle name="Table - row immediately under table 4" xfId="1790" xr:uid="{00000000-0005-0000-0000-0000FD060000}"/>
    <cellStyle name="Table - row immediately under table 4 2" xfId="1791" xr:uid="{00000000-0005-0000-0000-0000FE060000}"/>
    <cellStyle name="Table - row immediately under table 5" xfId="1792" xr:uid="{00000000-0005-0000-0000-0000FF060000}"/>
    <cellStyle name="Table - row immediately under table 6" xfId="1793" xr:uid="{00000000-0005-0000-0000-000000070000}"/>
    <cellStyle name="Table Body" xfId="1794" xr:uid="{00000000-0005-0000-0000-000001070000}"/>
    <cellStyle name="Table Body - Highlight" xfId="1795" xr:uid="{00000000-0005-0000-0000-000002070000}"/>
    <cellStyle name="Table Body $" xfId="1796" xr:uid="{00000000-0005-0000-0000-000003070000}"/>
    <cellStyle name="Table Body $ - Highlight" xfId="1797" xr:uid="{00000000-0005-0000-0000-000004070000}"/>
    <cellStyle name="Table Body $ 2" xfId="1798" xr:uid="{00000000-0005-0000-0000-000005070000}"/>
    <cellStyle name="Table Body $ 3" xfId="1799" xr:uid="{00000000-0005-0000-0000-000006070000}"/>
    <cellStyle name="Table Body $ Highlight" xfId="1800" xr:uid="{00000000-0005-0000-0000-000007070000}"/>
    <cellStyle name="Table Body $ Highlight Ruled" xfId="1801" xr:uid="{00000000-0005-0000-0000-000008070000}"/>
    <cellStyle name="Table Body $ Ruled" xfId="1802" xr:uid="{00000000-0005-0000-0000-000009070000}"/>
    <cellStyle name="Table Body %" xfId="1803" xr:uid="{00000000-0005-0000-0000-00000A070000}"/>
    <cellStyle name="Table Body % - Highlight" xfId="1804" xr:uid="{00000000-0005-0000-0000-00000B070000}"/>
    <cellStyle name="Table Body % - Highlight 2" xfId="1805" xr:uid="{00000000-0005-0000-0000-00000C070000}"/>
    <cellStyle name="Table Body % 2" xfId="1806" xr:uid="{00000000-0005-0000-0000-00000D070000}"/>
    <cellStyle name="Table Body % 3" xfId="1807" xr:uid="{00000000-0005-0000-0000-00000E070000}"/>
    <cellStyle name="Table Body % Highlight Ruled" xfId="1808" xr:uid="{00000000-0005-0000-0000-00000F070000}"/>
    <cellStyle name="Table Body % Ruled" xfId="1809" xr:uid="{00000000-0005-0000-0000-000010070000}"/>
    <cellStyle name="Table Body Decimal" xfId="1810" xr:uid="{00000000-0005-0000-0000-000011070000}"/>
    <cellStyle name="Table Body Decimal - Highlight" xfId="1811" xr:uid="{00000000-0005-0000-0000-000012070000}"/>
    <cellStyle name="Table Body Decimal - Highlight 2" xfId="1812" xr:uid="{00000000-0005-0000-0000-000013070000}"/>
    <cellStyle name="Table Body Decimal Highlight Ruled" xfId="1813" xr:uid="{00000000-0005-0000-0000-000014070000}"/>
    <cellStyle name="Table Body Decimal Ruled" xfId="1814" xr:uid="{00000000-0005-0000-0000-000015070000}"/>
    <cellStyle name="Table Body Highlight" xfId="1815" xr:uid="{00000000-0005-0000-0000-000016070000}"/>
    <cellStyle name="Table Body Highlight Ruled" xfId="1816" xr:uid="{00000000-0005-0000-0000-000017070000}"/>
    <cellStyle name="Table Body Ruled" xfId="1817" xr:uid="{00000000-0005-0000-0000-000018070000}"/>
    <cellStyle name="Table Header" xfId="1818" xr:uid="{00000000-0005-0000-0000-000019070000}"/>
    <cellStyle name="Table Header 2" xfId="1819" xr:uid="{00000000-0005-0000-0000-00001A070000}"/>
    <cellStyle name="Table Row Label" xfId="1820" xr:uid="{00000000-0005-0000-0000-00001B070000}"/>
    <cellStyle name="Table Row Label - Highlight" xfId="1821" xr:uid="{00000000-0005-0000-0000-00001C070000}"/>
    <cellStyle name="Table Row Label - Highlight 2" xfId="1822" xr:uid="{00000000-0005-0000-0000-00001D070000}"/>
    <cellStyle name="Table Row Label 2" xfId="1823" xr:uid="{00000000-0005-0000-0000-00001E070000}"/>
    <cellStyle name="Table Row Label 3" xfId="1824" xr:uid="{00000000-0005-0000-0000-00001F070000}"/>
    <cellStyle name="Table Row Label 4" xfId="1825" xr:uid="{00000000-0005-0000-0000-000020070000}"/>
    <cellStyle name="Table Row Label 5" xfId="1826" xr:uid="{00000000-0005-0000-0000-000021070000}"/>
    <cellStyle name="Table Row Label Highlight Ruled" xfId="1827" xr:uid="{00000000-0005-0000-0000-000022070000}"/>
    <cellStyle name="Table Row Label Ruled" xfId="1828" xr:uid="{00000000-0005-0000-0000-000023070000}"/>
    <cellStyle name="Table Subheader" xfId="1829" xr:uid="{00000000-0005-0000-0000-000024070000}"/>
    <cellStyle name="Table Subheader 2" xfId="1830" xr:uid="{00000000-0005-0000-0000-000025070000}"/>
    <cellStyle name="Table Subheader 3" xfId="1831" xr:uid="{00000000-0005-0000-0000-000026070000}"/>
    <cellStyle name="Text Sutitle" xfId="17" xr:uid="{00000000-0005-0000-0000-000027070000}"/>
    <cellStyle name="Text Title" xfId="18" xr:uid="{00000000-0005-0000-0000-000028070000}"/>
    <cellStyle name="Title Bar" xfId="19" xr:uid="{00000000-0005-0000-0000-000029070000}"/>
    <cellStyle name="Titre 4" xfId="20" builtinId="19"/>
    <cellStyle name="Valuta 2" xfId="1832" xr:uid="{00000000-0005-0000-0000-00002B070000}"/>
    <cellStyle name="Valuta 2 2" xfId="1833" xr:uid="{00000000-0005-0000-0000-00002C070000}"/>
  </cellStyles>
  <dxfs count="0"/>
  <tableStyles count="0" defaultTableStyle="TableStyleMedium2" defaultPivotStyle="PivotStyleLight16"/>
  <colors>
    <mruColors>
      <color rgb="FF0000FF"/>
      <color rgb="FF00CC00"/>
      <color rgb="FFFFFF99"/>
      <color rgb="FFFFFFCC"/>
      <color rgb="FF33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4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313266</xdr:colOff>
      <xdr:row>18</xdr:row>
      <xdr:rowOff>143934</xdr:rowOff>
    </xdr:from>
    <xdr:to>
      <xdr:col>9</xdr:col>
      <xdr:colOff>237066</xdr:colOff>
      <xdr:row>35</xdr:row>
      <xdr:rowOff>80434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2583A6C5-B85F-7BE3-EBE8-223F2FD22F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70866" y="2887134"/>
          <a:ext cx="5461000" cy="2527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wendyjoel/Dropbox/SAHELIS%20ASSURANCE/AAA/Valuation%20AAA%20Vie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apostolid_em/Local%20Settings/Temporary%20Internet%20Files/OLKE4/Prop%20Cat%20Study%20-%20Philly%20Office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Property%20Exposure%20Template/New/Property%20Template%20prototype%201%2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althazar.debrouwer/Dropbox/Pool%203%20Customisation/Mauritania/AGRICULTURAL/MAURITANIA%20Ag%2020160121_V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trol_Panel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a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First Loss Scale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ulnerability Profiling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www.dgi.gouv.ci/assets/documents/LE%20SYSTEME%20FISCAL%20IVOIRIEN.pdf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showGridLines="0" view="pageBreakPreview" zoomScale="220" zoomScaleNormal="90" zoomScaleSheetLayoutView="220" workbookViewId="0"/>
  </sheetViews>
  <sheetFormatPr baseColWidth="10" defaultColWidth="8.77734375" defaultRowHeight="14.4"/>
  <cols>
    <col min="2" max="2" width="12.77734375" bestFit="1" customWidth="1"/>
  </cols>
  <sheetData>
    <row r="1" spans="1:10">
      <c r="A1" s="124" t="s">
        <v>943</v>
      </c>
    </row>
    <row r="4" spans="1:10">
      <c r="B4" s="118"/>
      <c r="C4" s="119" t="s">
        <v>20</v>
      </c>
      <c r="D4" s="118"/>
      <c r="E4" s="118"/>
      <c r="F4" s="119"/>
      <c r="G4" s="118"/>
      <c r="H4" s="118"/>
      <c r="I4" s="119"/>
      <c r="J4" s="118"/>
    </row>
    <row r="6" spans="1:10">
      <c r="B6" t="s">
        <v>8</v>
      </c>
      <c r="C6" t="s">
        <v>7</v>
      </c>
    </row>
    <row r="7" spans="1:10">
      <c r="B7" t="s">
        <v>9</v>
      </c>
      <c r="C7" t="s">
        <v>15</v>
      </c>
    </row>
    <row r="8" spans="1:10">
      <c r="B8" t="s">
        <v>10</v>
      </c>
      <c r="C8" t="s">
        <v>19</v>
      </c>
    </row>
    <row r="9" spans="1:10">
      <c r="B9" s="6"/>
    </row>
    <row r="10" spans="1:10">
      <c r="B10" s="6" t="s">
        <v>6</v>
      </c>
      <c r="C10" t="s">
        <v>937</v>
      </c>
    </row>
    <row r="11" spans="1:10">
      <c r="B11" s="6" t="s">
        <v>936</v>
      </c>
      <c r="C11" t="s">
        <v>73</v>
      </c>
    </row>
    <row r="12" spans="1:10">
      <c r="B12" s="6" t="s">
        <v>938</v>
      </c>
      <c r="C12" t="s">
        <v>939</v>
      </c>
    </row>
    <row r="13" spans="1:10">
      <c r="B13" s="6"/>
    </row>
  </sheetData>
  <pageMargins left="0.7" right="0.7" top="0.75" bottom="0.75" header="0.3" footer="0.3"/>
  <pageSetup scale="9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CC00"/>
    <pageSetUpPr fitToPage="1"/>
  </sheetPr>
  <dimension ref="A1:E20"/>
  <sheetViews>
    <sheetView showGridLines="0" view="pageBreakPreview" topLeftCell="A5" zoomScale="120" zoomScaleNormal="90" zoomScaleSheetLayoutView="120" workbookViewId="0">
      <selection activeCell="D16" sqref="D16"/>
    </sheetView>
  </sheetViews>
  <sheetFormatPr baseColWidth="10" defaultColWidth="8.77734375" defaultRowHeight="12.75" customHeight="1"/>
  <cols>
    <col min="1" max="2" width="5.6640625" style="1" customWidth="1"/>
    <col min="3" max="3" width="18.44140625" style="1" customWidth="1"/>
    <col min="4" max="4" width="85.77734375" style="1" customWidth="1"/>
    <col min="5" max="5" width="3.109375" style="1" customWidth="1"/>
    <col min="6" max="9" width="9.33203125" style="1" customWidth="1"/>
    <col min="10" max="10" width="8.77734375" style="1"/>
    <col min="11" max="11" width="10" style="1" bestFit="1" customWidth="1"/>
    <col min="12" max="16384" width="8.77734375" style="1"/>
  </cols>
  <sheetData>
    <row r="1" spans="1:5" ht="12.75" customHeight="1">
      <c r="A1" s="124" t="s">
        <v>943</v>
      </c>
    </row>
    <row r="4" spans="1:5" s="2" customFormat="1" ht="12.75" customHeight="1">
      <c r="A4" s="3"/>
      <c r="B4" s="3"/>
      <c r="C4" s="3"/>
    </row>
    <row r="5" spans="1:5" s="17" customFormat="1" ht="12.75" customHeight="1">
      <c r="B5" s="105"/>
      <c r="C5" s="104" t="s">
        <v>20</v>
      </c>
      <c r="D5" s="105"/>
      <c r="E5" s="105"/>
    </row>
    <row r="7" spans="1:5" ht="13.8">
      <c r="C7" s="22" t="s">
        <v>0</v>
      </c>
      <c r="D7" s="4" t="s">
        <v>44</v>
      </c>
    </row>
    <row r="8" spans="1:5" ht="28.05" customHeight="1">
      <c r="C8" s="137" t="s">
        <v>3</v>
      </c>
      <c r="D8" s="4" t="s">
        <v>905</v>
      </c>
    </row>
    <row r="9" spans="1:5" ht="27.6">
      <c r="C9" s="138"/>
      <c r="D9" s="4" t="s">
        <v>906</v>
      </c>
    </row>
    <row r="10" spans="1:5" ht="28.05" customHeight="1">
      <c r="C10" s="138"/>
      <c r="D10" s="4" t="s">
        <v>954</v>
      </c>
    </row>
    <row r="11" spans="1:5" ht="13.8">
      <c r="C11" s="139"/>
      <c r="D11" s="4" t="s">
        <v>907</v>
      </c>
    </row>
    <row r="12" spans="1:5" ht="41.4">
      <c r="C12" s="135" t="s">
        <v>4</v>
      </c>
      <c r="D12" s="4" t="s">
        <v>953</v>
      </c>
    </row>
    <row r="13" spans="1:5" ht="13.8">
      <c r="C13" s="136"/>
      <c r="D13" s="4" t="s">
        <v>42</v>
      </c>
    </row>
    <row r="14" spans="1:5" ht="13.8">
      <c r="C14" s="22" t="s">
        <v>956</v>
      </c>
      <c r="D14" s="4" t="s">
        <v>957</v>
      </c>
    </row>
    <row r="15" spans="1:5" ht="13.8">
      <c r="C15" s="22" t="s">
        <v>958</v>
      </c>
      <c r="D15" s="4" t="s">
        <v>959</v>
      </c>
    </row>
    <row r="16" spans="1:5" ht="13.8">
      <c r="C16" s="22" t="s">
        <v>1</v>
      </c>
      <c r="D16" s="4" t="s">
        <v>71</v>
      </c>
    </row>
    <row r="17" spans="3:4" ht="13.8">
      <c r="C17" s="22" t="s">
        <v>43</v>
      </c>
      <c r="D17" s="4" t="s">
        <v>908</v>
      </c>
    </row>
    <row r="18" spans="3:4" ht="27.6">
      <c r="C18" s="22" t="s">
        <v>41</v>
      </c>
      <c r="D18" s="4" t="s">
        <v>909</v>
      </c>
    </row>
    <row r="19" spans="3:4" ht="13.8">
      <c r="C19" s="22" t="s">
        <v>2</v>
      </c>
      <c r="D19" s="5" t="s">
        <v>910</v>
      </c>
    </row>
    <row r="20" spans="3:4" ht="41.4">
      <c r="C20" s="23" t="s">
        <v>5</v>
      </c>
      <c r="D20" s="5" t="s">
        <v>942</v>
      </c>
    </row>
  </sheetData>
  <mergeCells count="2">
    <mergeCell ref="C12:C13"/>
    <mergeCell ref="C8:C11"/>
  </mergeCells>
  <pageMargins left="0.25" right="0.25" top="0.75" bottom="0.75" header="0.3" footer="0.3"/>
  <pageSetup paperSize="9" scale="83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CC00"/>
    <pageSetUpPr fitToPage="1"/>
  </sheetPr>
  <dimension ref="A1:T36"/>
  <sheetViews>
    <sheetView showGridLines="0" tabSelected="1" topLeftCell="A3" zoomScale="130" zoomScaleNormal="130" zoomScaleSheetLayoutView="80" workbookViewId="0">
      <selection activeCell="D16" sqref="D16"/>
    </sheetView>
  </sheetViews>
  <sheetFormatPr baseColWidth="10" defaultColWidth="8.77734375" defaultRowHeight="12.75" customHeight="1"/>
  <cols>
    <col min="1" max="2" width="5.6640625" style="1" customWidth="1"/>
    <col min="3" max="3" width="54.77734375" style="1" bestFit="1" customWidth="1"/>
    <col min="4" max="4" width="13.44140625" style="1" customWidth="1"/>
    <col min="5" max="5" width="10.6640625" style="1" bestFit="1" customWidth="1"/>
    <col min="6" max="6" width="26" style="1" bestFit="1" customWidth="1"/>
    <col min="7" max="7" width="12.6640625" style="1" bestFit="1" customWidth="1"/>
    <col min="8" max="10" width="9.33203125" style="1" customWidth="1"/>
    <col min="11" max="11" width="17.109375" style="1" bestFit="1" customWidth="1"/>
    <col min="12" max="12" width="11.33203125" style="1" bestFit="1" customWidth="1"/>
    <col min="13" max="13" width="9.33203125" style="1" customWidth="1"/>
    <col min="14" max="14" width="8.77734375" style="1"/>
    <col min="15" max="15" width="10" style="1" bestFit="1" customWidth="1"/>
    <col min="16" max="19" width="8.77734375" style="1"/>
    <col min="20" max="20" width="11.6640625" style="1" bestFit="1" customWidth="1"/>
    <col min="21" max="16384" width="8.77734375" style="1"/>
  </cols>
  <sheetData>
    <row r="1" spans="1:10" ht="12.75" customHeight="1">
      <c r="A1" s="124" t="s">
        <v>943</v>
      </c>
    </row>
    <row r="4" spans="1:10" s="2" customFormat="1" ht="12.75" customHeight="1">
      <c r="A4" s="3"/>
      <c r="B4" s="3"/>
    </row>
    <row r="5" spans="1:10" s="17" customFormat="1" ht="12.75" customHeight="1">
      <c r="B5" s="104"/>
      <c r="C5" s="104" t="s">
        <v>9</v>
      </c>
      <c r="D5" s="104"/>
      <c r="E5" s="104"/>
      <c r="F5" s="104"/>
      <c r="G5" s="104"/>
      <c r="H5" s="104"/>
      <c r="I5" s="104"/>
    </row>
    <row r="7" spans="1:10" ht="12.75" customHeight="1">
      <c r="C7" s="1" t="s">
        <v>3</v>
      </c>
      <c r="D7" s="13"/>
      <c r="E7" s="7"/>
      <c r="G7" s="1" t="s">
        <v>879</v>
      </c>
      <c r="H7" s="1" t="s">
        <v>911</v>
      </c>
    </row>
    <row r="8" spans="1:10" ht="12.75" customHeight="1">
      <c r="C8" s="115" t="s">
        <v>932</v>
      </c>
      <c r="D8" s="13">
        <f>+G8*D10</f>
        <v>50000</v>
      </c>
      <c r="E8" s="24" t="s">
        <v>32</v>
      </c>
      <c r="F8" s="28" t="s">
        <v>45</v>
      </c>
      <c r="G8" s="116">
        <v>0.2</v>
      </c>
      <c r="H8" s="59">
        <v>0.95</v>
      </c>
    </row>
    <row r="9" spans="1:10" ht="12.75" customHeight="1">
      <c r="C9" s="115" t="s">
        <v>933</v>
      </c>
      <c r="D9" s="13">
        <f>G9*D10</f>
        <v>125000</v>
      </c>
      <c r="E9" s="24" t="s">
        <v>32</v>
      </c>
      <c r="F9" s="28" t="s">
        <v>46</v>
      </c>
      <c r="G9" s="59">
        <v>0.5</v>
      </c>
      <c r="H9" s="59">
        <v>0.85</v>
      </c>
    </row>
    <row r="10" spans="1:10" ht="12.75" customHeight="1">
      <c r="C10" s="115" t="s">
        <v>934</v>
      </c>
      <c r="D10" s="13">
        <v>250000</v>
      </c>
      <c r="E10" s="24" t="s">
        <v>32</v>
      </c>
      <c r="F10" s="28" t="s">
        <v>47</v>
      </c>
      <c r="G10" s="109">
        <v>1</v>
      </c>
      <c r="H10" s="59">
        <v>0.75</v>
      </c>
    </row>
    <row r="11" spans="1:10" ht="12.75" customHeight="1">
      <c r="C11" s="115" t="s">
        <v>935</v>
      </c>
      <c r="D11" s="13">
        <v>250000</v>
      </c>
      <c r="E11" s="24" t="s">
        <v>32</v>
      </c>
      <c r="F11" s="28" t="s">
        <v>912</v>
      </c>
      <c r="G11" s="109"/>
      <c r="H11" s="59"/>
    </row>
    <row r="12" spans="1:10" ht="12.75" customHeight="1">
      <c r="C12" s="1" t="s">
        <v>62</v>
      </c>
      <c r="D12" s="9">
        <f>+'(2) ARV Model'!$AQ$3</f>
        <v>9819.4847316070791</v>
      </c>
      <c r="F12" s="28" t="s">
        <v>918</v>
      </c>
      <c r="G12" s="11"/>
      <c r="J12" s="11"/>
    </row>
    <row r="13" spans="1:10" ht="12.75" customHeight="1">
      <c r="C13" s="1" t="s">
        <v>927</v>
      </c>
      <c r="D13" s="9">
        <f>D31*D11</f>
        <v>1317.8106719475879</v>
      </c>
      <c r="F13" s="28" t="s">
        <v>919</v>
      </c>
      <c r="G13" s="11"/>
      <c r="J13" s="11"/>
    </row>
    <row r="14" spans="1:10" s="143" customFormat="1" ht="12.75" customHeight="1">
      <c r="C14" s="143" t="s">
        <v>33</v>
      </c>
      <c r="D14" s="144">
        <v>0.22</v>
      </c>
      <c r="F14" s="145" t="s">
        <v>916</v>
      </c>
      <c r="G14" s="146"/>
    </row>
    <row r="15" spans="1:10" s="143" customFormat="1" ht="12.75" customHeight="1">
      <c r="C15" s="143" t="s">
        <v>36</v>
      </c>
      <c r="D15" s="147">
        <v>0.4</v>
      </c>
      <c r="F15" s="145" t="s">
        <v>48</v>
      </c>
    </row>
    <row r="16" spans="1:10" ht="12.75" customHeight="1">
      <c r="C16" s="1" t="s">
        <v>63</v>
      </c>
      <c r="D16" s="110">
        <f>D12/(1-D14-D15)</f>
        <v>25840.74929370284</v>
      </c>
      <c r="E16" s="12"/>
      <c r="F16" s="28" t="s">
        <v>920</v>
      </c>
    </row>
    <row r="17" spans="2:15" ht="12.75" customHeight="1">
      <c r="C17" s="111" t="s">
        <v>64</v>
      </c>
      <c r="D17" s="110">
        <f>D13/(1-D14-D15)</f>
        <v>3467.922820914705</v>
      </c>
      <c r="E17" s="12"/>
      <c r="F17" s="28" t="s">
        <v>921</v>
      </c>
    </row>
    <row r="18" spans="2:15" ht="12.75" customHeight="1">
      <c r="C18" s="1" t="s">
        <v>955</v>
      </c>
      <c r="D18" s="123">
        <f>+Commissions!D14</f>
        <v>7.2499999999999995E-2</v>
      </c>
      <c r="E18" s="12"/>
      <c r="F18" s="28" t="s">
        <v>913</v>
      </c>
    </row>
    <row r="19" spans="2:15" ht="12.75" customHeight="1">
      <c r="C19" s="1" t="s">
        <v>14</v>
      </c>
      <c r="D19" s="110">
        <f>D16*(1+D18)+D17</f>
        <v>31182.126438411</v>
      </c>
      <c r="E19" s="12"/>
      <c r="F19" s="28" t="s">
        <v>922</v>
      </c>
      <c r="I19" s="11"/>
    </row>
    <row r="20" spans="2:15" ht="12.75" customHeight="1">
      <c r="C20" s="25" t="s">
        <v>38</v>
      </c>
      <c r="D20" s="26">
        <f>SUM(D17,D16)/(D10+D11)</f>
        <v>5.8617344229235091E-2</v>
      </c>
      <c r="E20" s="12"/>
      <c r="F20" s="28" t="s">
        <v>923</v>
      </c>
      <c r="I20" s="11"/>
    </row>
    <row r="21" spans="2:15" ht="12.75" customHeight="1">
      <c r="C21" s="25" t="s">
        <v>39</v>
      </c>
      <c r="D21" s="26">
        <f>(D12+D13)/(D10+D11)</f>
        <v>2.2274590807109331E-2</v>
      </c>
      <c r="E21" s="12"/>
      <c r="F21" s="28" t="s">
        <v>924</v>
      </c>
      <c r="I21" s="11"/>
    </row>
    <row r="22" spans="2:15" ht="12.75" customHeight="1">
      <c r="C22" s="25" t="s">
        <v>40</v>
      </c>
      <c r="D22" s="27">
        <f>D21/D20</f>
        <v>0.37999999999999995</v>
      </c>
      <c r="E22" s="12"/>
      <c r="F22" s="28" t="s">
        <v>925</v>
      </c>
      <c r="I22" s="11"/>
    </row>
    <row r="23" spans="2:15" ht="12.75" customHeight="1">
      <c r="C23" s="113" t="s">
        <v>72</v>
      </c>
      <c r="D23" s="114">
        <f>(ROUND(D19/1000,1)+0.1)*1000</f>
        <v>31300</v>
      </c>
      <c r="F23" s="24"/>
    </row>
    <row r="24" spans="2:15" ht="12.75" customHeight="1">
      <c r="D24" s="112"/>
      <c r="F24" s="24"/>
    </row>
    <row r="25" spans="2:15" ht="12.75" customHeight="1">
      <c r="D25" s="112"/>
      <c r="F25" s="24"/>
    </row>
    <row r="26" spans="2:15" s="17" customFormat="1" ht="12.75" customHeight="1">
      <c r="B26" s="106"/>
      <c r="C26" s="106" t="s">
        <v>28</v>
      </c>
      <c r="D26" s="107"/>
      <c r="E26" s="107"/>
      <c r="F26" s="108"/>
      <c r="G26" s="107"/>
      <c r="H26" s="107"/>
      <c r="I26" s="107"/>
      <c r="L26" s="2"/>
      <c r="M26" s="2"/>
      <c r="O26" s="2"/>
    </row>
    <row r="27" spans="2:15" ht="12.75" customHeight="1">
      <c r="F27" s="24"/>
      <c r="K27" s="7"/>
      <c r="L27" s="10"/>
      <c r="M27" s="58"/>
      <c r="O27" s="61"/>
    </row>
    <row r="28" spans="2:15" ht="12.75" customHeight="1">
      <c r="C28" s="7" t="s">
        <v>21</v>
      </c>
      <c r="D28" s="102">
        <f>+'(2) ARV Model'!$AU$3</f>
        <v>0.13071633572444594</v>
      </c>
      <c r="E28" s="21"/>
      <c r="F28" s="28" t="s">
        <v>914</v>
      </c>
      <c r="K28" s="7"/>
      <c r="L28" s="10"/>
      <c r="M28" s="58"/>
      <c r="O28" s="61"/>
    </row>
    <row r="29" spans="2:15" ht="12.75" customHeight="1">
      <c r="C29" s="7" t="s">
        <v>22</v>
      </c>
      <c r="D29" s="102">
        <f>+'(2) ARV Model'!$AV$3</f>
        <v>3.6576865441320883E-2</v>
      </c>
      <c r="E29" s="21"/>
      <c r="F29" s="28" t="s">
        <v>915</v>
      </c>
      <c r="K29" s="7"/>
      <c r="L29" s="10"/>
      <c r="M29" s="58"/>
      <c r="O29" s="61"/>
    </row>
    <row r="30" spans="2:15" ht="12.75" customHeight="1">
      <c r="C30" s="7" t="s">
        <v>23</v>
      </c>
      <c r="D30" s="102">
        <f>+'(2) ARV Model'!$AW$3</f>
        <v>4.3232242982856536E-3</v>
      </c>
      <c r="E30" s="21"/>
      <c r="F30" s="28" t="s">
        <v>917</v>
      </c>
      <c r="L30" s="60"/>
      <c r="M30" s="60"/>
      <c r="O30" s="61"/>
    </row>
    <row r="31" spans="2:15" ht="12.75" customHeight="1">
      <c r="C31" s="7" t="s">
        <v>65</v>
      </c>
      <c r="D31" s="102">
        <f>+'(1) CIMA H'!G58</f>
        <v>5.2712426877903514E-3</v>
      </c>
      <c r="E31" s="21"/>
      <c r="F31" s="28" t="s">
        <v>929</v>
      </c>
      <c r="G31" s="28"/>
      <c r="L31" s="60"/>
      <c r="M31" s="60"/>
      <c r="O31" s="61"/>
    </row>
    <row r="32" spans="2:15" ht="12.75" customHeight="1">
      <c r="C32" s="1" t="s">
        <v>926</v>
      </c>
      <c r="D32" s="117">
        <f>(D28*D8+D29*(D9-D8)+D30*(D10-D9))/D10</f>
        <v>3.927793892642828E-2</v>
      </c>
      <c r="F32" s="28" t="s">
        <v>931</v>
      </c>
      <c r="O32" s="61"/>
    </row>
    <row r="33" spans="3:20" ht="12.75" customHeight="1">
      <c r="C33" s="1" t="s">
        <v>928</v>
      </c>
      <c r="D33" s="58">
        <f>D31</f>
        <v>5.2712426877903514E-3</v>
      </c>
      <c r="F33" s="28" t="s">
        <v>930</v>
      </c>
      <c r="O33" s="61"/>
    </row>
    <row r="34" spans="3:20" ht="12.75" customHeight="1">
      <c r="S34" s="19"/>
      <c r="T34" s="20"/>
    </row>
    <row r="35" spans="3:20" ht="12.75" customHeight="1">
      <c r="S35" s="19"/>
      <c r="T35" s="20"/>
    </row>
    <row r="36" spans="3:20" ht="12.75" customHeight="1">
      <c r="S36" s="19"/>
      <c r="T36" s="20"/>
    </row>
  </sheetData>
  <pageMargins left="0.25" right="0.25" top="0.75" bottom="0.75" header="0.3" footer="0.3"/>
  <pageSetup paperSize="9" scale="84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CC00"/>
    <pageSetUpPr fitToPage="1"/>
  </sheetPr>
  <dimension ref="A1:H16"/>
  <sheetViews>
    <sheetView showGridLines="0" view="pageBreakPreview" topLeftCell="A17" zoomScale="150" zoomScaleNormal="90" zoomScaleSheetLayoutView="80" workbookViewId="0"/>
  </sheetViews>
  <sheetFormatPr baseColWidth="10" defaultColWidth="8.77734375" defaultRowHeight="12.75" customHeight="1"/>
  <cols>
    <col min="1" max="2" width="5.6640625" style="1" customWidth="1"/>
    <col min="3" max="3" width="36.6640625" style="1" bestFit="1" customWidth="1"/>
    <col min="4" max="4" width="13.44140625" style="1" customWidth="1"/>
    <col min="5" max="6" width="12.6640625" style="1" bestFit="1" customWidth="1"/>
    <col min="7" max="8" width="12.109375" style="1" customWidth="1"/>
    <col min="9" max="12" width="9.33203125" style="1" customWidth="1"/>
    <col min="13" max="13" width="8.77734375" style="1"/>
    <col min="14" max="14" width="10" style="1" bestFit="1" customWidth="1"/>
    <col min="15" max="16384" width="8.77734375" style="1"/>
  </cols>
  <sheetData>
    <row r="1" spans="1:8" ht="12.75" customHeight="1">
      <c r="A1" s="124" t="s">
        <v>943</v>
      </c>
    </row>
    <row r="4" spans="1:8" s="2" customFormat="1" ht="12.75" customHeight="1">
      <c r="A4" s="3"/>
      <c r="B4" s="3"/>
    </row>
    <row r="5" spans="1:8" s="17" customFormat="1" ht="12.75" customHeight="1">
      <c r="B5" s="104"/>
      <c r="C5" s="104" t="s">
        <v>18</v>
      </c>
      <c r="D5" s="105"/>
      <c r="E5" s="105"/>
      <c r="F5" s="105"/>
      <c r="G5" s="105"/>
      <c r="H5" s="105"/>
    </row>
    <row r="7" spans="1:8" ht="12.75" customHeight="1">
      <c r="E7" s="14" t="s">
        <v>11</v>
      </c>
      <c r="F7" s="14" t="s">
        <v>34</v>
      </c>
      <c r="G7" s="14" t="s">
        <v>35</v>
      </c>
      <c r="H7" s="14" t="s">
        <v>37</v>
      </c>
    </row>
    <row r="8" spans="1:8" ht="12.75" customHeight="1">
      <c r="C8" s="1" t="s">
        <v>12</v>
      </c>
      <c r="D8" s="8">
        <f>SUM(E8:H8)/4</f>
        <v>0.27</v>
      </c>
      <c r="E8" s="15">
        <v>0.27</v>
      </c>
      <c r="F8" s="15">
        <f>+E8</f>
        <v>0.27</v>
      </c>
      <c r="G8" s="15">
        <f>+F8</f>
        <v>0.27</v>
      </c>
      <c r="H8" s="15">
        <f>+G8</f>
        <v>0.27</v>
      </c>
    </row>
    <row r="9" spans="1:8" ht="12.75" customHeight="1">
      <c r="D9" s="8"/>
      <c r="E9" s="16"/>
      <c r="F9" s="16"/>
      <c r="G9" s="16"/>
      <c r="H9" s="16"/>
    </row>
    <row r="10" spans="1:8" ht="12.75" customHeight="1">
      <c r="C10" s="1" t="s">
        <v>33</v>
      </c>
      <c r="D10" s="103">
        <f>SUM(E10:H10)/4</f>
        <v>0.27</v>
      </c>
      <c r="E10" s="12">
        <f>E9+E8</f>
        <v>0.27</v>
      </c>
      <c r="F10" s="12">
        <f>F9+F8</f>
        <v>0.27</v>
      </c>
      <c r="G10" s="12">
        <f>G9+G8</f>
        <v>0.27</v>
      </c>
      <c r="H10" s="12">
        <f>H9+H8</f>
        <v>0.27</v>
      </c>
    </row>
    <row r="11" spans="1:8" ht="12.75" customHeight="1">
      <c r="D11" s="8"/>
      <c r="E11" s="12"/>
    </row>
    <row r="12" spans="1:8" ht="12.75" customHeight="1">
      <c r="C12" s="1" t="s">
        <v>16</v>
      </c>
      <c r="D12" s="18" t="s">
        <v>17</v>
      </c>
      <c r="E12" s="12"/>
    </row>
    <row r="13" spans="1:8" ht="12.75" customHeight="1">
      <c r="D13" s="8"/>
      <c r="E13" s="12"/>
    </row>
    <row r="14" spans="1:8" ht="12.75" customHeight="1">
      <c r="C14" s="1" t="s">
        <v>13</v>
      </c>
      <c r="D14" s="120">
        <v>7.2499999999999995E-2</v>
      </c>
    </row>
    <row r="16" spans="1:8" ht="12.75" customHeight="1">
      <c r="D16" s="122" t="s">
        <v>940</v>
      </c>
      <c r="E16" s="121" t="s">
        <v>941</v>
      </c>
    </row>
  </sheetData>
  <hyperlinks>
    <hyperlink ref="E16" r:id="rId1" xr:uid="{00000000-0004-0000-0300-000000000000}"/>
  </hyperlinks>
  <pageMargins left="0.25" right="0.25" top="0.75" bottom="0.75" header="0.3" footer="0.3"/>
  <pageSetup paperSize="9" scale="82" orientation="portrait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D9:H123"/>
  <sheetViews>
    <sheetView showGridLines="0" topLeftCell="D98" zoomScale="108" workbookViewId="0">
      <selection activeCell="E12" sqref="E12:H123"/>
    </sheetView>
  </sheetViews>
  <sheetFormatPr baseColWidth="10" defaultColWidth="10.77734375" defaultRowHeight="14.4"/>
  <cols>
    <col min="1" max="3" width="10.77734375" style="62"/>
    <col min="4" max="4" width="21" style="62" bestFit="1" customWidth="1"/>
    <col min="5" max="16384" width="10.77734375" style="62"/>
  </cols>
  <sheetData>
    <row r="9" spans="4:8">
      <c r="D9" s="104" t="s">
        <v>70</v>
      </c>
      <c r="E9" s="104"/>
    </row>
    <row r="12" spans="4:8">
      <c r="E12" s="72" t="s">
        <v>69</v>
      </c>
      <c r="F12" s="72" t="s">
        <v>68</v>
      </c>
      <c r="G12" s="72" t="s">
        <v>67</v>
      </c>
      <c r="H12" s="72" t="s">
        <v>66</v>
      </c>
    </row>
    <row r="13" spans="4:8">
      <c r="E13" s="70">
        <v>0</v>
      </c>
      <c r="F13" s="69">
        <v>1000000</v>
      </c>
      <c r="G13" s="68">
        <f t="shared" ref="G13:G44" si="0">IF(F13=0,1,H13/F13)</f>
        <v>5.367745933901053E-3</v>
      </c>
      <c r="H13" s="71">
        <f t="shared" ref="H13:H44" si="1">+F13-F14</f>
        <v>5367.7459339010529</v>
      </c>
    </row>
    <row r="14" spans="4:8">
      <c r="E14" s="70">
        <v>1</v>
      </c>
      <c r="F14" s="69">
        <v>994632.25406609895</v>
      </c>
      <c r="G14" s="68">
        <f t="shared" si="0"/>
        <v>7.3000061750150768E-4</v>
      </c>
      <c r="H14" s="67">
        <f t="shared" si="1"/>
        <v>726.08215965516865</v>
      </c>
    </row>
    <row r="15" spans="4:8">
      <c r="E15" s="70">
        <v>2</v>
      </c>
      <c r="F15" s="69">
        <v>993906.17190644378</v>
      </c>
      <c r="G15" s="68">
        <f t="shared" si="0"/>
        <v>5.5885072672272318E-4</v>
      </c>
      <c r="H15" s="67">
        <f t="shared" si="1"/>
        <v>555.44518646411598</v>
      </c>
    </row>
    <row r="16" spans="4:8">
      <c r="E16" s="70">
        <v>3</v>
      </c>
      <c r="F16" s="69">
        <v>993350.72671997966</v>
      </c>
      <c r="G16" s="68">
        <f t="shared" si="0"/>
        <v>4.7618670835630956E-4</v>
      </c>
      <c r="H16" s="67">
        <f t="shared" si="1"/>
        <v>473.02041280013509</v>
      </c>
    </row>
    <row r="17" spans="5:8">
      <c r="E17" s="70">
        <v>4</v>
      </c>
      <c r="F17" s="69">
        <v>992877.70630717953</v>
      </c>
      <c r="G17" s="68">
        <f t="shared" si="0"/>
        <v>4.0704388165949508E-4</v>
      </c>
      <c r="H17" s="67">
        <f t="shared" si="1"/>
        <v>404.14479558845051</v>
      </c>
    </row>
    <row r="18" spans="5:8">
      <c r="E18" s="70">
        <v>5</v>
      </c>
      <c r="F18" s="69">
        <v>992473.56151159108</v>
      </c>
      <c r="G18" s="68">
        <f t="shared" si="0"/>
        <v>3.7124918840999917E-4</v>
      </c>
      <c r="H18" s="67">
        <f t="shared" si="1"/>
        <v>368.45500422955956</v>
      </c>
    </row>
    <row r="19" spans="5:8">
      <c r="E19" s="70">
        <v>6</v>
      </c>
      <c r="F19" s="69">
        <v>992105.10650736152</v>
      </c>
      <c r="G19" s="68">
        <f t="shared" si="0"/>
        <v>3.3444829564363858E-4</v>
      </c>
      <c r="H19" s="67">
        <f t="shared" si="1"/>
        <v>331.80786197073758</v>
      </c>
    </row>
    <row r="20" spans="5:8">
      <c r="E20" s="70">
        <v>7</v>
      </c>
      <c r="F20" s="69">
        <v>991773.29864539078</v>
      </c>
      <c r="G20" s="68">
        <f t="shared" si="0"/>
        <v>3.1563494304666617E-4</v>
      </c>
      <c r="H20" s="67">
        <f t="shared" si="1"/>
        <v>313.03830863314215</v>
      </c>
    </row>
    <row r="21" spans="5:8">
      <c r="E21" s="70">
        <v>8</v>
      </c>
      <c r="F21" s="69">
        <v>991460.26033675764</v>
      </c>
      <c r="G21" s="68">
        <f t="shared" si="0"/>
        <v>3.156672658746321E-4</v>
      </c>
      <c r="H21" s="67">
        <f t="shared" si="1"/>
        <v>312.97154960385524</v>
      </c>
    </row>
    <row r="22" spans="5:8">
      <c r="E22" s="70">
        <v>9</v>
      </c>
      <c r="F22" s="69">
        <v>991147.28878715378</v>
      </c>
      <c r="G22" s="68">
        <f t="shared" si="0"/>
        <v>2.9652722319558884E-4</v>
      </c>
      <c r="H22" s="67">
        <f t="shared" si="1"/>
        <v>293.90215332189109</v>
      </c>
    </row>
    <row r="23" spans="5:8">
      <c r="E23" s="70">
        <v>10</v>
      </c>
      <c r="F23" s="69">
        <v>990853.38663383189</v>
      </c>
      <c r="G23" s="68">
        <f t="shared" si="0"/>
        <v>3.1572944635207059E-4</v>
      </c>
      <c r="H23" s="67">
        <f t="shared" si="1"/>
        <v>312.8415911779739</v>
      </c>
    </row>
    <row r="24" spans="5:8">
      <c r="E24" s="70">
        <v>11</v>
      </c>
      <c r="F24" s="69">
        <v>990540.54504265392</v>
      </c>
      <c r="G24" s="68">
        <f t="shared" si="0"/>
        <v>3.1576179122596676E-4</v>
      </c>
      <c r="H24" s="67">
        <f t="shared" si="1"/>
        <v>312.7748567846138</v>
      </c>
    </row>
    <row r="25" spans="5:8">
      <c r="E25" s="70">
        <v>12</v>
      </c>
      <c r="F25" s="69">
        <v>990227.7701858693</v>
      </c>
      <c r="G25" s="68">
        <f t="shared" si="0"/>
        <v>3.7152419790562757E-4</v>
      </c>
      <c r="H25" s="67">
        <f t="shared" si="1"/>
        <v>367.89357806218322</v>
      </c>
    </row>
    <row r="26" spans="5:8">
      <c r="E26" s="70">
        <v>13</v>
      </c>
      <c r="F26" s="69">
        <v>989859.87660780712</v>
      </c>
      <c r="G26" s="68">
        <f t="shared" si="0"/>
        <v>4.4247947628856796E-4</v>
      </c>
      <c r="H26" s="67">
        <f t="shared" si="1"/>
        <v>437.99267980048899</v>
      </c>
    </row>
    <row r="27" spans="5:8">
      <c r="E27" s="70">
        <v>14</v>
      </c>
      <c r="F27" s="69">
        <v>989421.88392800663</v>
      </c>
      <c r="G27" s="68">
        <f t="shared" si="0"/>
        <v>5.4342755366411453E-4</v>
      </c>
      <c r="H27" s="67">
        <f t="shared" si="1"/>
        <v>537.67911392473616</v>
      </c>
    </row>
    <row r="28" spans="5:8">
      <c r="E28" s="70">
        <v>15</v>
      </c>
      <c r="F28" s="69">
        <v>988884.2048140819</v>
      </c>
      <c r="G28" s="68">
        <f t="shared" si="0"/>
        <v>7.1639382131609625E-4</v>
      </c>
      <c r="H28" s="67">
        <f t="shared" si="1"/>
        <v>708.43053432588931</v>
      </c>
    </row>
    <row r="29" spans="5:8">
      <c r="E29" s="70">
        <v>16</v>
      </c>
      <c r="F29" s="69">
        <v>988175.77427975601</v>
      </c>
      <c r="G29" s="68">
        <f t="shared" si="0"/>
        <v>9.0701716009647783E-4</v>
      </c>
      <c r="H29" s="67">
        <f t="shared" si="1"/>
        <v>896.2923844633624</v>
      </c>
    </row>
    <row r="30" spans="5:8">
      <c r="E30" s="70">
        <v>17</v>
      </c>
      <c r="F30" s="69">
        <v>987279.48189529264</v>
      </c>
      <c r="G30" s="68">
        <f t="shared" si="0"/>
        <v>1.1275614872309949E-3</v>
      </c>
      <c r="H30" s="67">
        <f t="shared" si="1"/>
        <v>1113.2183209185023</v>
      </c>
    </row>
    <row r="31" spans="5:8">
      <c r="E31" s="70">
        <v>18</v>
      </c>
      <c r="F31" s="69">
        <v>986166.26357437414</v>
      </c>
      <c r="G31" s="68">
        <f t="shared" si="0"/>
        <v>1.3370021939701914E-3</v>
      </c>
      <c r="H31" s="67">
        <f t="shared" si="1"/>
        <v>1318.5064580183243</v>
      </c>
    </row>
    <row r="32" spans="5:8">
      <c r="E32" s="70">
        <v>19</v>
      </c>
      <c r="F32" s="69">
        <v>984847.75711635582</v>
      </c>
      <c r="G32" s="68">
        <f t="shared" si="0"/>
        <v>1.4887592117916746E-3</v>
      </c>
      <c r="H32" s="67">
        <f t="shared" si="1"/>
        <v>1466.2011706193443</v>
      </c>
    </row>
    <row r="33" spans="5:8">
      <c r="E33" s="70">
        <v>20</v>
      </c>
      <c r="F33" s="69">
        <v>983381.55594573647</v>
      </c>
      <c r="G33" s="68">
        <f t="shared" si="0"/>
        <v>1.5776775943833713E-3</v>
      </c>
      <c r="H33" s="67">
        <f t="shared" si="1"/>
        <v>1551.4590475454461</v>
      </c>
    </row>
    <row r="34" spans="5:8">
      <c r="E34" s="70">
        <v>21</v>
      </c>
      <c r="F34" s="69">
        <v>981830.09689819103</v>
      </c>
      <c r="G34" s="68">
        <f t="shared" si="0"/>
        <v>1.6325206457250591E-3</v>
      </c>
      <c r="H34" s="67">
        <f t="shared" si="1"/>
        <v>1602.8579037805321</v>
      </c>
    </row>
    <row r="35" spans="5:8">
      <c r="E35" s="70">
        <v>22</v>
      </c>
      <c r="F35" s="69">
        <v>980227.23899441049</v>
      </c>
      <c r="G35" s="68">
        <f t="shared" si="0"/>
        <v>1.6645249010288979E-3</v>
      </c>
      <c r="H35" s="67">
        <f t="shared" si="1"/>
        <v>1631.612647973001</v>
      </c>
    </row>
    <row r="36" spans="5:8">
      <c r="E36" s="70">
        <v>23</v>
      </c>
      <c r="F36" s="69">
        <v>978595.62634643749</v>
      </c>
      <c r="G36" s="68">
        <f t="shared" si="0"/>
        <v>1.6889068089124902E-3</v>
      </c>
      <c r="H36" s="67">
        <f t="shared" si="1"/>
        <v>1652.7568165084813</v>
      </c>
    </row>
    <row r="37" spans="5:8">
      <c r="E37" s="70">
        <v>24</v>
      </c>
      <c r="F37" s="69">
        <v>976942.86952992901</v>
      </c>
      <c r="G37" s="68">
        <f t="shared" si="0"/>
        <v>1.7208999179512362E-3</v>
      </c>
      <c r="H37" s="67">
        <f t="shared" si="1"/>
        <v>1681.2209040171001</v>
      </c>
    </row>
    <row r="38" spans="5:8">
      <c r="E38" s="70">
        <v>25</v>
      </c>
      <c r="F38" s="69">
        <v>975261.64862591191</v>
      </c>
      <c r="G38" s="68">
        <f t="shared" si="0"/>
        <v>1.7528945598870628E-3</v>
      </c>
      <c r="H38" s="67">
        <f t="shared" si="1"/>
        <v>1709.5308383428492</v>
      </c>
    </row>
    <row r="39" spans="5:8">
      <c r="E39" s="70">
        <v>26</v>
      </c>
      <c r="F39" s="69">
        <v>973552.11778756906</v>
      </c>
      <c r="G39" s="68">
        <f t="shared" si="0"/>
        <v>1.8001600561514965E-3</v>
      </c>
      <c r="H39" s="67">
        <f t="shared" si="1"/>
        <v>1752.5496350228786</v>
      </c>
    </row>
    <row r="40" spans="5:8">
      <c r="E40" s="70">
        <v>27</v>
      </c>
      <c r="F40" s="69">
        <v>971799.56815254618</v>
      </c>
      <c r="G40" s="68">
        <f t="shared" si="0"/>
        <v>1.8474054313361696E-3</v>
      </c>
      <c r="H40" s="67">
        <f t="shared" si="1"/>
        <v>1795.307800375158</v>
      </c>
    </row>
    <row r="41" spans="5:8">
      <c r="E41" s="70">
        <v>28</v>
      </c>
      <c r="F41" s="69">
        <v>970004.26035217103</v>
      </c>
      <c r="G41" s="68">
        <f t="shared" si="0"/>
        <v>1.8946328628068017E-3</v>
      </c>
      <c r="H41" s="67">
        <f t="shared" si="1"/>
        <v>1837.801948725828</v>
      </c>
    </row>
    <row r="42" spans="5:8">
      <c r="E42" s="70">
        <v>29</v>
      </c>
      <c r="F42" s="69">
        <v>968166.4584034452</v>
      </c>
      <c r="G42" s="68">
        <f t="shared" si="0"/>
        <v>1.9478249052221411E-3</v>
      </c>
      <c r="H42" s="67">
        <f t="shared" si="1"/>
        <v>1885.8187400789466</v>
      </c>
    </row>
    <row r="43" spans="5:8">
      <c r="E43" s="70">
        <v>30</v>
      </c>
      <c r="F43" s="69">
        <v>966280.63966336625</v>
      </c>
      <c r="G43" s="68">
        <f t="shared" si="0"/>
        <v>1.9934236554134286E-3</v>
      </c>
      <c r="H43" s="67">
        <f t="shared" si="1"/>
        <v>1926.2066848729737</v>
      </c>
    </row>
    <row r="44" spans="5:8">
      <c r="E44" s="70">
        <v>31</v>
      </c>
      <c r="F44" s="69">
        <v>964354.43297849328</v>
      </c>
      <c r="G44" s="68">
        <f t="shared" si="0"/>
        <v>2.0367986749431164E-3</v>
      </c>
      <c r="H44" s="67">
        <f t="shared" si="1"/>
        <v>1964.1958312661154</v>
      </c>
    </row>
    <row r="45" spans="5:8">
      <c r="E45" s="70">
        <v>32</v>
      </c>
      <c r="F45" s="69">
        <v>962390.23714722716</v>
      </c>
      <c r="G45" s="68">
        <f t="shared" ref="G45:G76" si="2">IF(F45=0,1,H45/F45)</f>
        <v>2.107532854175411E-3</v>
      </c>
      <c r="H45" s="67">
        <f t="shared" ref="H45:H76" si="3">+F45-F46</f>
        <v>2028.2690433254465</v>
      </c>
    </row>
    <row r="46" spans="5:8">
      <c r="E46" s="70">
        <v>33</v>
      </c>
      <c r="F46" s="69">
        <v>960361.96810390172</v>
      </c>
      <c r="G46" s="68">
        <f t="shared" si="2"/>
        <v>2.205065014004531E-3</v>
      </c>
      <c r="H46" s="67">
        <f t="shared" si="3"/>
        <v>2117.660576646449</v>
      </c>
    </row>
    <row r="47" spans="5:8">
      <c r="E47" s="70">
        <v>34</v>
      </c>
      <c r="F47" s="69">
        <v>958244.30752725527</v>
      </c>
      <c r="G47" s="68">
        <f t="shared" si="2"/>
        <v>2.3420314182618744E-3</v>
      </c>
      <c r="H47" s="67">
        <f t="shared" si="3"/>
        <v>2244.2382745994255</v>
      </c>
    </row>
    <row r="48" spans="5:8">
      <c r="E48" s="70">
        <v>35</v>
      </c>
      <c r="F48" s="69">
        <v>956000.06925265584</v>
      </c>
      <c r="G48" s="68">
        <f t="shared" si="2"/>
        <v>2.4774916747044018E-3</v>
      </c>
      <c r="H48" s="67">
        <f t="shared" si="3"/>
        <v>2368.4822125902865</v>
      </c>
    </row>
    <row r="49" spans="5:8">
      <c r="E49" s="70">
        <v>36</v>
      </c>
      <c r="F49" s="69">
        <v>953631.58704006555</v>
      </c>
      <c r="G49" s="68">
        <f t="shared" si="2"/>
        <v>2.6376527322973984E-3</v>
      </c>
      <c r="H49" s="67">
        <f t="shared" si="3"/>
        <v>2515.3489611613331</v>
      </c>
    </row>
    <row r="50" spans="5:8">
      <c r="E50" s="70">
        <v>37</v>
      </c>
      <c r="F50" s="69">
        <v>951116.23807890422</v>
      </c>
      <c r="G50" s="68">
        <f t="shared" si="2"/>
        <v>2.8088735193881943E-3</v>
      </c>
      <c r="H50" s="67">
        <f t="shared" si="3"/>
        <v>2671.5652149999514</v>
      </c>
    </row>
    <row r="51" spans="5:8">
      <c r="E51" s="70">
        <v>38</v>
      </c>
      <c r="F51" s="69">
        <v>948444.67286390427</v>
      </c>
      <c r="G51" s="68">
        <f t="shared" si="2"/>
        <v>3.0035109135241856E-3</v>
      </c>
      <c r="H51" s="67">
        <f t="shared" si="3"/>
        <v>2848.6639258206123</v>
      </c>
    </row>
    <row r="52" spans="5:8">
      <c r="E52" s="70">
        <v>39</v>
      </c>
      <c r="F52" s="69">
        <v>945596.00893808366</v>
      </c>
      <c r="G52" s="68">
        <f t="shared" si="2"/>
        <v>3.2331917542952567E-3</v>
      </c>
      <c r="H52" s="67">
        <f t="shared" si="3"/>
        <v>3057.2932189931162</v>
      </c>
    </row>
    <row r="53" spans="5:8">
      <c r="E53" s="70">
        <v>40</v>
      </c>
      <c r="F53" s="69">
        <v>942538.71571909054</v>
      </c>
      <c r="G53" s="68">
        <f t="shared" si="2"/>
        <v>3.4965982418143022E-3</v>
      </c>
      <c r="H53" s="67">
        <f t="shared" si="3"/>
        <v>3295.6792162252823</v>
      </c>
    </row>
    <row r="54" spans="5:8">
      <c r="E54" s="70">
        <v>41</v>
      </c>
      <c r="F54" s="69">
        <v>939243.03650286526</v>
      </c>
      <c r="G54" s="68">
        <f t="shared" si="2"/>
        <v>3.8163494718343924E-3</v>
      </c>
      <c r="H54" s="67">
        <f t="shared" si="3"/>
        <v>3584.4796662818408</v>
      </c>
    </row>
    <row r="55" spans="5:8">
      <c r="E55" s="70">
        <v>42</v>
      </c>
      <c r="F55" s="69">
        <v>935658.55683658342</v>
      </c>
      <c r="G55" s="68">
        <f t="shared" si="2"/>
        <v>4.1432871161902847E-3</v>
      </c>
      <c r="H55" s="67">
        <f t="shared" si="3"/>
        <v>3876.7020436942112</v>
      </c>
    </row>
    <row r="56" spans="5:8">
      <c r="E56" s="70">
        <v>43</v>
      </c>
      <c r="F56" s="69">
        <v>931781.85479288921</v>
      </c>
      <c r="G56" s="68">
        <f t="shared" si="2"/>
        <v>4.5007439088629421E-3</v>
      </c>
      <c r="H56" s="67">
        <f t="shared" si="3"/>
        <v>4193.7115073481109</v>
      </c>
    </row>
    <row r="57" spans="5:8">
      <c r="E57" s="70">
        <v>44</v>
      </c>
      <c r="F57" s="69">
        <v>927588.1432855411</v>
      </c>
      <c r="G57" s="68">
        <f t="shared" si="2"/>
        <v>4.8767277014715345E-3</v>
      </c>
      <c r="H57" s="67">
        <f t="shared" si="3"/>
        <v>4523.5947939171456</v>
      </c>
    </row>
    <row r="58" spans="5:8">
      <c r="E58" s="70">
        <v>45</v>
      </c>
      <c r="F58" s="69">
        <v>923064.54849162395</v>
      </c>
      <c r="G58" s="68">
        <f t="shared" si="2"/>
        <v>5.2712426877903514E-3</v>
      </c>
      <c r="H58" s="67">
        <f t="shared" si="3"/>
        <v>4865.6972515949747</v>
      </c>
    </row>
    <row r="59" spans="5:8">
      <c r="E59" s="70">
        <v>46</v>
      </c>
      <c r="F59" s="69">
        <v>918198.85124002898</v>
      </c>
      <c r="G59" s="68">
        <f t="shared" si="2"/>
        <v>5.6625654424998315E-3</v>
      </c>
      <c r="H59" s="67">
        <f t="shared" si="3"/>
        <v>5199.361084374832</v>
      </c>
    </row>
    <row r="60" spans="5:8">
      <c r="E60" s="70">
        <v>47</v>
      </c>
      <c r="F60" s="69">
        <v>912999.49015565414</v>
      </c>
      <c r="G60" s="68">
        <f t="shared" si="2"/>
        <v>6.0409311873163328E-3</v>
      </c>
      <c r="H60" s="67">
        <f t="shared" si="3"/>
        <v>5515.3670940852026</v>
      </c>
    </row>
    <row r="61" spans="5:8">
      <c r="E61" s="70">
        <v>48</v>
      </c>
      <c r="F61" s="69">
        <v>907484.12306156894</v>
      </c>
      <c r="G61" s="68">
        <f t="shared" si="2"/>
        <v>6.4075542541305666E-3</v>
      </c>
      <c r="H61" s="67">
        <f t="shared" si="3"/>
        <v>5814.753753279103</v>
      </c>
    </row>
    <row r="62" spans="5:8">
      <c r="E62" s="70">
        <v>49</v>
      </c>
      <c r="F62" s="69">
        <v>901669.36930828984</v>
      </c>
      <c r="G62" s="68">
        <f t="shared" si="2"/>
        <v>6.7740266925870847E-3</v>
      </c>
      <c r="H62" s="67">
        <f t="shared" si="3"/>
        <v>6107.9323755825171</v>
      </c>
    </row>
    <row r="63" spans="5:8">
      <c r="E63" s="70">
        <v>50</v>
      </c>
      <c r="F63" s="69">
        <v>895561.43693270732</v>
      </c>
      <c r="G63" s="68">
        <f t="shared" si="2"/>
        <v>7.1410224897153025E-3</v>
      </c>
      <c r="H63" s="67">
        <f t="shared" si="3"/>
        <v>6395.2243620582158</v>
      </c>
    </row>
    <row r="64" spans="5:8">
      <c r="E64" s="70">
        <v>51</v>
      </c>
      <c r="F64" s="69">
        <v>889166.21257064911</v>
      </c>
      <c r="G64" s="68">
        <f t="shared" si="2"/>
        <v>7.5403884904296434E-3</v>
      </c>
      <c r="H64" s="67">
        <f t="shared" si="3"/>
        <v>6704.6586753466399</v>
      </c>
    </row>
    <row r="65" spans="5:8">
      <c r="E65" s="70">
        <v>52</v>
      </c>
      <c r="F65" s="69">
        <v>882461.55389530247</v>
      </c>
      <c r="G65" s="68">
        <f t="shared" si="2"/>
        <v>7.9619529599224206E-3</v>
      </c>
      <c r="H65" s="67">
        <f t="shared" si="3"/>
        <v>7026.1173810544424</v>
      </c>
    </row>
    <row r="66" spans="5:8">
      <c r="E66" s="70">
        <v>53</v>
      </c>
      <c r="F66" s="69">
        <v>875435.43651424802</v>
      </c>
      <c r="G66" s="68">
        <f t="shared" si="2"/>
        <v>8.406167848589231E-3</v>
      </c>
      <c r="H66" s="67">
        <f t="shared" si="3"/>
        <v>7359.0572199417511</v>
      </c>
    </row>
    <row r="67" spans="5:8">
      <c r="E67" s="70">
        <v>54</v>
      </c>
      <c r="F67" s="69">
        <v>868076.37929430627</v>
      </c>
      <c r="G67" s="68">
        <f t="shared" si="2"/>
        <v>8.8837657600350853E-3</v>
      </c>
      <c r="H67" s="67">
        <f t="shared" si="3"/>
        <v>7711.7872154699871</v>
      </c>
    </row>
    <row r="68" spans="5:8">
      <c r="E68" s="70">
        <v>55</v>
      </c>
      <c r="F68" s="69">
        <v>860364.59207883629</v>
      </c>
      <c r="G68" s="68">
        <f t="shared" si="2"/>
        <v>9.3751265117954941E-3</v>
      </c>
      <c r="H68" s="67">
        <f t="shared" si="3"/>
        <v>8066.0268970084144</v>
      </c>
    </row>
    <row r="69" spans="5:8">
      <c r="E69" s="70">
        <v>56</v>
      </c>
      <c r="F69" s="69">
        <v>852298.56518182787</v>
      </c>
      <c r="G69" s="68">
        <f t="shared" si="2"/>
        <v>9.8848778922908456E-3</v>
      </c>
      <c r="H69" s="67">
        <f t="shared" si="3"/>
        <v>8424.8672445970587</v>
      </c>
    </row>
    <row r="70" spans="5:8">
      <c r="E70" s="70">
        <v>57</v>
      </c>
      <c r="F70" s="69">
        <v>843873.69793723081</v>
      </c>
      <c r="G70" s="68">
        <f t="shared" si="2"/>
        <v>1.0594716283995612E-2</v>
      </c>
      <c r="H70" s="67">
        <f t="shared" si="3"/>
        <v>8940.6024091711733</v>
      </c>
    </row>
    <row r="71" spans="5:8">
      <c r="E71" s="70">
        <v>58</v>
      </c>
      <c r="F71" s="69">
        <v>834933.09552805964</v>
      </c>
      <c r="G71" s="68">
        <f t="shared" si="2"/>
        <v>1.1415878360988946E-2</v>
      </c>
      <c r="H71" s="67">
        <f t="shared" si="3"/>
        <v>9531.4946581122931</v>
      </c>
    </row>
    <row r="72" spans="5:8">
      <c r="E72" s="70">
        <v>59</v>
      </c>
      <c r="F72" s="69">
        <v>825401.60086994735</v>
      </c>
      <c r="G72" s="68">
        <f t="shared" si="2"/>
        <v>1.2456878306440872E-2</v>
      </c>
      <c r="H72" s="67">
        <f t="shared" si="3"/>
        <v>10281.927295978414</v>
      </c>
    </row>
    <row r="73" spans="5:8">
      <c r="E73" s="70">
        <v>60</v>
      </c>
      <c r="F73" s="69">
        <v>815119.67357396893</v>
      </c>
      <c r="G73" s="68">
        <f t="shared" si="2"/>
        <v>1.3525922068817709E-2</v>
      </c>
      <c r="H73" s="67">
        <f t="shared" si="3"/>
        <v>11025.245181521634</v>
      </c>
    </row>
    <row r="74" spans="5:8">
      <c r="E74" s="70">
        <v>61</v>
      </c>
      <c r="F74" s="69">
        <v>804094.4283924473</v>
      </c>
      <c r="G74" s="68">
        <f t="shared" si="2"/>
        <v>1.4816444148764797E-2</v>
      </c>
      <c r="H74" s="67">
        <f t="shared" si="3"/>
        <v>11913.82018860965</v>
      </c>
    </row>
    <row r="75" spans="5:8">
      <c r="E75" s="70">
        <v>62</v>
      </c>
      <c r="F75" s="69">
        <v>792180.60820383765</v>
      </c>
      <c r="G75" s="68">
        <f t="shared" si="2"/>
        <v>1.614637365242709E-2</v>
      </c>
      <c r="H75" s="67">
        <f t="shared" si="3"/>
        <v>12790.844100266113</v>
      </c>
    </row>
    <row r="76" spans="5:8">
      <c r="E76" s="70">
        <v>63</v>
      </c>
      <c r="F76" s="69">
        <v>779389.76410357154</v>
      </c>
      <c r="G76" s="68">
        <f t="shared" si="2"/>
        <v>1.7517233064295062E-2</v>
      </c>
      <c r="H76" s="67">
        <f t="shared" si="3"/>
        <v>13652.752145728213</v>
      </c>
    </row>
    <row r="77" spans="5:8">
      <c r="E77" s="70">
        <v>64</v>
      </c>
      <c r="F77" s="69">
        <v>765737.01195784332</v>
      </c>
      <c r="G77" s="68">
        <f t="shared" ref="G77:G108" si="4">IF(F77=0,1,H77/F77)</f>
        <v>1.912802629781047E-2</v>
      </c>
      <c r="H77" s="67">
        <f t="shared" ref="H77:H108" si="5">+F77-F78</f>
        <v>14647.037701936439</v>
      </c>
    </row>
    <row r="78" spans="5:8">
      <c r="E78" s="70">
        <v>65</v>
      </c>
      <c r="F78" s="69">
        <v>751089.97425590688</v>
      </c>
      <c r="G78" s="68">
        <f t="shared" si="4"/>
        <v>2.0784241362369522E-2</v>
      </c>
      <c r="H78" s="67">
        <f t="shared" si="5"/>
        <v>15610.83530979068</v>
      </c>
    </row>
    <row r="79" spans="5:8">
      <c r="E79" s="70">
        <v>66</v>
      </c>
      <c r="F79" s="69">
        <v>735479.1389461162</v>
      </c>
      <c r="G79" s="68">
        <f t="shared" si="4"/>
        <v>2.2540000552535053E-2</v>
      </c>
      <c r="H79" s="67">
        <f t="shared" si="5"/>
        <v>16577.700198223465</v>
      </c>
    </row>
    <row r="80" spans="5:8">
      <c r="E80" s="70">
        <v>67</v>
      </c>
      <c r="F80" s="69">
        <v>718901.43874789274</v>
      </c>
      <c r="G80" s="68">
        <f t="shared" si="4"/>
        <v>2.4163206232836701E-2</v>
      </c>
      <c r="H80" s="67">
        <f t="shared" si="5"/>
        <v>17370.963725548354</v>
      </c>
    </row>
    <row r="81" spans="5:8">
      <c r="E81" s="70">
        <v>68</v>
      </c>
      <c r="F81" s="69">
        <v>701530.47502234438</v>
      </c>
      <c r="G81" s="68">
        <f t="shared" si="4"/>
        <v>2.591233044643498E-2</v>
      </c>
      <c r="H81" s="67">
        <f t="shared" si="5"/>
        <v>18178.289487023489</v>
      </c>
    </row>
    <row r="82" spans="5:8">
      <c r="E82" s="70">
        <v>69</v>
      </c>
      <c r="F82" s="69">
        <v>683352.1855353209</v>
      </c>
      <c r="G82" s="68">
        <f t="shared" si="4"/>
        <v>2.7788540978129935E-2</v>
      </c>
      <c r="H82" s="67">
        <f t="shared" si="5"/>
        <v>18989.360210242914</v>
      </c>
    </row>
    <row r="83" spans="5:8">
      <c r="E83" s="70">
        <v>70</v>
      </c>
      <c r="F83" s="69">
        <v>664362.82532507798</v>
      </c>
      <c r="G83" s="68">
        <f t="shared" si="4"/>
        <v>2.9820112692619413E-2</v>
      </c>
      <c r="H83" s="67">
        <f t="shared" si="5"/>
        <v>19811.374319980852</v>
      </c>
    </row>
    <row r="84" spans="5:8">
      <c r="E84" s="70">
        <v>71</v>
      </c>
      <c r="F84" s="69">
        <v>644551.45100509713</v>
      </c>
      <c r="G84" s="68">
        <f t="shared" si="4"/>
        <v>3.2013962740883098E-2</v>
      </c>
      <c r="H84" s="67">
        <f t="shared" si="5"/>
        <v>20634.646137059317</v>
      </c>
    </row>
    <row r="85" spans="5:8">
      <c r="E85" s="70">
        <v>72</v>
      </c>
      <c r="F85" s="69">
        <v>623916.80486803781</v>
      </c>
      <c r="G85" s="68">
        <f t="shared" si="4"/>
        <v>3.4341715630228406E-2</v>
      </c>
      <c r="H85" s="67">
        <f t="shared" si="5"/>
        <v>21426.373489698861</v>
      </c>
    </row>
    <row r="86" spans="5:8">
      <c r="E86" s="70">
        <v>73</v>
      </c>
      <c r="F86" s="69">
        <v>602490.43137833895</v>
      </c>
      <c r="G86" s="68">
        <f t="shared" si="4"/>
        <v>3.682699453539634E-2</v>
      </c>
      <c r="H86" s="67">
        <f t="shared" si="5"/>
        <v>22187.911823998671</v>
      </c>
    </row>
    <row r="87" spans="5:8">
      <c r="E87" s="70">
        <v>74</v>
      </c>
      <c r="F87" s="69">
        <v>580302.51955434028</v>
      </c>
      <c r="G87" s="68">
        <f t="shared" si="4"/>
        <v>3.9497854284305779E-2</v>
      </c>
      <c r="H87" s="67">
        <f t="shared" si="5"/>
        <v>22920.704358172836</v>
      </c>
    </row>
    <row r="88" spans="5:8">
      <c r="E88" s="70">
        <v>75</v>
      </c>
      <c r="F88" s="69">
        <v>557381.81519616744</v>
      </c>
      <c r="G88" s="68">
        <f t="shared" si="4"/>
        <v>4.2415205973332877E-2</v>
      </c>
      <c r="H88" s="67">
        <f t="shared" si="5"/>
        <v>23641.464497335604</v>
      </c>
    </row>
    <row r="89" spans="5:8">
      <c r="E89" s="70">
        <v>76</v>
      </c>
      <c r="F89" s="69">
        <v>533740.35069883184</v>
      </c>
      <c r="G89" s="68">
        <f t="shared" si="4"/>
        <v>4.5623657829103131E-2</v>
      </c>
      <c r="H89" s="67">
        <f t="shared" si="5"/>
        <v>24351.187129869009</v>
      </c>
    </row>
    <row r="90" spans="5:8">
      <c r="E90" s="70">
        <v>77</v>
      </c>
      <c r="F90" s="69">
        <v>509389.16356896283</v>
      </c>
      <c r="G90" s="68">
        <f t="shared" si="4"/>
        <v>4.9121830069309702E-2</v>
      </c>
      <c r="H90" s="67">
        <f t="shared" si="5"/>
        <v>25022.127931982395</v>
      </c>
    </row>
    <row r="91" spans="5:8">
      <c r="E91" s="70">
        <v>78</v>
      </c>
      <c r="F91" s="69">
        <v>484367.03563698044</v>
      </c>
      <c r="G91" s="68">
        <f t="shared" si="4"/>
        <v>5.3001400006731821E-2</v>
      </c>
      <c r="H91" s="67">
        <f t="shared" si="5"/>
        <v>25672.131005870528</v>
      </c>
    </row>
    <row r="92" spans="5:8">
      <c r="E92" s="70">
        <v>79</v>
      </c>
      <c r="F92" s="69">
        <v>458694.90463110991</v>
      </c>
      <c r="G92" s="68">
        <f t="shared" si="4"/>
        <v>5.7438949307497746E-2</v>
      </c>
      <c r="H92" s="67">
        <f t="shared" si="5"/>
        <v>26346.953374713834</v>
      </c>
    </row>
    <row r="93" spans="5:8">
      <c r="E93" s="70">
        <v>80</v>
      </c>
      <c r="F93" s="69">
        <v>432347.95125639607</v>
      </c>
      <c r="G93" s="68">
        <f t="shared" si="4"/>
        <v>6.256345357433192E-2</v>
      </c>
      <c r="H93" s="67">
        <f t="shared" si="5"/>
        <v>27049.180976387055</v>
      </c>
    </row>
    <row r="94" spans="5:8">
      <c r="E94" s="70">
        <v>81</v>
      </c>
      <c r="F94" s="69">
        <v>405298.77028000902</v>
      </c>
      <c r="G94" s="68">
        <f t="shared" si="4"/>
        <v>6.8398463803832632E-2</v>
      </c>
      <c r="H94" s="67">
        <f t="shared" si="5"/>
        <v>27721.813268735074</v>
      </c>
    </row>
    <row r="95" spans="5:8">
      <c r="E95" s="70">
        <v>82</v>
      </c>
      <c r="F95" s="69">
        <v>377576.95701127395</v>
      </c>
      <c r="G95" s="68">
        <f t="shared" si="4"/>
        <v>7.4844292909374235E-2</v>
      </c>
      <c r="H95" s="67">
        <f t="shared" si="5"/>
        <v>28259.480366381991</v>
      </c>
    </row>
    <row r="96" spans="5:8">
      <c r="E96" s="70">
        <v>83</v>
      </c>
      <c r="F96" s="69">
        <v>349317.47664489195</v>
      </c>
      <c r="G96" s="68">
        <f t="shared" si="4"/>
        <v>8.1749573926355318E-2</v>
      </c>
      <c r="H96" s="67">
        <f t="shared" si="5"/>
        <v>28556.554880749492</v>
      </c>
    </row>
    <row r="97" spans="5:8">
      <c r="E97" s="70">
        <v>84</v>
      </c>
      <c r="F97" s="69">
        <v>320760.92176414246</v>
      </c>
      <c r="G97" s="68">
        <f t="shared" si="4"/>
        <v>8.8986133486740032E-2</v>
      </c>
      <c r="H97" s="67">
        <f t="shared" si="5"/>
        <v>28543.274201433756</v>
      </c>
    </row>
    <row r="98" spans="5:8">
      <c r="E98" s="70">
        <v>85</v>
      </c>
      <c r="F98" s="69">
        <v>292217.64756270871</v>
      </c>
      <c r="G98" s="68">
        <f t="shared" si="4"/>
        <v>9.6665050543194672E-2</v>
      </c>
      <c r="H98" s="67">
        <f t="shared" si="5"/>
        <v>28247.233671262686</v>
      </c>
    </row>
    <row r="99" spans="5:8">
      <c r="E99" s="70">
        <v>86</v>
      </c>
      <c r="F99" s="69">
        <v>263970.41389144602</v>
      </c>
      <c r="G99" s="68">
        <f t="shared" si="4"/>
        <v>0.10487892040723122</v>
      </c>
      <c r="H99" s="67">
        <f t="shared" si="5"/>
        <v>27684.93202838485</v>
      </c>
    </row>
    <row r="100" spans="5:8">
      <c r="E100" s="70">
        <v>87</v>
      </c>
      <c r="F100" s="69">
        <v>236285.48186306117</v>
      </c>
      <c r="G100" s="68">
        <f t="shared" si="4"/>
        <v>0.11359468213158626</v>
      </c>
      <c r="H100" s="67">
        <f t="shared" si="5"/>
        <v>26840.774204543122</v>
      </c>
    </row>
    <row r="101" spans="5:8">
      <c r="E101" s="70">
        <v>88</v>
      </c>
      <c r="F101" s="69">
        <v>209444.70765851805</v>
      </c>
      <c r="G101" s="68">
        <f t="shared" si="4"/>
        <v>0.12279184124601125</v>
      </c>
      <c r="H101" s="67">
        <f t="shared" si="5"/>
        <v>25718.101292621985</v>
      </c>
    </row>
    <row r="102" spans="5:8">
      <c r="E102" s="70">
        <v>89</v>
      </c>
      <c r="F102" s="69">
        <v>183726.60636589606</v>
      </c>
      <c r="G102" s="68">
        <f t="shared" si="4"/>
        <v>0.13235578108326013</v>
      </c>
      <c r="H102" s="67">
        <f t="shared" si="5"/>
        <v>24317.278491334844</v>
      </c>
    </row>
    <row r="103" spans="5:8">
      <c r="E103" s="70">
        <v>90</v>
      </c>
      <c r="F103" s="69">
        <v>159409.32787456122</v>
      </c>
      <c r="G103" s="68">
        <f t="shared" si="4"/>
        <v>0.14225467485240564</v>
      </c>
      <c r="H103" s="67">
        <f t="shared" si="5"/>
        <v>22676.722105236229</v>
      </c>
    </row>
    <row r="104" spans="5:8">
      <c r="E104" s="70">
        <v>91</v>
      </c>
      <c r="F104" s="69">
        <v>136732.60576932499</v>
      </c>
      <c r="G104" s="68">
        <f t="shared" si="4"/>
        <v>0.16060401812636482</v>
      </c>
      <c r="H104" s="67">
        <f t="shared" si="5"/>
        <v>21959.805895441765</v>
      </c>
    </row>
    <row r="105" spans="5:8">
      <c r="E105" s="70">
        <v>92</v>
      </c>
      <c r="F105" s="69">
        <v>114772.79987388322</v>
      </c>
      <c r="G105" s="68">
        <f t="shared" si="4"/>
        <v>0.19118747911340561</v>
      </c>
      <c r="H105" s="67">
        <f t="shared" si="5"/>
        <v>21943.122278675131</v>
      </c>
    </row>
    <row r="106" spans="5:8">
      <c r="E106" s="70">
        <v>93</v>
      </c>
      <c r="F106" s="69">
        <v>92829.677595208093</v>
      </c>
      <c r="G106" s="68">
        <f t="shared" si="4"/>
        <v>0.22676480515362682</v>
      </c>
      <c r="H106" s="67">
        <f t="shared" si="5"/>
        <v>21050.50375235136</v>
      </c>
    </row>
    <row r="107" spans="5:8">
      <c r="E107" s="70">
        <v>94</v>
      </c>
      <c r="F107" s="69">
        <v>71779.173842856733</v>
      </c>
      <c r="G107" s="68">
        <f t="shared" si="4"/>
        <v>0.26779333913570219</v>
      </c>
      <c r="H107" s="67">
        <f t="shared" si="5"/>
        <v>19221.984643780655</v>
      </c>
    </row>
    <row r="108" spans="5:8">
      <c r="E108" s="70">
        <v>95</v>
      </c>
      <c r="F108" s="69">
        <v>52557.189199076078</v>
      </c>
      <c r="G108" s="68">
        <f t="shared" si="4"/>
        <v>0.31461276050185266</v>
      </c>
      <c r="H108" s="67">
        <f t="shared" si="5"/>
        <v>16535.162378139481</v>
      </c>
    </row>
    <row r="109" spans="5:8">
      <c r="E109" s="70">
        <v>96</v>
      </c>
      <c r="F109" s="69">
        <v>36022.026820936597</v>
      </c>
      <c r="G109" s="68">
        <f t="shared" ref="G109:G123" si="6">IF(F109=0,1,H109/F109)</f>
        <v>0.36736320192447192</v>
      </c>
      <c r="H109" s="67">
        <f t="shared" ref="H109:H123" si="7">+F109-F110</f>
        <v>13233.167112748473</v>
      </c>
    </row>
    <row r="110" spans="5:8">
      <c r="E110" s="70">
        <v>97</v>
      </c>
      <c r="F110" s="69">
        <v>22788.859708188123</v>
      </c>
      <c r="G110" s="68">
        <f t="shared" si="6"/>
        <v>0.42588460476384277</v>
      </c>
      <c r="H110" s="67">
        <f t="shared" si="7"/>
        <v>9705.4245098403608</v>
      </c>
    </row>
    <row r="111" spans="5:8">
      <c r="E111" s="70">
        <v>98</v>
      </c>
      <c r="F111" s="69">
        <v>13083.435198347763</v>
      </c>
      <c r="G111" s="68">
        <f t="shared" si="6"/>
        <v>0.48960428248512239</v>
      </c>
      <c r="H111" s="67">
        <f t="shared" si="7"/>
        <v>6405.7059027276509</v>
      </c>
    </row>
    <row r="112" spans="5:8">
      <c r="E112" s="70">
        <v>99</v>
      </c>
      <c r="F112" s="69">
        <v>6677.7292956201118</v>
      </c>
      <c r="G112" s="68">
        <f t="shared" si="6"/>
        <v>0.55742863565072132</v>
      </c>
      <c r="H112" s="67">
        <f t="shared" si="7"/>
        <v>3722.357530502371</v>
      </c>
    </row>
    <row r="113" spans="5:8">
      <c r="E113" s="70">
        <v>100</v>
      </c>
      <c r="F113" s="69">
        <v>2955.3717651177408</v>
      </c>
      <c r="G113" s="68">
        <f t="shared" si="6"/>
        <v>0.62766679201320164</v>
      </c>
      <c r="H113" s="67">
        <f t="shared" si="7"/>
        <v>1854.9887150178456</v>
      </c>
    </row>
    <row r="114" spans="5:8">
      <c r="E114" s="70">
        <v>101</v>
      </c>
      <c r="F114" s="69">
        <v>1100.3830500998952</v>
      </c>
      <c r="G114" s="68">
        <f t="shared" si="6"/>
        <v>0.69802616956230712</v>
      </c>
      <c r="H114" s="67">
        <f t="shared" si="7"/>
        <v>768.09616551251816</v>
      </c>
    </row>
    <row r="115" spans="5:8">
      <c r="E115" s="70">
        <v>102</v>
      </c>
      <c r="F115" s="69">
        <v>332.28688458737696</v>
      </c>
      <c r="G115" s="68">
        <f t="shared" si="6"/>
        <v>0.76572669673344629</v>
      </c>
      <c r="H115" s="67">
        <f t="shared" si="7"/>
        <v>254.44093850294007</v>
      </c>
    </row>
    <row r="116" spans="5:8">
      <c r="E116" s="70">
        <v>103</v>
      </c>
      <c r="F116" s="69">
        <v>77.845946084436889</v>
      </c>
      <c r="G116" s="68">
        <f t="shared" si="6"/>
        <v>0.82777189028912457</v>
      </c>
      <c r="H116" s="67">
        <f t="shared" si="7"/>
        <v>64.4386859416596</v>
      </c>
    </row>
    <row r="117" spans="5:8">
      <c r="E117" s="70">
        <v>104</v>
      </c>
      <c r="F117" s="69">
        <v>13.40726014277729</v>
      </c>
      <c r="G117" s="68">
        <f t="shared" si="6"/>
        <v>0.88137995336488939</v>
      </c>
      <c r="H117" s="67">
        <f t="shared" si="7"/>
        <v>11.816890319391987</v>
      </c>
    </row>
    <row r="118" spans="5:8">
      <c r="E118" s="70">
        <v>105</v>
      </c>
      <c r="F118" s="69">
        <v>1.5903698233853019</v>
      </c>
      <c r="G118" s="68">
        <f t="shared" si="6"/>
        <v>1</v>
      </c>
      <c r="H118" s="67">
        <f t="shared" si="7"/>
        <v>1.5903698233853019</v>
      </c>
    </row>
    <row r="119" spans="5:8">
      <c r="E119" s="70">
        <v>106</v>
      </c>
      <c r="F119" s="69">
        <v>0</v>
      </c>
      <c r="G119" s="68">
        <f t="shared" si="6"/>
        <v>1</v>
      </c>
      <c r="H119" s="67">
        <f t="shared" si="7"/>
        <v>0</v>
      </c>
    </row>
    <row r="120" spans="5:8">
      <c r="E120" s="70">
        <v>107</v>
      </c>
      <c r="F120" s="69">
        <v>0</v>
      </c>
      <c r="G120" s="68">
        <f t="shared" si="6"/>
        <v>1</v>
      </c>
      <c r="H120" s="67">
        <f t="shared" si="7"/>
        <v>0</v>
      </c>
    </row>
    <row r="121" spans="5:8">
      <c r="E121" s="70">
        <v>108</v>
      </c>
      <c r="F121" s="69">
        <v>0</v>
      </c>
      <c r="G121" s="68">
        <f t="shared" si="6"/>
        <v>1</v>
      </c>
      <c r="H121" s="67">
        <f t="shared" si="7"/>
        <v>0</v>
      </c>
    </row>
    <row r="122" spans="5:8">
      <c r="E122" s="70">
        <v>109</v>
      </c>
      <c r="F122" s="69">
        <v>0</v>
      </c>
      <c r="G122" s="68">
        <f t="shared" si="6"/>
        <v>1</v>
      </c>
      <c r="H122" s="67">
        <f t="shared" si="7"/>
        <v>0</v>
      </c>
    </row>
    <row r="123" spans="5:8">
      <c r="E123" s="66">
        <v>110</v>
      </c>
      <c r="F123" s="65">
        <v>0</v>
      </c>
      <c r="G123" s="64">
        <f t="shared" si="6"/>
        <v>1</v>
      </c>
      <c r="H123" s="63">
        <f t="shared" si="7"/>
        <v>0</v>
      </c>
    </row>
  </sheetData>
  <pageMargins left="0.7" right="0.7" top="0.75" bottom="0.75" header="0.196850393700787" footer="0.196850393700787"/>
  <pageSetup paperSize="9" scale="70" orientation="portrait" r:id="rId1"/>
  <headerFooter>
    <oddHeader>&amp;L&amp;"Arial,Normal"&amp;8 10454 - CIMA&amp;C&amp;"Arial,Gras"&amp;12PROJET&amp;R&amp;"Arial,Normal"&amp;8&amp;D</oddHeader>
    <oddFooter>&amp;L&amp;"Arial,Normal"&amp;8WINTER &amp;&amp; Associés&amp;C&amp;"Arial,Gras"&amp;12CONFIDENTIEL&amp;R&amp;"Arial,Normal"&amp;8&amp;F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00FF"/>
  </sheetPr>
  <dimension ref="A1:BG859"/>
  <sheetViews>
    <sheetView showGridLines="0" topLeftCell="E2" zoomScale="75" workbookViewId="0">
      <selection activeCell="L31" sqref="I31:L33"/>
    </sheetView>
  </sheetViews>
  <sheetFormatPr baseColWidth="10" defaultRowHeight="14.4"/>
  <cols>
    <col min="3" max="3" width="11.77734375" bestFit="1" customWidth="1"/>
    <col min="4" max="4" width="13" bestFit="1" customWidth="1"/>
    <col min="5" max="5" width="21.77734375" bestFit="1" customWidth="1"/>
    <col min="6" max="6" width="27.44140625" customWidth="1"/>
    <col min="7" max="7" width="21.77734375" bestFit="1" customWidth="1"/>
    <col min="8" max="8" width="17.6640625" bestFit="1" customWidth="1"/>
    <col min="9" max="9" width="17.33203125" bestFit="1" customWidth="1"/>
    <col min="10" max="11" width="16.33203125" bestFit="1" customWidth="1"/>
    <col min="12" max="15" width="9.6640625" customWidth="1"/>
    <col min="16" max="16" width="30.109375" customWidth="1"/>
    <col min="17" max="17" width="9.109375" bestFit="1" customWidth="1"/>
    <col min="18" max="18" width="10" bestFit="1" customWidth="1"/>
    <col min="19" max="19" width="9.6640625" bestFit="1" customWidth="1"/>
    <col min="43" max="43" width="13" bestFit="1" customWidth="1"/>
  </cols>
  <sheetData>
    <row r="1" spans="1:49">
      <c r="B1" s="124" t="s">
        <v>943</v>
      </c>
    </row>
    <row r="2" spans="1:49" ht="15.6">
      <c r="G2" t="s">
        <v>951</v>
      </c>
      <c r="H2" t="s">
        <v>950</v>
      </c>
      <c r="AQ2" s="30"/>
      <c r="AR2" s="30"/>
      <c r="AS2" s="30"/>
      <c r="AT2" s="30"/>
      <c r="AU2" s="30" t="s">
        <v>29</v>
      </c>
      <c r="AV2" s="30" t="s">
        <v>60</v>
      </c>
      <c r="AW2" s="30" t="s">
        <v>61</v>
      </c>
    </row>
    <row r="3" spans="1:49" s="30" customFormat="1" ht="15.6">
      <c r="A3"/>
      <c r="B3"/>
      <c r="G3" s="34" t="s">
        <v>952</v>
      </c>
      <c r="H3" s="125">
        <v>0.46</v>
      </c>
      <c r="AQ3" s="100">
        <f>SUMPRODUCT(AQ583:AQ859, $G$8:$G$284)/SUM($G$8:$G$284)</f>
        <v>9819.4847316070791</v>
      </c>
      <c r="AU3" s="55">
        <f>SUMPRODUCT(AS293:AS569, $H$8:$H$284)/SUM($H$8:$H$284)</f>
        <v>0.13071633572444594</v>
      </c>
      <c r="AV3" s="57">
        <f>SUMPRODUCT(AT293:AT569, $H$8:$H$284)/SUM($H$8:$H$284)</f>
        <v>3.6576865441320883E-2</v>
      </c>
      <c r="AW3" s="56">
        <f>SUMPRODUCT(AU293:AU569, $H$8:$H$284)/SUM($H$8:$H$284)</f>
        <v>4.3232242982856536E-3</v>
      </c>
    </row>
    <row r="4" spans="1:49" s="30" customFormat="1" ht="16.2" thickBot="1">
      <c r="A4"/>
      <c r="B4"/>
      <c r="C4" s="43"/>
    </row>
    <row r="5" spans="1:49" s="30" customFormat="1" ht="16.2" thickBot="1">
      <c r="A5"/>
      <c r="B5" s="29"/>
      <c r="C5" s="31"/>
      <c r="D5" s="32"/>
      <c r="E5" s="32"/>
      <c r="F5" s="32"/>
      <c r="H5" s="34"/>
      <c r="I5" s="140" t="s">
        <v>949</v>
      </c>
      <c r="J5" s="141"/>
      <c r="K5" s="142"/>
      <c r="L5" s="34"/>
      <c r="M5" s="34"/>
      <c r="N5" s="34"/>
      <c r="O5" s="34"/>
      <c r="P5" s="34"/>
      <c r="Q5" s="34" t="s">
        <v>58</v>
      </c>
      <c r="R5" s="34"/>
      <c r="S5" s="34"/>
      <c r="T5" s="34"/>
    </row>
    <row r="6" spans="1:49" s="30" customFormat="1" ht="15.6">
      <c r="A6"/>
      <c r="B6" s="29"/>
      <c r="C6" s="33"/>
      <c r="D6" s="33"/>
      <c r="E6" s="33"/>
      <c r="F6" s="33"/>
      <c r="G6" s="33"/>
      <c r="I6" s="126" t="s">
        <v>29</v>
      </c>
      <c r="J6" s="30" t="s">
        <v>945</v>
      </c>
      <c r="K6" s="127" t="s">
        <v>61</v>
      </c>
      <c r="Q6" s="34"/>
      <c r="R6" s="34">
        <v>3</v>
      </c>
      <c r="S6" s="34">
        <v>4</v>
      </c>
      <c r="T6" s="34">
        <v>5</v>
      </c>
      <c r="U6" s="34">
        <v>6</v>
      </c>
      <c r="V6" s="34">
        <v>7</v>
      </c>
      <c r="W6" s="34">
        <v>8</v>
      </c>
      <c r="X6" s="34">
        <v>9</v>
      </c>
      <c r="Y6" s="34">
        <v>10</v>
      </c>
      <c r="Z6" s="34">
        <v>11</v>
      </c>
      <c r="AA6" s="34">
        <v>12</v>
      </c>
      <c r="AB6" s="34">
        <v>13</v>
      </c>
      <c r="AC6" s="34">
        <v>14</v>
      </c>
      <c r="AD6" s="34">
        <v>15</v>
      </c>
      <c r="AE6" s="34">
        <v>16</v>
      </c>
      <c r="AF6" s="34">
        <v>17</v>
      </c>
      <c r="AG6" s="34">
        <v>18</v>
      </c>
      <c r="AH6" s="34">
        <v>19</v>
      </c>
      <c r="AI6" s="34">
        <v>20</v>
      </c>
      <c r="AJ6" s="34">
        <v>21</v>
      </c>
      <c r="AK6" s="34">
        <v>22</v>
      </c>
      <c r="AL6" s="34">
        <v>23</v>
      </c>
      <c r="AM6" s="34">
        <v>24</v>
      </c>
      <c r="AN6" s="34">
        <v>25</v>
      </c>
    </row>
    <row r="7" spans="1:49" s="30" customFormat="1" ht="15.6">
      <c r="A7"/>
      <c r="B7" s="29"/>
      <c r="C7" s="38" t="s">
        <v>24</v>
      </c>
      <c r="D7" s="38" t="s">
        <v>25</v>
      </c>
      <c r="E7" s="40" t="s">
        <v>875</v>
      </c>
      <c r="F7" s="40" t="s">
        <v>874</v>
      </c>
      <c r="G7" s="38" t="s">
        <v>944</v>
      </c>
      <c r="H7" s="97" t="s">
        <v>878</v>
      </c>
      <c r="I7" s="128" t="s">
        <v>947</v>
      </c>
      <c r="J7" s="40" t="s">
        <v>946</v>
      </c>
      <c r="K7" s="129" t="s">
        <v>948</v>
      </c>
      <c r="L7" s="38"/>
      <c r="M7" s="38"/>
      <c r="N7" s="38" t="s">
        <v>25</v>
      </c>
      <c r="O7" s="40" t="s">
        <v>875</v>
      </c>
      <c r="P7" s="40" t="s">
        <v>874</v>
      </c>
      <c r="Q7" s="99" t="s">
        <v>880</v>
      </c>
      <c r="R7" s="99" t="s">
        <v>881</v>
      </c>
      <c r="S7" s="99" t="s">
        <v>882</v>
      </c>
      <c r="T7" s="99" t="s">
        <v>883</v>
      </c>
      <c r="U7" s="99" t="s">
        <v>884</v>
      </c>
      <c r="V7" s="99" t="s">
        <v>885</v>
      </c>
      <c r="W7" s="99" t="s">
        <v>886</v>
      </c>
      <c r="X7" s="99" t="s">
        <v>887</v>
      </c>
      <c r="Y7" s="99" t="s">
        <v>888</v>
      </c>
      <c r="Z7" s="99" t="s">
        <v>889</v>
      </c>
      <c r="AA7" s="99" t="s">
        <v>890</v>
      </c>
      <c r="AB7" s="99" t="s">
        <v>891</v>
      </c>
      <c r="AC7" s="99" t="s">
        <v>892</v>
      </c>
      <c r="AD7" s="99" t="s">
        <v>893</v>
      </c>
      <c r="AE7" s="99" t="s">
        <v>894</v>
      </c>
      <c r="AF7" s="99" t="s">
        <v>895</v>
      </c>
      <c r="AG7" s="99" t="s">
        <v>896</v>
      </c>
      <c r="AH7" s="99" t="s">
        <v>897</v>
      </c>
      <c r="AI7" s="99" t="s">
        <v>898</v>
      </c>
      <c r="AJ7" s="99" t="s">
        <v>899</v>
      </c>
      <c r="AK7" s="99" t="s">
        <v>900</v>
      </c>
      <c r="AL7" s="99" t="s">
        <v>901</v>
      </c>
      <c r="AM7" s="99" t="s">
        <v>902</v>
      </c>
      <c r="AN7" s="99" t="s">
        <v>903</v>
      </c>
    </row>
    <row r="8" spans="1:49" s="30" customFormat="1" ht="15.6">
      <c r="A8"/>
      <c r="B8" s="29"/>
      <c r="C8" s="44" t="s">
        <v>876</v>
      </c>
      <c r="D8" s="39" t="s">
        <v>26</v>
      </c>
      <c r="E8" s="39" t="s">
        <v>262</v>
      </c>
      <c r="F8" t="s">
        <v>620</v>
      </c>
      <c r="G8" s="41">
        <f>VLOOKUP(F8,'(3) Demographie &amp; Departements'!$G$8:$J$526,4,0)</f>
        <v>8665.37269535204</v>
      </c>
      <c r="H8" s="96">
        <f t="shared" ref="H8:H71" si="0">$H$3*G8</f>
        <v>3986.0714398619384</v>
      </c>
      <c r="I8" s="130">
        <f>Tarification!$H$8</f>
        <v>0.95</v>
      </c>
      <c r="J8" s="42">
        <f>Tarification!$H$9</f>
        <v>0.85</v>
      </c>
      <c r="K8" s="131">
        <f>Tarification!$H$10</f>
        <v>0.75</v>
      </c>
      <c r="L8" s="42"/>
      <c r="M8" s="42"/>
      <c r="N8" s="39" t="s">
        <v>26</v>
      </c>
      <c r="O8" s="39" t="s">
        <v>262</v>
      </c>
      <c r="P8" t="s">
        <v>620</v>
      </c>
      <c r="Q8" s="99">
        <v>100</v>
      </c>
      <c r="R8" s="99">
        <v>100</v>
      </c>
      <c r="S8" s="99">
        <v>100</v>
      </c>
      <c r="T8" s="99">
        <v>100</v>
      </c>
      <c r="U8" s="99">
        <v>100</v>
      </c>
      <c r="V8" s="99">
        <v>100</v>
      </c>
      <c r="W8" s="99">
        <v>100</v>
      </c>
      <c r="X8" s="99">
        <v>100</v>
      </c>
      <c r="Y8" s="99">
        <v>100</v>
      </c>
      <c r="Z8" s="99">
        <v>100</v>
      </c>
      <c r="AA8" s="99">
        <v>100</v>
      </c>
      <c r="AB8" s="99">
        <v>100</v>
      </c>
      <c r="AC8" s="99">
        <v>100</v>
      </c>
      <c r="AD8" s="99">
        <v>100</v>
      </c>
      <c r="AE8" s="99">
        <v>100</v>
      </c>
      <c r="AF8" s="99">
        <v>100</v>
      </c>
      <c r="AG8" s="99">
        <v>100</v>
      </c>
      <c r="AH8" s="99">
        <v>100</v>
      </c>
      <c r="AI8" s="99">
        <v>100</v>
      </c>
      <c r="AJ8" s="99">
        <v>100</v>
      </c>
      <c r="AK8" s="99">
        <v>100</v>
      </c>
      <c r="AL8" s="99">
        <v>100</v>
      </c>
      <c r="AM8" s="99">
        <v>100</v>
      </c>
      <c r="AN8" s="99">
        <v>100</v>
      </c>
      <c r="AV8" s="54"/>
    </row>
    <row r="9" spans="1:49" s="30" customFormat="1" ht="15.6">
      <c r="A9"/>
      <c r="B9" s="29"/>
      <c r="C9" s="44" t="s">
        <v>876</v>
      </c>
      <c r="D9" s="39" t="s">
        <v>26</v>
      </c>
      <c r="E9" s="39" t="s">
        <v>248</v>
      </c>
      <c r="F9" t="s">
        <v>621</v>
      </c>
      <c r="G9" s="41">
        <f>VLOOKUP(F9,'(3) Demographie &amp; Departements'!$G$8:$J$526,4,0)</f>
        <v>5693.168369863266</v>
      </c>
      <c r="H9" s="96">
        <f t="shared" si="0"/>
        <v>2618.8574501371027</v>
      </c>
      <c r="I9" s="130">
        <f>I8</f>
        <v>0.95</v>
      </c>
      <c r="J9" s="42">
        <f>J8</f>
        <v>0.85</v>
      </c>
      <c r="K9" s="131">
        <f>K8</f>
        <v>0.75</v>
      </c>
      <c r="L9" s="42"/>
      <c r="M9" s="42"/>
      <c r="N9" s="39" t="s">
        <v>26</v>
      </c>
      <c r="O9" s="39" t="s">
        <v>248</v>
      </c>
      <c r="P9" t="s">
        <v>621</v>
      </c>
      <c r="Q9" s="99">
        <v>100</v>
      </c>
      <c r="R9" s="99">
        <v>99.709039951871404</v>
      </c>
      <c r="S9" s="99">
        <v>100</v>
      </c>
      <c r="T9" s="99">
        <v>99.816794874956898</v>
      </c>
      <c r="U9" s="99">
        <v>99.699900896160301</v>
      </c>
      <c r="V9" s="99">
        <v>100</v>
      </c>
      <c r="W9" s="99">
        <v>90.869026041838794</v>
      </c>
      <c r="X9" s="99">
        <v>100</v>
      </c>
      <c r="Y9" s="99">
        <v>98.890444834621604</v>
      </c>
      <c r="Z9" s="99">
        <v>99.502108529058503</v>
      </c>
      <c r="AA9" s="99">
        <v>95.076261629730098</v>
      </c>
      <c r="AB9" s="99">
        <v>100</v>
      </c>
      <c r="AC9" s="99">
        <v>100</v>
      </c>
      <c r="AD9" s="99">
        <v>100</v>
      </c>
      <c r="AE9" s="99">
        <v>85.752634748485093</v>
      </c>
      <c r="AF9" s="99">
        <v>99.849027701445493</v>
      </c>
      <c r="AG9" s="99">
        <v>100</v>
      </c>
      <c r="AH9" s="99">
        <v>99.560978816094007</v>
      </c>
      <c r="AI9" s="99">
        <v>99.762925262341795</v>
      </c>
      <c r="AJ9" s="99">
        <v>100</v>
      </c>
      <c r="AK9" s="99">
        <v>99.530486489157994</v>
      </c>
      <c r="AL9" s="99">
        <v>100</v>
      </c>
      <c r="AM9" s="99">
        <v>100</v>
      </c>
      <c r="AN9" s="99">
        <v>98.055896124101693</v>
      </c>
    </row>
    <row r="10" spans="1:49" s="30" customFormat="1" ht="15.6">
      <c r="A10"/>
      <c r="B10" s="29"/>
      <c r="C10" s="44" t="s">
        <v>876</v>
      </c>
      <c r="D10" s="39" t="s">
        <v>26</v>
      </c>
      <c r="E10" s="39" t="s">
        <v>601</v>
      </c>
      <c r="F10" t="s">
        <v>622</v>
      </c>
      <c r="G10" s="41">
        <f>VLOOKUP(F10,'(3) Demographie &amp; Departements'!$G$8:$J$526,4,0)</f>
        <v>10140.779919266704</v>
      </c>
      <c r="H10" s="96">
        <f t="shared" si="0"/>
        <v>4664.7587628626843</v>
      </c>
      <c r="I10" s="130">
        <f t="shared" ref="I10:I73" si="1">I9</f>
        <v>0.95</v>
      </c>
      <c r="J10" s="42">
        <f t="shared" ref="J10:J73" si="2">J9</f>
        <v>0.85</v>
      </c>
      <c r="K10" s="131">
        <f t="shared" ref="K10:K73" si="3">K9</f>
        <v>0.75</v>
      </c>
      <c r="L10" s="42"/>
      <c r="M10" s="42"/>
      <c r="N10" s="39" t="s">
        <v>26</v>
      </c>
      <c r="O10" s="39" t="s">
        <v>601</v>
      </c>
      <c r="P10" t="s">
        <v>622</v>
      </c>
      <c r="Q10" s="99">
        <v>100</v>
      </c>
      <c r="R10" s="99">
        <v>100</v>
      </c>
      <c r="S10" s="99">
        <v>100</v>
      </c>
      <c r="T10" s="99">
        <v>87.264302808949296</v>
      </c>
      <c r="U10" s="99">
        <v>92.577110162761997</v>
      </c>
      <c r="V10" s="99">
        <v>100</v>
      </c>
      <c r="W10" s="99">
        <v>95.249777073324694</v>
      </c>
      <c r="X10" s="99">
        <v>100</v>
      </c>
      <c r="Y10" s="99">
        <v>100</v>
      </c>
      <c r="Z10" s="99">
        <v>100</v>
      </c>
      <c r="AA10" s="99">
        <v>100</v>
      </c>
      <c r="AB10" s="99">
        <v>100</v>
      </c>
      <c r="AC10" s="99">
        <v>90.566277164835299</v>
      </c>
      <c r="AD10" s="99">
        <v>100</v>
      </c>
      <c r="AE10" s="99">
        <v>76.924640073465696</v>
      </c>
      <c r="AF10" s="99">
        <v>93.993673524232094</v>
      </c>
      <c r="AG10" s="99">
        <v>100</v>
      </c>
      <c r="AH10" s="99">
        <v>99.517980994480297</v>
      </c>
      <c r="AI10" s="99">
        <v>100</v>
      </c>
      <c r="AJ10" s="99">
        <v>100</v>
      </c>
      <c r="AK10" s="99">
        <v>99.653128365735697</v>
      </c>
      <c r="AL10" s="99">
        <v>100</v>
      </c>
      <c r="AM10" s="99">
        <v>100</v>
      </c>
      <c r="AN10" s="99">
        <v>99.9782490186102</v>
      </c>
    </row>
    <row r="11" spans="1:49" s="30" customFormat="1" ht="15.6">
      <c r="A11"/>
      <c r="B11" s="29"/>
      <c r="C11" s="44" t="s">
        <v>876</v>
      </c>
      <c r="D11" s="39" t="s">
        <v>26</v>
      </c>
      <c r="E11" s="39" t="s">
        <v>248</v>
      </c>
      <c r="F11" t="s">
        <v>623</v>
      </c>
      <c r="G11" s="41">
        <f>VLOOKUP(F11,'(3) Demographie &amp; Departements'!$G$8:$J$526,4,0)</f>
        <v>13166.287528516967</v>
      </c>
      <c r="H11" s="96">
        <f t="shared" si="0"/>
        <v>6056.4922631178051</v>
      </c>
      <c r="I11" s="130">
        <f t="shared" si="1"/>
        <v>0.95</v>
      </c>
      <c r="J11" s="42">
        <f t="shared" si="2"/>
        <v>0.85</v>
      </c>
      <c r="K11" s="131">
        <f t="shared" si="3"/>
        <v>0.75</v>
      </c>
      <c r="L11" s="42"/>
      <c r="M11" s="42"/>
      <c r="N11" s="39" t="s">
        <v>26</v>
      </c>
      <c r="O11" s="39" t="s">
        <v>248</v>
      </c>
      <c r="P11" t="s">
        <v>623</v>
      </c>
      <c r="Q11" s="99">
        <v>100</v>
      </c>
      <c r="R11" s="99">
        <v>100</v>
      </c>
      <c r="S11" s="99">
        <v>100</v>
      </c>
      <c r="T11" s="99">
        <v>99.956048729751899</v>
      </c>
      <c r="U11" s="99">
        <v>100</v>
      </c>
      <c r="V11" s="99">
        <v>100</v>
      </c>
      <c r="W11" s="99">
        <v>92.364237660365703</v>
      </c>
      <c r="X11" s="99">
        <v>100</v>
      </c>
      <c r="Y11" s="99">
        <v>100</v>
      </c>
      <c r="Z11" s="99">
        <v>99.925043540268703</v>
      </c>
      <c r="AA11" s="99">
        <v>98.874753372468106</v>
      </c>
      <c r="AB11" s="99">
        <v>100</v>
      </c>
      <c r="AC11" s="99">
        <v>100</v>
      </c>
      <c r="AD11" s="99">
        <v>100</v>
      </c>
      <c r="AE11" s="99">
        <v>89.348607098263997</v>
      </c>
      <c r="AF11" s="99">
        <v>100</v>
      </c>
      <c r="AG11" s="99">
        <v>100</v>
      </c>
      <c r="AH11" s="99">
        <v>100</v>
      </c>
      <c r="AI11" s="99">
        <v>100</v>
      </c>
      <c r="AJ11" s="99">
        <v>100</v>
      </c>
      <c r="AK11" s="99">
        <v>100</v>
      </c>
      <c r="AL11" s="99">
        <v>100</v>
      </c>
      <c r="AM11" s="99">
        <v>100</v>
      </c>
      <c r="AN11" s="99">
        <v>99.938185487515398</v>
      </c>
    </row>
    <row r="12" spans="1:49" s="30" customFormat="1" ht="15.6">
      <c r="A12"/>
      <c r="B12" s="29"/>
      <c r="C12" s="44" t="s">
        <v>876</v>
      </c>
      <c r="D12" s="39" t="s">
        <v>26</v>
      </c>
      <c r="E12" s="39" t="s">
        <v>273</v>
      </c>
      <c r="F12" t="s">
        <v>624</v>
      </c>
      <c r="G12" s="41">
        <f>VLOOKUP(F12,'(3) Demographie &amp; Departements'!$G$8:$J$526,4,0)</f>
        <v>58286.681501799336</v>
      </c>
      <c r="H12" s="96">
        <f t="shared" si="0"/>
        <v>26811.873490827697</v>
      </c>
      <c r="I12" s="130">
        <f t="shared" si="1"/>
        <v>0.95</v>
      </c>
      <c r="J12" s="42">
        <f t="shared" si="2"/>
        <v>0.85</v>
      </c>
      <c r="K12" s="131">
        <f t="shared" si="3"/>
        <v>0.75</v>
      </c>
      <c r="L12" s="42"/>
      <c r="M12" s="42"/>
      <c r="N12" s="39" t="s">
        <v>26</v>
      </c>
      <c r="O12" s="39" t="s">
        <v>273</v>
      </c>
      <c r="P12" t="s">
        <v>624</v>
      </c>
      <c r="Q12" s="99">
        <v>100</v>
      </c>
      <c r="R12" s="99">
        <v>100</v>
      </c>
      <c r="S12" s="99">
        <v>100</v>
      </c>
      <c r="T12" s="99">
        <v>100</v>
      </c>
      <c r="U12" s="99">
        <v>100</v>
      </c>
      <c r="V12" s="99">
        <v>100</v>
      </c>
      <c r="W12" s="99">
        <v>100</v>
      </c>
      <c r="X12" s="99">
        <v>100</v>
      </c>
      <c r="Y12" s="99">
        <v>100</v>
      </c>
      <c r="Z12" s="99">
        <v>100</v>
      </c>
      <c r="AA12" s="99">
        <v>100</v>
      </c>
      <c r="AB12" s="99">
        <v>100</v>
      </c>
      <c r="AC12" s="99">
        <v>100</v>
      </c>
      <c r="AD12" s="99">
        <v>100</v>
      </c>
      <c r="AE12" s="99">
        <v>100</v>
      </c>
      <c r="AF12" s="99">
        <v>100</v>
      </c>
      <c r="AG12" s="99">
        <v>100</v>
      </c>
      <c r="AH12" s="99">
        <v>100</v>
      </c>
      <c r="AI12" s="99">
        <v>100</v>
      </c>
      <c r="AJ12" s="99">
        <v>100</v>
      </c>
      <c r="AK12" s="99">
        <v>100</v>
      </c>
      <c r="AL12" s="99">
        <v>100</v>
      </c>
      <c r="AM12" s="99">
        <v>100</v>
      </c>
      <c r="AN12" s="99">
        <v>99.2225825747134</v>
      </c>
    </row>
    <row r="13" spans="1:49" s="30" customFormat="1" ht="15.6">
      <c r="A13"/>
      <c r="B13" s="29"/>
      <c r="C13" s="44" t="s">
        <v>876</v>
      </c>
      <c r="D13" s="39" t="s">
        <v>26</v>
      </c>
      <c r="E13" s="39" t="s">
        <v>498</v>
      </c>
      <c r="F13" t="s">
        <v>625</v>
      </c>
      <c r="G13" s="41">
        <f>VLOOKUP(F13,'(3) Demographie &amp; Departements'!$G$8:$J$526,4,0)</f>
        <v>16825.632358715295</v>
      </c>
      <c r="H13" s="96">
        <f t="shared" si="0"/>
        <v>7739.7908850090362</v>
      </c>
      <c r="I13" s="130">
        <f t="shared" si="1"/>
        <v>0.95</v>
      </c>
      <c r="J13" s="42">
        <f t="shared" si="2"/>
        <v>0.85</v>
      </c>
      <c r="K13" s="131">
        <f t="shared" si="3"/>
        <v>0.75</v>
      </c>
      <c r="L13" s="42"/>
      <c r="M13" s="42"/>
      <c r="N13" s="39" t="s">
        <v>26</v>
      </c>
      <c r="O13" s="39" t="s">
        <v>498</v>
      </c>
      <c r="P13" t="s">
        <v>625</v>
      </c>
      <c r="Q13" s="99">
        <v>100</v>
      </c>
      <c r="R13" s="99">
        <v>100</v>
      </c>
      <c r="S13" s="99">
        <v>99.817994319515904</v>
      </c>
      <c r="T13" s="99">
        <v>100</v>
      </c>
      <c r="U13" s="99">
        <v>98.756442465784801</v>
      </c>
      <c r="V13" s="99">
        <v>100</v>
      </c>
      <c r="W13" s="99">
        <v>92.058464272594804</v>
      </c>
      <c r="X13" s="99">
        <v>100</v>
      </c>
      <c r="Y13" s="99">
        <v>98.929725524784601</v>
      </c>
      <c r="Z13" s="99">
        <v>98.559832747161707</v>
      </c>
      <c r="AA13" s="99">
        <v>97.673560983275706</v>
      </c>
      <c r="AB13" s="99">
        <v>100</v>
      </c>
      <c r="AC13" s="99">
        <v>100</v>
      </c>
      <c r="AD13" s="99">
        <v>100</v>
      </c>
      <c r="AE13" s="99">
        <v>89.135152341457996</v>
      </c>
      <c r="AF13" s="99">
        <v>99.152722635306205</v>
      </c>
      <c r="AG13" s="99">
        <v>100</v>
      </c>
      <c r="AH13" s="99">
        <v>99.814677025478503</v>
      </c>
      <c r="AI13" s="99">
        <v>96.493867599583396</v>
      </c>
      <c r="AJ13" s="99">
        <v>99.141928549492704</v>
      </c>
      <c r="AK13" s="99">
        <v>99.576943460286401</v>
      </c>
      <c r="AL13" s="99">
        <v>99.6865309259734</v>
      </c>
      <c r="AM13" s="99">
        <v>100</v>
      </c>
      <c r="AN13" s="99">
        <v>92.827550153773899</v>
      </c>
    </row>
    <row r="14" spans="1:49" s="30" customFormat="1" ht="15.6">
      <c r="A14"/>
      <c r="B14" s="29"/>
      <c r="C14" s="44" t="s">
        <v>876</v>
      </c>
      <c r="D14" s="39" t="s">
        <v>26</v>
      </c>
      <c r="E14" s="39" t="s">
        <v>235</v>
      </c>
      <c r="F14" t="s">
        <v>626</v>
      </c>
      <c r="G14" s="41">
        <f>VLOOKUP(F14,'(3) Demographie &amp; Departements'!$G$8:$J$526,4,0)</f>
        <v>11818.834609217476</v>
      </c>
      <c r="H14" s="96">
        <f t="shared" si="0"/>
        <v>5436.6639202400393</v>
      </c>
      <c r="I14" s="130">
        <f t="shared" si="1"/>
        <v>0.95</v>
      </c>
      <c r="J14" s="42">
        <f t="shared" si="2"/>
        <v>0.85</v>
      </c>
      <c r="K14" s="131">
        <f t="shared" si="3"/>
        <v>0.75</v>
      </c>
      <c r="L14" s="42"/>
      <c r="M14" s="42"/>
      <c r="N14" s="39" t="s">
        <v>26</v>
      </c>
      <c r="O14" s="39" t="s">
        <v>235</v>
      </c>
      <c r="P14" t="s">
        <v>626</v>
      </c>
      <c r="Q14" s="99">
        <v>100</v>
      </c>
      <c r="R14" s="99">
        <v>100</v>
      </c>
      <c r="S14" s="99">
        <v>100</v>
      </c>
      <c r="T14" s="99">
        <v>100</v>
      </c>
      <c r="U14" s="99">
        <v>100</v>
      </c>
      <c r="V14" s="99">
        <v>100</v>
      </c>
      <c r="W14" s="99">
        <v>100</v>
      </c>
      <c r="X14" s="99">
        <v>100</v>
      </c>
      <c r="Y14" s="99">
        <v>100</v>
      </c>
      <c r="Z14" s="99">
        <v>100</v>
      </c>
      <c r="AA14" s="99">
        <v>100</v>
      </c>
      <c r="AB14" s="99">
        <v>100</v>
      </c>
      <c r="AC14" s="99">
        <v>100</v>
      </c>
      <c r="AD14" s="99">
        <v>100</v>
      </c>
      <c r="AE14" s="99">
        <v>100</v>
      </c>
      <c r="AF14" s="99">
        <v>100</v>
      </c>
      <c r="AG14" s="99">
        <v>100</v>
      </c>
      <c r="AH14" s="99">
        <v>100</v>
      </c>
      <c r="AI14" s="99">
        <v>100</v>
      </c>
      <c r="AJ14" s="99">
        <v>100</v>
      </c>
      <c r="AK14" s="99">
        <v>100</v>
      </c>
      <c r="AL14" s="99">
        <v>100</v>
      </c>
      <c r="AM14" s="99">
        <v>100</v>
      </c>
      <c r="AN14" s="99">
        <v>100</v>
      </c>
    </row>
    <row r="15" spans="1:49" s="30" customFormat="1" ht="15.6">
      <c r="A15"/>
      <c r="B15" s="29"/>
      <c r="C15" s="44" t="s">
        <v>876</v>
      </c>
      <c r="D15" s="39" t="s">
        <v>26</v>
      </c>
      <c r="E15" s="39" t="s">
        <v>251</v>
      </c>
      <c r="F15" t="s">
        <v>627</v>
      </c>
      <c r="G15" s="41">
        <f>VLOOKUP(F15,'(3) Demographie &amp; Departements'!$G$8:$J$526,4,0)</f>
        <v>7956.2094426312433</v>
      </c>
      <c r="H15" s="96">
        <f t="shared" si="0"/>
        <v>3659.8563436103723</v>
      </c>
      <c r="I15" s="130">
        <f t="shared" si="1"/>
        <v>0.95</v>
      </c>
      <c r="J15" s="42">
        <f t="shared" si="2"/>
        <v>0.85</v>
      </c>
      <c r="K15" s="131">
        <f t="shared" si="3"/>
        <v>0.75</v>
      </c>
      <c r="L15" s="42"/>
      <c r="M15" s="42"/>
      <c r="N15" s="39" t="s">
        <v>26</v>
      </c>
      <c r="O15" s="39" t="s">
        <v>251</v>
      </c>
      <c r="P15" t="s">
        <v>627</v>
      </c>
      <c r="Q15" s="99">
        <v>100</v>
      </c>
      <c r="R15" s="99">
        <v>100</v>
      </c>
      <c r="S15" s="99">
        <v>100</v>
      </c>
      <c r="T15" s="99">
        <v>91.118566508651</v>
      </c>
      <c r="U15" s="99">
        <v>91.167470742984705</v>
      </c>
      <c r="V15" s="99">
        <v>100</v>
      </c>
      <c r="W15" s="99">
        <v>93.354218844102604</v>
      </c>
      <c r="X15" s="99">
        <v>100</v>
      </c>
      <c r="Y15" s="99">
        <v>99.987176749490899</v>
      </c>
      <c r="Z15" s="99">
        <v>100</v>
      </c>
      <c r="AA15" s="99">
        <v>100</v>
      </c>
      <c r="AB15" s="99">
        <v>100</v>
      </c>
      <c r="AC15" s="99">
        <v>100</v>
      </c>
      <c r="AD15" s="99">
        <v>100</v>
      </c>
      <c r="AE15" s="99">
        <v>86.299556182666194</v>
      </c>
      <c r="AF15" s="99">
        <v>88.682365011140604</v>
      </c>
      <c r="AG15" s="99">
        <v>99.597556608349805</v>
      </c>
      <c r="AH15" s="99">
        <v>98.516627111552097</v>
      </c>
      <c r="AI15" s="99">
        <v>99.316490380031397</v>
      </c>
      <c r="AJ15" s="99">
        <v>100</v>
      </c>
      <c r="AK15" s="99">
        <v>98.911061155943003</v>
      </c>
      <c r="AL15" s="99">
        <v>98.347001220569993</v>
      </c>
      <c r="AM15" s="99">
        <v>100</v>
      </c>
      <c r="AN15" s="99">
        <v>85.203439290124905</v>
      </c>
    </row>
    <row r="16" spans="1:49" s="30" customFormat="1" ht="15.6">
      <c r="A16"/>
      <c r="B16" s="29"/>
      <c r="C16" s="44" t="s">
        <v>876</v>
      </c>
      <c r="D16" s="39" t="s">
        <v>26</v>
      </c>
      <c r="E16" s="39" t="s">
        <v>278</v>
      </c>
      <c r="F16" t="s">
        <v>628</v>
      </c>
      <c r="G16" s="41">
        <f>VLOOKUP(F16,'(3) Demographie &amp; Departements'!$G$8:$J$526,4,0)</f>
        <v>22571.866893222639</v>
      </c>
      <c r="H16" s="96">
        <f t="shared" si="0"/>
        <v>10383.058770882415</v>
      </c>
      <c r="I16" s="130">
        <f t="shared" si="1"/>
        <v>0.95</v>
      </c>
      <c r="J16" s="42">
        <f t="shared" si="2"/>
        <v>0.85</v>
      </c>
      <c r="K16" s="131">
        <f t="shared" si="3"/>
        <v>0.75</v>
      </c>
      <c r="L16" s="42"/>
      <c r="M16" s="42"/>
      <c r="N16" s="39" t="s">
        <v>26</v>
      </c>
      <c r="O16" s="39" t="s">
        <v>278</v>
      </c>
      <c r="P16" t="s">
        <v>628</v>
      </c>
      <c r="Q16" s="99">
        <v>100</v>
      </c>
      <c r="R16" s="99">
        <v>100</v>
      </c>
      <c r="S16" s="99">
        <v>100</v>
      </c>
      <c r="T16" s="99">
        <v>100</v>
      </c>
      <c r="U16" s="99">
        <v>100</v>
      </c>
      <c r="V16" s="99">
        <v>100</v>
      </c>
      <c r="W16" s="99">
        <v>100</v>
      </c>
      <c r="X16" s="99">
        <v>100</v>
      </c>
      <c r="Y16" s="99">
        <v>100</v>
      </c>
      <c r="Z16" s="99">
        <v>100</v>
      </c>
      <c r="AA16" s="99">
        <v>100</v>
      </c>
      <c r="AB16" s="99">
        <v>100</v>
      </c>
      <c r="AC16" s="99">
        <v>100</v>
      </c>
      <c r="AD16" s="99">
        <v>100</v>
      </c>
      <c r="AE16" s="99">
        <v>100</v>
      </c>
      <c r="AF16" s="99">
        <v>100</v>
      </c>
      <c r="AG16" s="99">
        <v>100</v>
      </c>
      <c r="AH16" s="99">
        <v>100</v>
      </c>
      <c r="AI16" s="99">
        <v>100</v>
      </c>
      <c r="AJ16" s="99">
        <v>100</v>
      </c>
      <c r="AK16" s="99">
        <v>100</v>
      </c>
      <c r="AL16" s="99">
        <v>100</v>
      </c>
      <c r="AM16" s="99">
        <v>100</v>
      </c>
      <c r="AN16" s="99">
        <v>100</v>
      </c>
    </row>
    <row r="17" spans="1:40" s="30" customFormat="1" ht="15.6">
      <c r="A17"/>
      <c r="B17" s="29"/>
      <c r="C17" s="44" t="s">
        <v>876</v>
      </c>
      <c r="D17" s="39" t="s">
        <v>26</v>
      </c>
      <c r="E17" s="39" t="s">
        <v>576</v>
      </c>
      <c r="F17" t="s">
        <v>629</v>
      </c>
      <c r="G17" s="41">
        <f>VLOOKUP(F17,'(3) Demographie &amp; Departements'!$G$8:$J$526,4,0)</f>
        <v>9919.533800852163</v>
      </c>
      <c r="H17" s="96">
        <f t="shared" si="0"/>
        <v>4562.9855483919955</v>
      </c>
      <c r="I17" s="130">
        <f t="shared" si="1"/>
        <v>0.95</v>
      </c>
      <c r="J17" s="42">
        <f t="shared" si="2"/>
        <v>0.85</v>
      </c>
      <c r="K17" s="131">
        <f t="shared" si="3"/>
        <v>0.75</v>
      </c>
      <c r="L17" s="42"/>
      <c r="M17" s="42"/>
      <c r="N17" s="39" t="s">
        <v>26</v>
      </c>
      <c r="O17" s="39" t="s">
        <v>576</v>
      </c>
      <c r="P17" t="s">
        <v>629</v>
      </c>
      <c r="Q17" s="99">
        <v>100</v>
      </c>
      <c r="R17" s="99">
        <v>100</v>
      </c>
      <c r="S17" s="99">
        <v>100</v>
      </c>
      <c r="T17" s="99">
        <v>92.135986093993196</v>
      </c>
      <c r="U17" s="99">
        <v>100</v>
      </c>
      <c r="V17" s="99">
        <v>100</v>
      </c>
      <c r="W17" s="99">
        <v>100</v>
      </c>
      <c r="X17" s="99">
        <v>100</v>
      </c>
      <c r="Y17" s="99">
        <v>100</v>
      </c>
      <c r="Z17" s="99">
        <v>100</v>
      </c>
      <c r="AA17" s="99">
        <v>100</v>
      </c>
      <c r="AB17" s="99">
        <v>100</v>
      </c>
      <c r="AC17" s="99">
        <v>97.575032131098794</v>
      </c>
      <c r="AD17" s="99">
        <v>100</v>
      </c>
      <c r="AE17" s="99">
        <v>90.180960559634102</v>
      </c>
      <c r="AF17" s="99">
        <v>100</v>
      </c>
      <c r="AG17" s="99">
        <v>100</v>
      </c>
      <c r="AH17" s="99">
        <v>100</v>
      </c>
      <c r="AI17" s="99">
        <v>100</v>
      </c>
      <c r="AJ17" s="99">
        <v>100</v>
      </c>
      <c r="AK17" s="99">
        <v>100</v>
      </c>
      <c r="AL17" s="99">
        <v>100</v>
      </c>
      <c r="AM17" s="99">
        <v>100</v>
      </c>
      <c r="AN17" s="99">
        <v>100</v>
      </c>
    </row>
    <row r="18" spans="1:40" s="30" customFormat="1" ht="15.6">
      <c r="A18"/>
      <c r="B18" s="29"/>
      <c r="C18" s="44" t="s">
        <v>876</v>
      </c>
      <c r="D18" s="39" t="s">
        <v>26</v>
      </c>
      <c r="E18" s="39" t="s">
        <v>270</v>
      </c>
      <c r="F18" t="s">
        <v>630</v>
      </c>
      <c r="G18" s="41">
        <f>VLOOKUP(F18,'(3) Demographie &amp; Departements'!$G$8:$J$526,4,0)</f>
        <v>45625.369935829083</v>
      </c>
      <c r="H18" s="96">
        <f t="shared" si="0"/>
        <v>20987.670170481379</v>
      </c>
      <c r="I18" s="130">
        <f t="shared" si="1"/>
        <v>0.95</v>
      </c>
      <c r="J18" s="42">
        <f t="shared" si="2"/>
        <v>0.85</v>
      </c>
      <c r="K18" s="131">
        <f t="shared" si="3"/>
        <v>0.75</v>
      </c>
      <c r="L18" s="42"/>
      <c r="M18" s="42"/>
      <c r="N18" s="39" t="s">
        <v>26</v>
      </c>
      <c r="O18" s="39" t="s">
        <v>270</v>
      </c>
      <c r="P18" t="s">
        <v>630</v>
      </c>
      <c r="Q18" s="99">
        <v>100</v>
      </c>
      <c r="R18" s="99">
        <v>100</v>
      </c>
      <c r="S18" s="99">
        <v>100</v>
      </c>
      <c r="T18" s="99">
        <v>100</v>
      </c>
      <c r="U18" s="99">
        <v>100</v>
      </c>
      <c r="V18" s="99">
        <v>100</v>
      </c>
      <c r="W18" s="99">
        <v>100</v>
      </c>
      <c r="X18" s="99">
        <v>100</v>
      </c>
      <c r="Y18" s="99">
        <v>100</v>
      </c>
      <c r="Z18" s="99">
        <v>100</v>
      </c>
      <c r="AA18" s="99">
        <v>100</v>
      </c>
      <c r="AB18" s="99">
        <v>100</v>
      </c>
      <c r="AC18" s="99">
        <v>100</v>
      </c>
      <c r="AD18" s="99">
        <v>100</v>
      </c>
      <c r="AE18" s="99">
        <v>100</v>
      </c>
      <c r="AF18" s="99">
        <v>99.964310890931003</v>
      </c>
      <c r="AG18" s="99">
        <v>100</v>
      </c>
      <c r="AH18" s="99">
        <v>100</v>
      </c>
      <c r="AI18" s="99">
        <v>100</v>
      </c>
      <c r="AJ18" s="99">
        <v>100</v>
      </c>
      <c r="AK18" s="99">
        <v>100</v>
      </c>
      <c r="AL18" s="99">
        <v>100</v>
      </c>
      <c r="AM18" s="99">
        <v>100</v>
      </c>
      <c r="AN18" s="99">
        <v>96.026325039869803</v>
      </c>
    </row>
    <row r="19" spans="1:40" s="30" customFormat="1" ht="15.6">
      <c r="A19"/>
      <c r="B19" s="29"/>
      <c r="C19" s="44" t="s">
        <v>876</v>
      </c>
      <c r="D19" s="39" t="s">
        <v>26</v>
      </c>
      <c r="E19" s="39" t="s">
        <v>278</v>
      </c>
      <c r="F19" t="s">
        <v>631</v>
      </c>
      <c r="G19" s="41">
        <f>VLOOKUP(F19,'(3) Demographie &amp; Departements'!$G$8:$J$526,4,0)</f>
        <v>11495.067602430781</v>
      </c>
      <c r="H19" s="96">
        <f t="shared" si="0"/>
        <v>5287.7310971181596</v>
      </c>
      <c r="I19" s="130">
        <f t="shared" si="1"/>
        <v>0.95</v>
      </c>
      <c r="J19" s="42">
        <f t="shared" si="2"/>
        <v>0.85</v>
      </c>
      <c r="K19" s="131">
        <f t="shared" si="3"/>
        <v>0.75</v>
      </c>
      <c r="L19" s="42"/>
      <c r="M19" s="42"/>
      <c r="N19" s="39" t="s">
        <v>26</v>
      </c>
      <c r="O19" s="39" t="s">
        <v>278</v>
      </c>
      <c r="P19" t="s">
        <v>631</v>
      </c>
      <c r="Q19" s="99">
        <v>100</v>
      </c>
      <c r="R19" s="99">
        <v>100</v>
      </c>
      <c r="S19" s="99">
        <v>100</v>
      </c>
      <c r="T19" s="99">
        <v>100</v>
      </c>
      <c r="U19" s="99">
        <v>100</v>
      </c>
      <c r="V19" s="99">
        <v>100</v>
      </c>
      <c r="W19" s="99">
        <v>100</v>
      </c>
      <c r="X19" s="99">
        <v>100</v>
      </c>
      <c r="Y19" s="99">
        <v>100</v>
      </c>
      <c r="Z19" s="99">
        <v>100</v>
      </c>
      <c r="AA19" s="99">
        <v>100</v>
      </c>
      <c r="AB19" s="99">
        <v>100</v>
      </c>
      <c r="AC19" s="99">
        <v>100</v>
      </c>
      <c r="AD19" s="99">
        <v>100</v>
      </c>
      <c r="AE19" s="99">
        <v>100</v>
      </c>
      <c r="AF19" s="99">
        <v>100</v>
      </c>
      <c r="AG19" s="99">
        <v>100</v>
      </c>
      <c r="AH19" s="99">
        <v>100</v>
      </c>
      <c r="AI19" s="99">
        <v>100</v>
      </c>
      <c r="AJ19" s="99">
        <v>100</v>
      </c>
      <c r="AK19" s="99">
        <v>100</v>
      </c>
      <c r="AL19" s="99">
        <v>100</v>
      </c>
      <c r="AM19" s="99">
        <v>100</v>
      </c>
      <c r="AN19" s="99">
        <v>100</v>
      </c>
    </row>
    <row r="20" spans="1:40" s="30" customFormat="1" ht="15.6">
      <c r="A20"/>
      <c r="B20" s="29"/>
      <c r="C20" s="44" t="s">
        <v>876</v>
      </c>
      <c r="D20" s="39" t="s">
        <v>26</v>
      </c>
      <c r="E20" s="39" t="s">
        <v>273</v>
      </c>
      <c r="F20" t="s">
        <v>632</v>
      </c>
      <c r="G20" s="41">
        <f>VLOOKUP(F20,'(3) Demographie &amp; Departements'!$G$8:$J$526,4,0)</f>
        <v>21961.698012820983</v>
      </c>
      <c r="H20" s="96">
        <f t="shared" si="0"/>
        <v>10102.381085897652</v>
      </c>
      <c r="I20" s="130">
        <f t="shared" si="1"/>
        <v>0.95</v>
      </c>
      <c r="J20" s="42">
        <f t="shared" si="2"/>
        <v>0.85</v>
      </c>
      <c r="K20" s="131">
        <f t="shared" si="3"/>
        <v>0.75</v>
      </c>
      <c r="L20" s="42"/>
      <c r="M20" s="42"/>
      <c r="N20" s="39" t="s">
        <v>26</v>
      </c>
      <c r="O20" s="39" t="s">
        <v>273</v>
      </c>
      <c r="P20" t="s">
        <v>632</v>
      </c>
      <c r="Q20" s="99">
        <v>100</v>
      </c>
      <c r="R20" s="99">
        <v>100</v>
      </c>
      <c r="S20" s="99">
        <v>100</v>
      </c>
      <c r="T20" s="99">
        <v>100</v>
      </c>
      <c r="U20" s="99">
        <v>100</v>
      </c>
      <c r="V20" s="99">
        <v>100</v>
      </c>
      <c r="W20" s="99">
        <v>99.852603304272606</v>
      </c>
      <c r="X20" s="99">
        <v>100</v>
      </c>
      <c r="Y20" s="99">
        <v>100</v>
      </c>
      <c r="Z20" s="99">
        <v>100</v>
      </c>
      <c r="AA20" s="99">
        <v>100</v>
      </c>
      <c r="AB20" s="99">
        <v>100</v>
      </c>
      <c r="AC20" s="99">
        <v>100</v>
      </c>
      <c r="AD20" s="99">
        <v>100</v>
      </c>
      <c r="AE20" s="99">
        <v>99.493040149915302</v>
      </c>
      <c r="AF20" s="99">
        <v>100</v>
      </c>
      <c r="AG20" s="99">
        <v>100</v>
      </c>
      <c r="AH20" s="99">
        <v>100</v>
      </c>
      <c r="AI20" s="99">
        <v>100</v>
      </c>
      <c r="AJ20" s="99">
        <v>100</v>
      </c>
      <c r="AK20" s="99">
        <v>100</v>
      </c>
      <c r="AL20" s="99">
        <v>100</v>
      </c>
      <c r="AM20" s="99">
        <v>100</v>
      </c>
      <c r="AN20" s="99">
        <v>98.725414655487299</v>
      </c>
    </row>
    <row r="21" spans="1:40" s="30" customFormat="1" ht="15.6">
      <c r="A21"/>
      <c r="B21" s="29"/>
      <c r="C21" s="44" t="s">
        <v>876</v>
      </c>
      <c r="D21" s="39" t="s">
        <v>26</v>
      </c>
      <c r="E21" s="39" t="s">
        <v>598</v>
      </c>
      <c r="F21" t="s">
        <v>633</v>
      </c>
      <c r="G21" s="41">
        <f>VLOOKUP(F21,'(3) Demographie &amp; Departements'!$G$8:$J$526,4,0)</f>
        <v>45293.371597575504</v>
      </c>
      <c r="H21" s="96">
        <f t="shared" si="0"/>
        <v>20834.950934884731</v>
      </c>
      <c r="I21" s="130">
        <f t="shared" si="1"/>
        <v>0.95</v>
      </c>
      <c r="J21" s="42">
        <f t="shared" si="2"/>
        <v>0.85</v>
      </c>
      <c r="K21" s="131">
        <f t="shared" si="3"/>
        <v>0.75</v>
      </c>
      <c r="L21" s="42"/>
      <c r="M21" s="42"/>
      <c r="N21" s="39" t="s">
        <v>26</v>
      </c>
      <c r="O21" s="39" t="s">
        <v>598</v>
      </c>
      <c r="P21" t="s">
        <v>633</v>
      </c>
      <c r="Q21" s="99">
        <v>100</v>
      </c>
      <c r="R21" s="99">
        <v>100</v>
      </c>
      <c r="S21" s="99">
        <v>100</v>
      </c>
      <c r="T21" s="99">
        <v>89.0200501238117</v>
      </c>
      <c r="U21" s="99">
        <v>99.104453775663799</v>
      </c>
      <c r="V21" s="99">
        <v>100</v>
      </c>
      <c r="W21" s="99">
        <v>100</v>
      </c>
      <c r="X21" s="99">
        <v>100</v>
      </c>
      <c r="Y21" s="99">
        <v>100</v>
      </c>
      <c r="Z21" s="99">
        <v>100</v>
      </c>
      <c r="AA21" s="99">
        <v>100</v>
      </c>
      <c r="AB21" s="99">
        <v>100</v>
      </c>
      <c r="AC21" s="99">
        <v>89.014877606954798</v>
      </c>
      <c r="AD21" s="99">
        <v>100</v>
      </c>
      <c r="AE21" s="99">
        <v>87.307915716052705</v>
      </c>
      <c r="AF21" s="99">
        <v>99.719391746793505</v>
      </c>
      <c r="AG21" s="99">
        <v>99.974953531405106</v>
      </c>
      <c r="AH21" s="99">
        <v>100</v>
      </c>
      <c r="AI21" s="99">
        <v>100</v>
      </c>
      <c r="AJ21" s="99">
        <v>100</v>
      </c>
      <c r="AK21" s="99">
        <v>100</v>
      </c>
      <c r="AL21" s="99">
        <v>100</v>
      </c>
      <c r="AM21" s="99">
        <v>100</v>
      </c>
      <c r="AN21" s="99">
        <v>100</v>
      </c>
    </row>
    <row r="22" spans="1:40" s="30" customFormat="1" ht="15.6">
      <c r="A22"/>
      <c r="B22" s="29"/>
      <c r="C22" s="44" t="s">
        <v>876</v>
      </c>
      <c r="D22" s="39" t="s">
        <v>26</v>
      </c>
      <c r="E22" s="39" t="s">
        <v>97</v>
      </c>
      <c r="F22" t="s">
        <v>634</v>
      </c>
      <c r="G22" s="41">
        <f>VLOOKUP(F22,'(3) Demographie &amp; Departements'!$G$8:$J$526,4,0)</f>
        <v>14863.204659968644</v>
      </c>
      <c r="H22" s="96">
        <f t="shared" si="0"/>
        <v>6837.0741435855762</v>
      </c>
      <c r="I22" s="130">
        <f t="shared" si="1"/>
        <v>0.95</v>
      </c>
      <c r="J22" s="42">
        <f t="shared" si="2"/>
        <v>0.85</v>
      </c>
      <c r="K22" s="131">
        <f t="shared" si="3"/>
        <v>0.75</v>
      </c>
      <c r="L22" s="42"/>
      <c r="M22" s="42"/>
      <c r="N22" s="39" t="s">
        <v>26</v>
      </c>
      <c r="O22" s="39" t="s">
        <v>97</v>
      </c>
      <c r="P22" t="s">
        <v>634</v>
      </c>
      <c r="Q22" s="99">
        <v>100</v>
      </c>
      <c r="R22" s="99">
        <v>100</v>
      </c>
      <c r="S22" s="99">
        <v>100</v>
      </c>
      <c r="T22" s="99">
        <v>100</v>
      </c>
      <c r="U22" s="99">
        <v>100</v>
      </c>
      <c r="V22" s="99">
        <v>100</v>
      </c>
      <c r="W22" s="99">
        <v>100</v>
      </c>
      <c r="X22" s="99">
        <v>100</v>
      </c>
      <c r="Y22" s="99">
        <v>100</v>
      </c>
      <c r="Z22" s="99">
        <v>100</v>
      </c>
      <c r="AA22" s="99">
        <v>100</v>
      </c>
      <c r="AB22" s="99">
        <v>100</v>
      </c>
      <c r="AC22" s="99">
        <v>100</v>
      </c>
      <c r="AD22" s="99">
        <v>100</v>
      </c>
      <c r="AE22" s="99">
        <v>99.811662820656593</v>
      </c>
      <c r="AF22" s="99">
        <v>100</v>
      </c>
      <c r="AG22" s="99">
        <v>100</v>
      </c>
      <c r="AH22" s="99">
        <v>100</v>
      </c>
      <c r="AI22" s="99">
        <v>100</v>
      </c>
      <c r="AJ22" s="99">
        <v>100</v>
      </c>
      <c r="AK22" s="99">
        <v>100</v>
      </c>
      <c r="AL22" s="99">
        <v>100</v>
      </c>
      <c r="AM22" s="99">
        <v>100</v>
      </c>
      <c r="AN22" s="99">
        <v>100</v>
      </c>
    </row>
    <row r="23" spans="1:40" s="30" customFormat="1" ht="15.6">
      <c r="A23"/>
      <c r="B23" s="29"/>
      <c r="C23" s="44" t="s">
        <v>876</v>
      </c>
      <c r="D23" s="39" t="s">
        <v>26</v>
      </c>
      <c r="E23" s="39" t="s">
        <v>513</v>
      </c>
      <c r="F23" t="s">
        <v>635</v>
      </c>
      <c r="G23" s="41">
        <f>VLOOKUP(F23,'(3) Demographie &amp; Departements'!$G$8:$J$526,4,0)</f>
        <v>16278.257381178977</v>
      </c>
      <c r="H23" s="96">
        <f t="shared" si="0"/>
        <v>7487.9983953423298</v>
      </c>
      <c r="I23" s="130">
        <f t="shared" si="1"/>
        <v>0.95</v>
      </c>
      <c r="J23" s="42">
        <f t="shared" si="2"/>
        <v>0.85</v>
      </c>
      <c r="K23" s="131">
        <f t="shared" si="3"/>
        <v>0.75</v>
      </c>
      <c r="L23" s="42"/>
      <c r="M23" s="42"/>
      <c r="N23" s="39" t="s">
        <v>26</v>
      </c>
      <c r="O23" s="39" t="s">
        <v>513</v>
      </c>
      <c r="P23" t="s">
        <v>635</v>
      </c>
      <c r="Q23" s="99">
        <v>100</v>
      </c>
      <c r="R23" s="99">
        <v>99.666659067333299</v>
      </c>
      <c r="S23" s="99">
        <v>99.164842442634097</v>
      </c>
      <c r="T23" s="99">
        <v>100</v>
      </c>
      <c r="U23" s="99">
        <v>99.736665742815205</v>
      </c>
      <c r="V23" s="99">
        <v>100</v>
      </c>
      <c r="W23" s="99">
        <v>94.991926828534801</v>
      </c>
      <c r="X23" s="99">
        <v>100</v>
      </c>
      <c r="Y23" s="99">
        <v>98.704202960046203</v>
      </c>
      <c r="Z23" s="99">
        <v>99.574218031640498</v>
      </c>
      <c r="AA23" s="99">
        <v>99.537271069621397</v>
      </c>
      <c r="AB23" s="99">
        <v>100</v>
      </c>
      <c r="AC23" s="99">
        <v>100</v>
      </c>
      <c r="AD23" s="99">
        <v>100</v>
      </c>
      <c r="AE23" s="99">
        <v>96.3824222698954</v>
      </c>
      <c r="AF23" s="99">
        <v>100</v>
      </c>
      <c r="AG23" s="99">
        <v>99.571991154240493</v>
      </c>
      <c r="AH23" s="99">
        <v>97.203815195242299</v>
      </c>
      <c r="AI23" s="99">
        <v>99.503376320555802</v>
      </c>
      <c r="AJ23" s="99">
        <v>99.990469573242507</v>
      </c>
      <c r="AK23" s="99">
        <v>99.909611813813001</v>
      </c>
      <c r="AL23" s="99">
        <v>100</v>
      </c>
      <c r="AM23" s="99">
        <v>100</v>
      </c>
      <c r="AN23" s="99">
        <v>96.652585854286997</v>
      </c>
    </row>
    <row r="24" spans="1:40" s="30" customFormat="1" ht="15.6">
      <c r="A24"/>
      <c r="B24" s="29"/>
      <c r="C24" s="44" t="s">
        <v>876</v>
      </c>
      <c r="D24" s="39" t="s">
        <v>26</v>
      </c>
      <c r="E24" s="39" t="s">
        <v>429</v>
      </c>
      <c r="F24" t="s">
        <v>636</v>
      </c>
      <c r="G24" s="41">
        <f>VLOOKUP(F24,'(3) Demographie &amp; Departements'!$G$8:$J$526,4,0)</f>
        <v>24476.403282153969</v>
      </c>
      <c r="H24" s="96">
        <f t="shared" si="0"/>
        <v>11259.145509790826</v>
      </c>
      <c r="I24" s="130">
        <f t="shared" si="1"/>
        <v>0.95</v>
      </c>
      <c r="J24" s="42">
        <f t="shared" si="2"/>
        <v>0.85</v>
      </c>
      <c r="K24" s="131">
        <f t="shared" si="3"/>
        <v>0.75</v>
      </c>
      <c r="L24" s="42"/>
      <c r="M24" s="42"/>
      <c r="N24" s="39" t="s">
        <v>26</v>
      </c>
      <c r="O24" s="39" t="s">
        <v>429</v>
      </c>
      <c r="P24" t="s">
        <v>636</v>
      </c>
      <c r="Q24" s="99">
        <v>100</v>
      </c>
      <c r="R24" s="99">
        <v>100</v>
      </c>
      <c r="S24" s="99">
        <v>100</v>
      </c>
      <c r="T24" s="99">
        <v>100</v>
      </c>
      <c r="U24" s="99">
        <v>100</v>
      </c>
      <c r="V24" s="99">
        <v>100</v>
      </c>
      <c r="W24" s="99">
        <v>97.649176614486805</v>
      </c>
      <c r="X24" s="99">
        <v>100</v>
      </c>
      <c r="Y24" s="99">
        <v>96.621167928239004</v>
      </c>
      <c r="Z24" s="99">
        <v>99.631145629028296</v>
      </c>
      <c r="AA24" s="99">
        <v>100</v>
      </c>
      <c r="AB24" s="99">
        <v>100</v>
      </c>
      <c r="AC24" s="99">
        <v>99.766202058971203</v>
      </c>
      <c r="AD24" s="99">
        <v>100</v>
      </c>
      <c r="AE24" s="99">
        <v>93.676144400038794</v>
      </c>
      <c r="AF24" s="99">
        <v>100</v>
      </c>
      <c r="AG24" s="99">
        <v>100</v>
      </c>
      <c r="AH24" s="99">
        <v>99.651680927285099</v>
      </c>
      <c r="AI24" s="99">
        <v>98.644116340334406</v>
      </c>
      <c r="AJ24" s="99">
        <v>100</v>
      </c>
      <c r="AK24" s="99">
        <v>100</v>
      </c>
      <c r="AL24" s="99">
        <v>100</v>
      </c>
      <c r="AM24" s="99">
        <v>100</v>
      </c>
      <c r="AN24" s="99">
        <v>95.171843706602203</v>
      </c>
    </row>
    <row r="25" spans="1:40" s="30" customFormat="1" ht="15.6">
      <c r="A25"/>
      <c r="B25" s="29"/>
      <c r="C25" s="44" t="s">
        <v>876</v>
      </c>
      <c r="D25" s="39" t="s">
        <v>26</v>
      </c>
      <c r="E25" s="39" t="s">
        <v>498</v>
      </c>
      <c r="F25" t="s">
        <v>637</v>
      </c>
      <c r="G25" s="41">
        <f>VLOOKUP(F25,'(3) Demographie &amp; Departements'!$G$8:$J$526,4,0)</f>
        <v>85599.621213609978</v>
      </c>
      <c r="H25" s="96">
        <f t="shared" si="0"/>
        <v>39375.825758260595</v>
      </c>
      <c r="I25" s="130">
        <f t="shared" si="1"/>
        <v>0.95</v>
      </c>
      <c r="J25" s="42">
        <f t="shared" si="2"/>
        <v>0.85</v>
      </c>
      <c r="K25" s="131">
        <f t="shared" si="3"/>
        <v>0.75</v>
      </c>
      <c r="L25" s="42"/>
      <c r="M25" s="42"/>
      <c r="N25" s="39" t="s">
        <v>26</v>
      </c>
      <c r="O25" s="39" t="s">
        <v>498</v>
      </c>
      <c r="P25" t="s">
        <v>637</v>
      </c>
      <c r="Q25" s="99">
        <v>99.333910278506295</v>
      </c>
      <c r="R25" s="99">
        <v>99.438355177333406</v>
      </c>
      <c r="S25" s="99">
        <v>99.910776984521704</v>
      </c>
      <c r="T25" s="99">
        <v>99.7299823687475</v>
      </c>
      <c r="U25" s="99">
        <v>99.147304206838697</v>
      </c>
      <c r="V25" s="99">
        <v>99.986776512074798</v>
      </c>
      <c r="W25" s="99">
        <v>87.239722148409697</v>
      </c>
      <c r="X25" s="99">
        <v>98.132195640774796</v>
      </c>
      <c r="Y25" s="99">
        <v>99.0982791167459</v>
      </c>
      <c r="Z25" s="99">
        <v>98.2159026032936</v>
      </c>
      <c r="AA25" s="99">
        <v>96.236993449927297</v>
      </c>
      <c r="AB25" s="99">
        <v>99.869020419655996</v>
      </c>
      <c r="AC25" s="99">
        <v>99.820652736740001</v>
      </c>
      <c r="AD25" s="99">
        <v>99.962554166585605</v>
      </c>
      <c r="AE25" s="99">
        <v>89.923719983180405</v>
      </c>
      <c r="AF25" s="99">
        <v>96.467064505578406</v>
      </c>
      <c r="AG25" s="99">
        <v>99.551400494271405</v>
      </c>
      <c r="AH25" s="99">
        <v>99.297318162322696</v>
      </c>
      <c r="AI25" s="99">
        <v>88.812947129566695</v>
      </c>
      <c r="AJ25" s="99">
        <v>98.588615311250393</v>
      </c>
      <c r="AK25" s="99">
        <v>99.158650178548598</v>
      </c>
      <c r="AL25" s="99">
        <v>99.774314756921797</v>
      </c>
      <c r="AM25" s="99">
        <v>100</v>
      </c>
      <c r="AN25" s="99">
        <v>93.007291048556993</v>
      </c>
    </row>
    <row r="26" spans="1:40" s="30" customFormat="1" ht="15.6">
      <c r="A26"/>
      <c r="B26" s="29"/>
      <c r="C26" s="44" t="s">
        <v>876</v>
      </c>
      <c r="D26" s="39" t="s">
        <v>26</v>
      </c>
      <c r="E26" s="39" t="s">
        <v>594</v>
      </c>
      <c r="F26" t="s">
        <v>638</v>
      </c>
      <c r="G26" s="41">
        <f>VLOOKUP(F26,'(3) Demographie &amp; Departements'!$G$8:$J$526,4,0)</f>
        <v>11264.25495433186</v>
      </c>
      <c r="H26" s="96">
        <f t="shared" si="0"/>
        <v>5181.5572789926555</v>
      </c>
      <c r="I26" s="130">
        <f t="shared" si="1"/>
        <v>0.95</v>
      </c>
      <c r="J26" s="42">
        <f t="shared" si="2"/>
        <v>0.85</v>
      </c>
      <c r="K26" s="131">
        <f t="shared" si="3"/>
        <v>0.75</v>
      </c>
      <c r="L26" s="42"/>
      <c r="M26" s="42"/>
      <c r="N26" s="39" t="s">
        <v>26</v>
      </c>
      <c r="O26" s="39" t="s">
        <v>594</v>
      </c>
      <c r="P26" t="s">
        <v>638</v>
      </c>
      <c r="Q26" s="99">
        <v>100</v>
      </c>
      <c r="R26" s="99">
        <v>100</v>
      </c>
      <c r="S26" s="99">
        <v>100</v>
      </c>
      <c r="T26" s="99">
        <v>85.908062541737493</v>
      </c>
      <c r="U26" s="99">
        <v>79.804772376398205</v>
      </c>
      <c r="V26" s="99">
        <v>100</v>
      </c>
      <c r="W26" s="99">
        <v>86.4832818687849</v>
      </c>
      <c r="X26" s="99">
        <v>100</v>
      </c>
      <c r="Y26" s="99">
        <v>100</v>
      </c>
      <c r="Z26" s="99">
        <v>100</v>
      </c>
      <c r="AA26" s="99">
        <v>100</v>
      </c>
      <c r="AB26" s="99">
        <v>100</v>
      </c>
      <c r="AC26" s="99">
        <v>83.665801385793699</v>
      </c>
      <c r="AD26" s="99">
        <v>94.864970365772706</v>
      </c>
      <c r="AE26" s="99">
        <v>68.680338946914205</v>
      </c>
      <c r="AF26" s="99">
        <v>82.755035773636493</v>
      </c>
      <c r="AG26" s="99">
        <v>98.377575040697806</v>
      </c>
      <c r="AH26" s="99">
        <v>93.621181513640096</v>
      </c>
      <c r="AI26" s="99">
        <v>99.274652622913806</v>
      </c>
      <c r="AJ26" s="99">
        <v>100</v>
      </c>
      <c r="AK26" s="99">
        <v>99.411825825647597</v>
      </c>
      <c r="AL26" s="99">
        <v>99.754069855202999</v>
      </c>
      <c r="AM26" s="99">
        <v>100</v>
      </c>
      <c r="AN26" s="99">
        <v>91.929297230676596</v>
      </c>
    </row>
    <row r="27" spans="1:40" s="30" customFormat="1" ht="15.6">
      <c r="A27"/>
      <c r="B27" s="29"/>
      <c r="C27" s="44" t="s">
        <v>876</v>
      </c>
      <c r="D27" s="39" t="s">
        <v>26</v>
      </c>
      <c r="E27" s="39" t="s">
        <v>257</v>
      </c>
      <c r="F27" t="s">
        <v>639</v>
      </c>
      <c r="G27" s="41">
        <f>VLOOKUP(F27,'(3) Demographie &amp; Departements'!$G$8:$J$526,4,0)</f>
        <v>24654.536970552515</v>
      </c>
      <c r="H27" s="96">
        <f t="shared" si="0"/>
        <v>11341.087006454158</v>
      </c>
      <c r="I27" s="130">
        <f t="shared" si="1"/>
        <v>0.95</v>
      </c>
      <c r="J27" s="42">
        <f t="shared" si="2"/>
        <v>0.85</v>
      </c>
      <c r="K27" s="131">
        <f t="shared" si="3"/>
        <v>0.75</v>
      </c>
      <c r="L27" s="42"/>
      <c r="M27" s="42"/>
      <c r="N27" s="39" t="s">
        <v>26</v>
      </c>
      <c r="O27" s="39" t="s">
        <v>257</v>
      </c>
      <c r="P27" t="s">
        <v>639</v>
      </c>
      <c r="Q27" s="99">
        <v>100</v>
      </c>
      <c r="R27" s="99">
        <v>100</v>
      </c>
      <c r="S27" s="99">
        <v>100</v>
      </c>
      <c r="T27" s="99">
        <v>100</v>
      </c>
      <c r="U27" s="99">
        <v>100</v>
      </c>
      <c r="V27" s="99">
        <v>100</v>
      </c>
      <c r="W27" s="99">
        <v>99.962860559014899</v>
      </c>
      <c r="X27" s="99">
        <v>100</v>
      </c>
      <c r="Y27" s="99">
        <v>100</v>
      </c>
      <c r="Z27" s="99">
        <v>100</v>
      </c>
      <c r="AA27" s="99">
        <v>100</v>
      </c>
      <c r="AB27" s="99">
        <v>100</v>
      </c>
      <c r="AC27" s="99">
        <v>100</v>
      </c>
      <c r="AD27" s="99">
        <v>100</v>
      </c>
      <c r="AE27" s="99">
        <v>99.846982297563002</v>
      </c>
      <c r="AF27" s="99">
        <v>100</v>
      </c>
      <c r="AG27" s="99">
        <v>100</v>
      </c>
      <c r="AH27" s="99">
        <v>100</v>
      </c>
      <c r="AI27" s="99">
        <v>100</v>
      </c>
      <c r="AJ27" s="99">
        <v>100</v>
      </c>
      <c r="AK27" s="99">
        <v>100</v>
      </c>
      <c r="AL27" s="99">
        <v>100</v>
      </c>
      <c r="AM27" s="99">
        <v>100</v>
      </c>
      <c r="AN27" s="99">
        <v>100</v>
      </c>
    </row>
    <row r="28" spans="1:40" s="30" customFormat="1" ht="15.6">
      <c r="A28"/>
      <c r="B28" s="29"/>
      <c r="C28" s="44" t="s">
        <v>876</v>
      </c>
      <c r="D28" s="39" t="s">
        <v>26</v>
      </c>
      <c r="E28" s="39" t="s">
        <v>588</v>
      </c>
      <c r="F28" t="s">
        <v>640</v>
      </c>
      <c r="G28" s="41">
        <f>VLOOKUP(F28,'(3) Demographie &amp; Departements'!$G$8:$J$526,4,0)</f>
        <v>11833.676983420068</v>
      </c>
      <c r="H28" s="96">
        <f t="shared" si="0"/>
        <v>5443.4914123732315</v>
      </c>
      <c r="I28" s="130">
        <f t="shared" si="1"/>
        <v>0.95</v>
      </c>
      <c r="J28" s="42">
        <f t="shared" si="2"/>
        <v>0.85</v>
      </c>
      <c r="K28" s="131">
        <f t="shared" si="3"/>
        <v>0.75</v>
      </c>
      <c r="L28" s="42"/>
      <c r="M28" s="42"/>
      <c r="N28" s="39" t="s">
        <v>26</v>
      </c>
      <c r="O28" s="39" t="s">
        <v>588</v>
      </c>
      <c r="P28" t="s">
        <v>640</v>
      </c>
      <c r="Q28" s="99">
        <v>100</v>
      </c>
      <c r="R28" s="99">
        <v>100</v>
      </c>
      <c r="S28" s="99">
        <v>100</v>
      </c>
      <c r="T28" s="99">
        <v>92.984627862962</v>
      </c>
      <c r="U28" s="99">
        <v>92.644933036172404</v>
      </c>
      <c r="V28" s="99">
        <v>100</v>
      </c>
      <c r="W28" s="99">
        <v>92.327530540720403</v>
      </c>
      <c r="X28" s="99">
        <v>100</v>
      </c>
      <c r="Y28" s="99">
        <v>100</v>
      </c>
      <c r="Z28" s="99">
        <v>100</v>
      </c>
      <c r="AA28" s="99">
        <v>100</v>
      </c>
      <c r="AB28" s="99">
        <v>100</v>
      </c>
      <c r="AC28" s="99">
        <v>94.962645862374998</v>
      </c>
      <c r="AD28" s="99">
        <v>99.959101355127004</v>
      </c>
      <c r="AE28" s="99">
        <v>87.946527319545993</v>
      </c>
      <c r="AF28" s="99">
        <v>96.886311062844598</v>
      </c>
      <c r="AG28" s="99">
        <v>99.838409487171901</v>
      </c>
      <c r="AH28" s="99">
        <v>97.899636961586296</v>
      </c>
      <c r="AI28" s="99">
        <v>100</v>
      </c>
      <c r="AJ28" s="99">
        <v>100</v>
      </c>
      <c r="AK28" s="99">
        <v>100</v>
      </c>
      <c r="AL28" s="99">
        <v>100</v>
      </c>
      <c r="AM28" s="99">
        <v>100</v>
      </c>
      <c r="AN28" s="99">
        <v>98.838897549792705</v>
      </c>
    </row>
    <row r="29" spans="1:40" s="30" customFormat="1" ht="15.6">
      <c r="A29"/>
      <c r="B29" s="29"/>
      <c r="C29" s="44" t="s">
        <v>876</v>
      </c>
      <c r="D29" s="39" t="s">
        <v>26</v>
      </c>
      <c r="E29" s="39" t="s">
        <v>257</v>
      </c>
      <c r="F29" t="s">
        <v>641</v>
      </c>
      <c r="G29" s="41">
        <f>VLOOKUP(F29,'(3) Demographie &amp; Departements'!$G$8:$J$526,4,0)</f>
        <v>59241.519251385042</v>
      </c>
      <c r="H29" s="96">
        <f t="shared" si="0"/>
        <v>27251.098855637119</v>
      </c>
      <c r="I29" s="130">
        <f t="shared" si="1"/>
        <v>0.95</v>
      </c>
      <c r="J29" s="42">
        <f t="shared" si="2"/>
        <v>0.85</v>
      </c>
      <c r="K29" s="131">
        <f t="shared" si="3"/>
        <v>0.75</v>
      </c>
      <c r="L29" s="42"/>
      <c r="M29" s="42"/>
      <c r="N29" s="39" t="s">
        <v>26</v>
      </c>
      <c r="O29" s="39" t="s">
        <v>257</v>
      </c>
      <c r="P29" t="s">
        <v>641</v>
      </c>
      <c r="Q29" s="99">
        <v>100</v>
      </c>
      <c r="R29" s="99">
        <v>100</v>
      </c>
      <c r="S29" s="99">
        <v>100</v>
      </c>
      <c r="T29" s="99">
        <v>100</v>
      </c>
      <c r="U29" s="99">
        <v>100</v>
      </c>
      <c r="V29" s="99">
        <v>100</v>
      </c>
      <c r="W29" s="99">
        <v>98.221526009706807</v>
      </c>
      <c r="X29" s="99">
        <v>100</v>
      </c>
      <c r="Y29" s="99">
        <v>100</v>
      </c>
      <c r="Z29" s="99">
        <v>100</v>
      </c>
      <c r="AA29" s="99">
        <v>99.971221417848994</v>
      </c>
      <c r="AB29" s="99">
        <v>100</v>
      </c>
      <c r="AC29" s="99">
        <v>100</v>
      </c>
      <c r="AD29" s="99">
        <v>100</v>
      </c>
      <c r="AE29" s="99">
        <v>94.982856203222099</v>
      </c>
      <c r="AF29" s="99">
        <v>100</v>
      </c>
      <c r="AG29" s="99">
        <v>100</v>
      </c>
      <c r="AH29" s="99">
        <v>100</v>
      </c>
      <c r="AI29" s="99">
        <v>100</v>
      </c>
      <c r="AJ29" s="99">
        <v>100</v>
      </c>
      <c r="AK29" s="99">
        <v>100</v>
      </c>
      <c r="AL29" s="99">
        <v>100</v>
      </c>
      <c r="AM29" s="99">
        <v>100</v>
      </c>
      <c r="AN29" s="99">
        <v>99.793004627859602</v>
      </c>
    </row>
    <row r="30" spans="1:40" s="30" customFormat="1" ht="15.6">
      <c r="A30"/>
      <c r="B30" s="29"/>
      <c r="C30" s="44" t="s">
        <v>876</v>
      </c>
      <c r="D30" s="39" t="s">
        <v>26</v>
      </c>
      <c r="E30" s="39" t="s">
        <v>498</v>
      </c>
      <c r="F30" t="s">
        <v>642</v>
      </c>
      <c r="G30" s="41">
        <f>VLOOKUP(F30,'(3) Demographie &amp; Departements'!$G$8:$J$526,4,0)</f>
        <v>37048.321043924421</v>
      </c>
      <c r="H30" s="96">
        <f t="shared" si="0"/>
        <v>17042.227680205233</v>
      </c>
      <c r="I30" s="130">
        <f t="shared" si="1"/>
        <v>0.95</v>
      </c>
      <c r="J30" s="42">
        <f t="shared" si="2"/>
        <v>0.85</v>
      </c>
      <c r="K30" s="131">
        <f t="shared" si="3"/>
        <v>0.75</v>
      </c>
      <c r="L30" s="42"/>
      <c r="M30" s="42"/>
      <c r="N30" s="39" t="s">
        <v>26</v>
      </c>
      <c r="O30" s="39" t="s">
        <v>498</v>
      </c>
      <c r="P30" t="s">
        <v>642</v>
      </c>
      <c r="Q30" s="99">
        <v>100</v>
      </c>
      <c r="R30" s="99">
        <v>100</v>
      </c>
      <c r="S30" s="99">
        <v>100</v>
      </c>
      <c r="T30" s="99">
        <v>100</v>
      </c>
      <c r="U30" s="99">
        <v>99.420107715162302</v>
      </c>
      <c r="V30" s="99">
        <v>100</v>
      </c>
      <c r="W30" s="99">
        <v>85.212060602088897</v>
      </c>
      <c r="X30" s="99">
        <v>98.905294977270799</v>
      </c>
      <c r="Y30" s="99">
        <v>100</v>
      </c>
      <c r="Z30" s="99">
        <v>99.479904042215395</v>
      </c>
      <c r="AA30" s="99">
        <v>98.0721322037882</v>
      </c>
      <c r="AB30" s="99">
        <v>100</v>
      </c>
      <c r="AC30" s="99">
        <v>100</v>
      </c>
      <c r="AD30" s="99">
        <v>100</v>
      </c>
      <c r="AE30" s="99">
        <v>88.254294270971201</v>
      </c>
      <c r="AF30" s="99">
        <v>94.595057610509997</v>
      </c>
      <c r="AG30" s="99">
        <v>100</v>
      </c>
      <c r="AH30" s="99">
        <v>100</v>
      </c>
      <c r="AI30" s="99">
        <v>86.770781371663602</v>
      </c>
      <c r="AJ30" s="99">
        <v>100</v>
      </c>
      <c r="AK30" s="99">
        <v>100</v>
      </c>
      <c r="AL30" s="99">
        <v>100</v>
      </c>
      <c r="AM30" s="99">
        <v>100</v>
      </c>
      <c r="AN30" s="99">
        <v>97.7209435828495</v>
      </c>
    </row>
    <row r="31" spans="1:40" s="30" customFormat="1" ht="15.6">
      <c r="A31"/>
      <c r="B31" s="29"/>
      <c r="C31" s="44" t="s">
        <v>876</v>
      </c>
      <c r="D31" s="39" t="s">
        <v>26</v>
      </c>
      <c r="E31" s="39" t="s">
        <v>221</v>
      </c>
      <c r="F31" t="s">
        <v>643</v>
      </c>
      <c r="G31" s="41">
        <f>VLOOKUP(F31,'(3) Demographie &amp; Departements'!$G$8:$J$526,4,0)</f>
        <v>14005.792781647606</v>
      </c>
      <c r="H31" s="96">
        <f t="shared" si="0"/>
        <v>6442.664679557899</v>
      </c>
      <c r="I31" s="130">
        <f t="shared" si="1"/>
        <v>0.95</v>
      </c>
      <c r="J31" s="42">
        <f t="shared" si="2"/>
        <v>0.85</v>
      </c>
      <c r="K31" s="131">
        <f t="shared" si="3"/>
        <v>0.75</v>
      </c>
      <c r="L31" s="42"/>
      <c r="M31" s="42"/>
      <c r="N31" s="39" t="s">
        <v>26</v>
      </c>
      <c r="O31" s="39" t="s">
        <v>221</v>
      </c>
      <c r="P31" t="s">
        <v>643</v>
      </c>
      <c r="Q31" s="99">
        <v>100</v>
      </c>
      <c r="R31" s="99">
        <v>100</v>
      </c>
      <c r="S31" s="99">
        <v>100</v>
      </c>
      <c r="T31" s="99">
        <v>100</v>
      </c>
      <c r="U31" s="99">
        <v>100</v>
      </c>
      <c r="V31" s="99">
        <v>100</v>
      </c>
      <c r="W31" s="99">
        <v>91.217732952422296</v>
      </c>
      <c r="X31" s="99">
        <v>100</v>
      </c>
      <c r="Y31" s="99">
        <v>99.341879574644494</v>
      </c>
      <c r="Z31" s="99">
        <v>99.744874117305997</v>
      </c>
      <c r="AA31" s="99">
        <v>99.214137696724507</v>
      </c>
      <c r="AB31" s="99">
        <v>100</v>
      </c>
      <c r="AC31" s="99">
        <v>100</v>
      </c>
      <c r="AD31" s="99">
        <v>100</v>
      </c>
      <c r="AE31" s="99">
        <v>86.010661229463693</v>
      </c>
      <c r="AF31" s="99">
        <v>100</v>
      </c>
      <c r="AG31" s="99">
        <v>100</v>
      </c>
      <c r="AH31" s="99">
        <v>100</v>
      </c>
      <c r="AI31" s="99">
        <v>100</v>
      </c>
      <c r="AJ31" s="99">
        <v>100</v>
      </c>
      <c r="AK31" s="99">
        <v>100</v>
      </c>
      <c r="AL31" s="99">
        <v>100</v>
      </c>
      <c r="AM31" s="99">
        <v>100</v>
      </c>
      <c r="AN31" s="99">
        <v>94.579024208474195</v>
      </c>
    </row>
    <row r="32" spans="1:40" s="30" customFormat="1" ht="15.6">
      <c r="A32"/>
      <c r="B32" s="29"/>
      <c r="C32" s="44" t="s">
        <v>876</v>
      </c>
      <c r="D32" s="39" t="s">
        <v>26</v>
      </c>
      <c r="E32" s="39" t="s">
        <v>576</v>
      </c>
      <c r="F32" t="s">
        <v>644</v>
      </c>
      <c r="G32" s="41">
        <f>VLOOKUP(F32,'(3) Demographie &amp; Departements'!$G$8:$J$526,4,0)</f>
        <v>28482.406762705716</v>
      </c>
      <c r="H32" s="96">
        <f t="shared" si="0"/>
        <v>13101.90711084463</v>
      </c>
      <c r="I32" s="130">
        <f t="shared" si="1"/>
        <v>0.95</v>
      </c>
      <c r="J32" s="42">
        <f t="shared" si="2"/>
        <v>0.85</v>
      </c>
      <c r="K32" s="131">
        <f t="shared" si="3"/>
        <v>0.75</v>
      </c>
      <c r="L32" s="42"/>
      <c r="M32" s="42"/>
      <c r="N32" s="39" t="s">
        <v>26</v>
      </c>
      <c r="O32" s="39" t="s">
        <v>576</v>
      </c>
      <c r="P32" t="s">
        <v>644</v>
      </c>
      <c r="Q32" s="99">
        <v>100</v>
      </c>
      <c r="R32" s="99">
        <v>100</v>
      </c>
      <c r="S32" s="99">
        <v>100</v>
      </c>
      <c r="T32" s="99">
        <v>86.323355215470698</v>
      </c>
      <c r="U32" s="99">
        <v>86.381313231872895</v>
      </c>
      <c r="V32" s="99">
        <v>100</v>
      </c>
      <c r="W32" s="99">
        <v>89.895188638280601</v>
      </c>
      <c r="X32" s="99">
        <v>100</v>
      </c>
      <c r="Y32" s="99">
        <v>100</v>
      </c>
      <c r="Z32" s="99">
        <v>100</v>
      </c>
      <c r="AA32" s="99">
        <v>100</v>
      </c>
      <c r="AB32" s="99">
        <v>99.836424688259797</v>
      </c>
      <c r="AC32" s="99">
        <v>75.484303361777805</v>
      </c>
      <c r="AD32" s="99">
        <v>100</v>
      </c>
      <c r="AE32" s="99">
        <v>72.649161726264893</v>
      </c>
      <c r="AF32" s="99">
        <v>91.024955344917501</v>
      </c>
      <c r="AG32" s="99">
        <v>100</v>
      </c>
      <c r="AH32" s="99">
        <v>90.766390928141305</v>
      </c>
      <c r="AI32" s="99">
        <v>99.979408767887094</v>
      </c>
      <c r="AJ32" s="99">
        <v>100</v>
      </c>
      <c r="AK32" s="99">
        <v>99.245111301573303</v>
      </c>
      <c r="AL32" s="99">
        <v>100</v>
      </c>
      <c r="AM32" s="99">
        <v>100</v>
      </c>
      <c r="AN32" s="99">
        <v>82.491374612135004</v>
      </c>
    </row>
    <row r="33" spans="1:40" s="30" customFormat="1" ht="15.6">
      <c r="A33"/>
      <c r="B33" s="29"/>
      <c r="C33" s="44" t="s">
        <v>876</v>
      </c>
      <c r="D33" s="39" t="s">
        <v>26</v>
      </c>
      <c r="E33" s="39" t="s">
        <v>576</v>
      </c>
      <c r="F33" t="s">
        <v>645</v>
      </c>
      <c r="G33" s="41">
        <f>VLOOKUP(F33,'(3) Demographie &amp; Departements'!$G$8:$J$526,4,0)</f>
        <v>141567.72628648565</v>
      </c>
      <c r="H33" s="96">
        <f t="shared" si="0"/>
        <v>65121.154091783399</v>
      </c>
      <c r="I33" s="130">
        <f t="shared" si="1"/>
        <v>0.95</v>
      </c>
      <c r="J33" s="42">
        <f t="shared" si="2"/>
        <v>0.85</v>
      </c>
      <c r="K33" s="131">
        <f t="shared" si="3"/>
        <v>0.75</v>
      </c>
      <c r="L33" s="42"/>
      <c r="M33" s="42"/>
      <c r="N33" s="39" t="s">
        <v>26</v>
      </c>
      <c r="O33" s="39" t="s">
        <v>576</v>
      </c>
      <c r="P33" t="s">
        <v>645</v>
      </c>
      <c r="Q33" s="99">
        <v>100</v>
      </c>
      <c r="R33" s="99">
        <v>100</v>
      </c>
      <c r="S33" s="99">
        <v>100</v>
      </c>
      <c r="T33" s="99">
        <v>99.142450782439298</v>
      </c>
      <c r="U33" s="99">
        <v>100</v>
      </c>
      <c r="V33" s="99">
        <v>100</v>
      </c>
      <c r="W33" s="99">
        <v>100</v>
      </c>
      <c r="X33" s="99">
        <v>100</v>
      </c>
      <c r="Y33" s="99">
        <v>100</v>
      </c>
      <c r="Z33" s="99">
        <v>100</v>
      </c>
      <c r="AA33" s="99">
        <v>100</v>
      </c>
      <c r="AB33" s="99">
        <v>100</v>
      </c>
      <c r="AC33" s="99">
        <v>98.207067429382803</v>
      </c>
      <c r="AD33" s="99">
        <v>100</v>
      </c>
      <c r="AE33" s="99">
        <v>83.830184790539406</v>
      </c>
      <c r="AF33" s="99">
        <v>100</v>
      </c>
      <c r="AG33" s="99">
        <v>100</v>
      </c>
      <c r="AH33" s="99">
        <v>100</v>
      </c>
      <c r="AI33" s="99">
        <v>100</v>
      </c>
      <c r="AJ33" s="99">
        <v>100</v>
      </c>
      <c r="AK33" s="99">
        <v>100</v>
      </c>
      <c r="AL33" s="99">
        <v>100</v>
      </c>
      <c r="AM33" s="99">
        <v>100</v>
      </c>
      <c r="AN33" s="99">
        <v>100</v>
      </c>
    </row>
    <row r="34" spans="1:40" s="30" customFormat="1" ht="15.6">
      <c r="A34"/>
      <c r="B34" s="29"/>
      <c r="C34" s="44" t="s">
        <v>876</v>
      </c>
      <c r="D34" s="39" t="s">
        <v>26</v>
      </c>
      <c r="E34" s="39" t="s">
        <v>273</v>
      </c>
      <c r="F34" t="s">
        <v>646</v>
      </c>
      <c r="G34" s="41">
        <f>VLOOKUP(F34,'(3) Demographie &amp; Departements'!$G$8:$J$526,4,0)</f>
        <v>74281.065027334276</v>
      </c>
      <c r="H34" s="96">
        <f t="shared" si="0"/>
        <v>34169.289912573768</v>
      </c>
      <c r="I34" s="130">
        <f t="shared" si="1"/>
        <v>0.95</v>
      </c>
      <c r="J34" s="42">
        <f t="shared" si="2"/>
        <v>0.85</v>
      </c>
      <c r="K34" s="131">
        <f t="shared" si="3"/>
        <v>0.75</v>
      </c>
      <c r="L34" s="42"/>
      <c r="M34" s="42"/>
      <c r="N34" s="39" t="s">
        <v>26</v>
      </c>
      <c r="O34" s="39" t="s">
        <v>273</v>
      </c>
      <c r="P34" t="s">
        <v>646</v>
      </c>
      <c r="Q34" s="99">
        <v>100</v>
      </c>
      <c r="R34" s="99">
        <v>100</v>
      </c>
      <c r="S34" s="99">
        <v>100</v>
      </c>
      <c r="T34" s="99">
        <v>100</v>
      </c>
      <c r="U34" s="99">
        <v>100</v>
      </c>
      <c r="V34" s="99">
        <v>100</v>
      </c>
      <c r="W34" s="99">
        <v>100</v>
      </c>
      <c r="X34" s="99">
        <v>100</v>
      </c>
      <c r="Y34" s="99">
        <v>100</v>
      </c>
      <c r="Z34" s="99">
        <v>100</v>
      </c>
      <c r="AA34" s="99">
        <v>100</v>
      </c>
      <c r="AB34" s="99">
        <v>100</v>
      </c>
      <c r="AC34" s="99">
        <v>100</v>
      </c>
      <c r="AD34" s="99">
        <v>100</v>
      </c>
      <c r="AE34" s="99">
        <v>100</v>
      </c>
      <c r="AF34" s="99">
        <v>100</v>
      </c>
      <c r="AG34" s="99">
        <v>100</v>
      </c>
      <c r="AH34" s="99">
        <v>100</v>
      </c>
      <c r="AI34" s="99">
        <v>100</v>
      </c>
      <c r="AJ34" s="99">
        <v>100</v>
      </c>
      <c r="AK34" s="99">
        <v>100</v>
      </c>
      <c r="AL34" s="99">
        <v>100</v>
      </c>
      <c r="AM34" s="99">
        <v>100</v>
      </c>
      <c r="AN34" s="99">
        <v>96.822162884794096</v>
      </c>
    </row>
    <row r="35" spans="1:40" s="30" customFormat="1" ht="15.6">
      <c r="A35"/>
      <c r="B35" s="29"/>
      <c r="C35" s="44" t="s">
        <v>876</v>
      </c>
      <c r="D35" s="39" t="s">
        <v>26</v>
      </c>
      <c r="E35" s="39" t="s">
        <v>245</v>
      </c>
      <c r="F35" t="s">
        <v>647</v>
      </c>
      <c r="G35" s="41">
        <f>VLOOKUP(F35,'(3) Demographie &amp; Departements'!$G$8:$J$526,4,0)</f>
        <v>18300.744516892461</v>
      </c>
      <c r="H35" s="96">
        <f t="shared" si="0"/>
        <v>8418.3424777705313</v>
      </c>
      <c r="I35" s="130">
        <f t="shared" si="1"/>
        <v>0.95</v>
      </c>
      <c r="J35" s="42">
        <f t="shared" si="2"/>
        <v>0.85</v>
      </c>
      <c r="K35" s="131">
        <f t="shared" si="3"/>
        <v>0.75</v>
      </c>
      <c r="L35" s="42"/>
      <c r="M35" s="42"/>
      <c r="N35" s="39" t="s">
        <v>26</v>
      </c>
      <c r="O35" s="39" t="s">
        <v>245</v>
      </c>
      <c r="P35" t="s">
        <v>647</v>
      </c>
      <c r="Q35" s="99">
        <v>100</v>
      </c>
      <c r="R35" s="99">
        <v>96.877283006099304</v>
      </c>
      <c r="S35" s="99">
        <v>99.9117960925483</v>
      </c>
      <c r="T35" s="99">
        <v>99.141176935227406</v>
      </c>
      <c r="U35" s="99">
        <v>80.229977084170002</v>
      </c>
      <c r="V35" s="99">
        <v>99.798199738354</v>
      </c>
      <c r="W35" s="99">
        <v>86.537010094426705</v>
      </c>
      <c r="X35" s="99">
        <v>100</v>
      </c>
      <c r="Y35" s="99">
        <v>98.698458299469095</v>
      </c>
      <c r="Z35" s="99">
        <v>95.947106395413897</v>
      </c>
      <c r="AA35" s="99">
        <v>98.631884357329497</v>
      </c>
      <c r="AB35" s="99">
        <v>100</v>
      </c>
      <c r="AC35" s="99">
        <v>99.942154712073602</v>
      </c>
      <c r="AD35" s="99">
        <v>99.825245586180401</v>
      </c>
      <c r="AE35" s="99">
        <v>73.322239792935505</v>
      </c>
      <c r="AF35" s="99">
        <v>87.210372402112895</v>
      </c>
      <c r="AG35" s="99">
        <v>99.023776171097694</v>
      </c>
      <c r="AH35" s="99">
        <v>96.194048147156195</v>
      </c>
      <c r="AI35" s="99">
        <v>93.759642110489906</v>
      </c>
      <c r="AJ35" s="99">
        <v>100</v>
      </c>
      <c r="AK35" s="99">
        <v>94.1553901109111</v>
      </c>
      <c r="AL35" s="99">
        <v>91.563794496049397</v>
      </c>
      <c r="AM35" s="99">
        <v>99.666136912263994</v>
      </c>
      <c r="AN35" s="99">
        <v>78.568633480737006</v>
      </c>
    </row>
    <row r="36" spans="1:40" s="30" customFormat="1" ht="15.6">
      <c r="A36"/>
      <c r="B36" s="29"/>
      <c r="C36" s="44" t="s">
        <v>876</v>
      </c>
      <c r="D36" s="39" t="s">
        <v>26</v>
      </c>
      <c r="E36" s="39" t="s">
        <v>227</v>
      </c>
      <c r="F36" t="s">
        <v>648</v>
      </c>
      <c r="G36" s="41">
        <f>VLOOKUP(F36,'(3) Demographie &amp; Departements'!$G$8:$J$526,4,0)</f>
        <v>10336.742914708395</v>
      </c>
      <c r="H36" s="96">
        <f t="shared" si="0"/>
        <v>4754.9017407658621</v>
      </c>
      <c r="I36" s="130">
        <f t="shared" si="1"/>
        <v>0.95</v>
      </c>
      <c r="J36" s="42">
        <f t="shared" si="2"/>
        <v>0.85</v>
      </c>
      <c r="K36" s="131">
        <f t="shared" si="3"/>
        <v>0.75</v>
      </c>
      <c r="L36" s="42"/>
      <c r="M36" s="42"/>
      <c r="N36" s="39" t="s">
        <v>26</v>
      </c>
      <c r="O36" s="39" t="s">
        <v>227</v>
      </c>
      <c r="P36" t="s">
        <v>648</v>
      </c>
      <c r="Q36" s="99">
        <v>100</v>
      </c>
      <c r="R36" s="99">
        <v>100</v>
      </c>
      <c r="S36" s="99">
        <v>100</v>
      </c>
      <c r="T36" s="99">
        <v>100</v>
      </c>
      <c r="U36" s="99">
        <v>100</v>
      </c>
      <c r="V36" s="99">
        <v>100</v>
      </c>
      <c r="W36" s="99">
        <v>100</v>
      </c>
      <c r="X36" s="99">
        <v>100</v>
      </c>
      <c r="Y36" s="99">
        <v>100</v>
      </c>
      <c r="Z36" s="99">
        <v>100</v>
      </c>
      <c r="AA36" s="99">
        <v>100</v>
      </c>
      <c r="AB36" s="99">
        <v>100</v>
      </c>
      <c r="AC36" s="99">
        <v>100</v>
      </c>
      <c r="AD36" s="99">
        <v>100</v>
      </c>
      <c r="AE36" s="99">
        <v>100</v>
      </c>
      <c r="AF36" s="99">
        <v>100</v>
      </c>
      <c r="AG36" s="99">
        <v>100</v>
      </c>
      <c r="AH36" s="99">
        <v>100</v>
      </c>
      <c r="AI36" s="99">
        <v>100</v>
      </c>
      <c r="AJ36" s="99">
        <v>100</v>
      </c>
      <c r="AK36" s="99">
        <v>100</v>
      </c>
      <c r="AL36" s="99">
        <v>100</v>
      </c>
      <c r="AM36" s="99">
        <v>100</v>
      </c>
      <c r="AN36" s="99">
        <v>100</v>
      </c>
    </row>
    <row r="37" spans="1:40" s="30" customFormat="1" ht="15.6">
      <c r="A37"/>
      <c r="B37" s="29"/>
      <c r="C37" s="44" t="s">
        <v>876</v>
      </c>
      <c r="D37" s="39" t="s">
        <v>26</v>
      </c>
      <c r="E37" s="39" t="s">
        <v>427</v>
      </c>
      <c r="F37" t="s">
        <v>649</v>
      </c>
      <c r="G37" s="41">
        <f>VLOOKUP(F37,'(3) Demographie &amp; Departements'!$G$8:$J$526,4,0)</f>
        <v>116871.37772922149</v>
      </c>
      <c r="H37" s="96">
        <f t="shared" si="0"/>
        <v>53760.83375544189</v>
      </c>
      <c r="I37" s="130">
        <f t="shared" si="1"/>
        <v>0.95</v>
      </c>
      <c r="J37" s="42">
        <f t="shared" si="2"/>
        <v>0.85</v>
      </c>
      <c r="K37" s="131">
        <f t="shared" si="3"/>
        <v>0.75</v>
      </c>
      <c r="L37" s="42"/>
      <c r="M37" s="42"/>
      <c r="N37" s="39" t="s">
        <v>26</v>
      </c>
      <c r="O37" s="39" t="s">
        <v>427</v>
      </c>
      <c r="P37" t="s">
        <v>649</v>
      </c>
      <c r="Q37" s="99">
        <v>100</v>
      </c>
      <c r="R37" s="99">
        <v>100</v>
      </c>
      <c r="S37" s="99">
        <v>100</v>
      </c>
      <c r="T37" s="99">
        <v>100</v>
      </c>
      <c r="U37" s="99">
        <v>100</v>
      </c>
      <c r="V37" s="99">
        <v>100</v>
      </c>
      <c r="W37" s="99">
        <v>100</v>
      </c>
      <c r="X37" s="99">
        <v>100</v>
      </c>
      <c r="Y37" s="99">
        <v>100</v>
      </c>
      <c r="Z37" s="99">
        <v>100</v>
      </c>
      <c r="AA37" s="99">
        <v>100</v>
      </c>
      <c r="AB37" s="99">
        <v>100</v>
      </c>
      <c r="AC37" s="99">
        <v>100</v>
      </c>
      <c r="AD37" s="99">
        <v>100</v>
      </c>
      <c r="AE37" s="99">
        <v>99.289848497315504</v>
      </c>
      <c r="AF37" s="99">
        <v>100</v>
      </c>
      <c r="AG37" s="99">
        <v>100</v>
      </c>
      <c r="AH37" s="99">
        <v>100</v>
      </c>
      <c r="AI37" s="99">
        <v>100</v>
      </c>
      <c r="AJ37" s="99">
        <v>100</v>
      </c>
      <c r="AK37" s="99">
        <v>100</v>
      </c>
      <c r="AL37" s="99">
        <v>100</v>
      </c>
      <c r="AM37" s="99">
        <v>100</v>
      </c>
      <c r="AN37" s="99">
        <v>100</v>
      </c>
    </row>
    <row r="38" spans="1:40" s="30" customFormat="1" ht="15.6">
      <c r="A38"/>
      <c r="B38" s="29"/>
      <c r="C38" s="44" t="s">
        <v>876</v>
      </c>
      <c r="D38" s="39" t="s">
        <v>26</v>
      </c>
      <c r="E38" s="39" t="s">
        <v>505</v>
      </c>
      <c r="F38" t="s">
        <v>650</v>
      </c>
      <c r="G38" s="41">
        <f>VLOOKUP(F38,'(3) Demographie &amp; Departements'!$G$8:$J$526,4,0)</f>
        <v>36460.71265361191</v>
      </c>
      <c r="H38" s="96">
        <f t="shared" si="0"/>
        <v>16771.92782066148</v>
      </c>
      <c r="I38" s="130">
        <f t="shared" si="1"/>
        <v>0.95</v>
      </c>
      <c r="J38" s="42">
        <f t="shared" si="2"/>
        <v>0.85</v>
      </c>
      <c r="K38" s="131">
        <f t="shared" si="3"/>
        <v>0.75</v>
      </c>
      <c r="L38" s="42"/>
      <c r="M38" s="42"/>
      <c r="N38" s="39" t="s">
        <v>26</v>
      </c>
      <c r="O38" s="39" t="s">
        <v>505</v>
      </c>
      <c r="P38" t="s">
        <v>650</v>
      </c>
      <c r="Q38" s="99">
        <v>100</v>
      </c>
      <c r="R38" s="99">
        <v>100</v>
      </c>
      <c r="S38" s="99">
        <v>100</v>
      </c>
      <c r="T38" s="99">
        <v>100</v>
      </c>
      <c r="U38" s="99">
        <v>98.529995703868707</v>
      </c>
      <c r="V38" s="99">
        <v>100</v>
      </c>
      <c r="W38" s="99">
        <v>85.367260455005905</v>
      </c>
      <c r="X38" s="99">
        <v>100</v>
      </c>
      <c r="Y38" s="99">
        <v>99.978908349488407</v>
      </c>
      <c r="Z38" s="99">
        <v>99.682455718251404</v>
      </c>
      <c r="AA38" s="99">
        <v>99.484416324716804</v>
      </c>
      <c r="AB38" s="99">
        <v>100</v>
      </c>
      <c r="AC38" s="99">
        <v>100</v>
      </c>
      <c r="AD38" s="99">
        <v>100</v>
      </c>
      <c r="AE38" s="99">
        <v>84.885182649819797</v>
      </c>
      <c r="AF38" s="99">
        <v>97.832533023332701</v>
      </c>
      <c r="AG38" s="99">
        <v>100</v>
      </c>
      <c r="AH38" s="99">
        <v>100</v>
      </c>
      <c r="AI38" s="99">
        <v>89.984893396215796</v>
      </c>
      <c r="AJ38" s="99">
        <v>100</v>
      </c>
      <c r="AK38" s="99">
        <v>99.847806045098196</v>
      </c>
      <c r="AL38" s="99">
        <v>100</v>
      </c>
      <c r="AM38" s="99">
        <v>100</v>
      </c>
      <c r="AN38" s="99">
        <v>98.433409072926906</v>
      </c>
    </row>
    <row r="39" spans="1:40" s="30" customFormat="1" ht="15.6">
      <c r="A39"/>
      <c r="B39" s="29"/>
      <c r="C39" s="44" t="s">
        <v>876</v>
      </c>
      <c r="D39" s="39" t="s">
        <v>26</v>
      </c>
      <c r="E39" s="39" t="s">
        <v>429</v>
      </c>
      <c r="F39" t="s">
        <v>651</v>
      </c>
      <c r="G39" s="41">
        <f>VLOOKUP(F39,'(3) Demographie &amp; Departements'!$G$8:$J$526,4,0)</f>
        <v>213966.86596164695</v>
      </c>
      <c r="H39" s="96">
        <f t="shared" si="0"/>
        <v>98424.7583423576</v>
      </c>
      <c r="I39" s="130">
        <f t="shared" si="1"/>
        <v>0.95</v>
      </c>
      <c r="J39" s="42">
        <f t="shared" si="2"/>
        <v>0.85</v>
      </c>
      <c r="K39" s="131">
        <f t="shared" si="3"/>
        <v>0.75</v>
      </c>
      <c r="L39" s="42"/>
      <c r="M39" s="42"/>
      <c r="N39" s="39" t="s">
        <v>26</v>
      </c>
      <c r="O39" s="39" t="s">
        <v>429</v>
      </c>
      <c r="P39" t="s">
        <v>651</v>
      </c>
      <c r="Q39" s="99">
        <v>100</v>
      </c>
      <c r="R39" s="99">
        <v>99.964154445703102</v>
      </c>
      <c r="S39" s="99">
        <v>99.882399090012896</v>
      </c>
      <c r="T39" s="99">
        <v>99.890851553382603</v>
      </c>
      <c r="U39" s="99">
        <v>99.822605673027496</v>
      </c>
      <c r="V39" s="99">
        <v>99.902742647313502</v>
      </c>
      <c r="W39" s="99">
        <v>99.179921544572906</v>
      </c>
      <c r="X39" s="99">
        <v>100</v>
      </c>
      <c r="Y39" s="99">
        <v>98.597664063050203</v>
      </c>
      <c r="Z39" s="99">
        <v>99.728332874292605</v>
      </c>
      <c r="AA39" s="99">
        <v>99.656024965546607</v>
      </c>
      <c r="AB39" s="99">
        <v>100</v>
      </c>
      <c r="AC39" s="99">
        <v>99.8892768306753</v>
      </c>
      <c r="AD39" s="99">
        <v>100</v>
      </c>
      <c r="AE39" s="99">
        <v>97.062342638455704</v>
      </c>
      <c r="AF39" s="99">
        <v>99.814771551903505</v>
      </c>
      <c r="AG39" s="99">
        <v>99.884429889722597</v>
      </c>
      <c r="AH39" s="99">
        <v>99.530890676832598</v>
      </c>
      <c r="AI39" s="99">
        <v>99.547480434041702</v>
      </c>
      <c r="AJ39" s="99">
        <v>99.936950168555299</v>
      </c>
      <c r="AK39" s="99">
        <v>100</v>
      </c>
      <c r="AL39" s="99">
        <v>99.812043141823594</v>
      </c>
      <c r="AM39" s="99">
        <v>100</v>
      </c>
      <c r="AN39" s="99">
        <v>99.014952387026</v>
      </c>
    </row>
    <row r="40" spans="1:40" s="30" customFormat="1" ht="15.6">
      <c r="A40"/>
      <c r="B40" s="29"/>
      <c r="C40" s="44" t="s">
        <v>876</v>
      </c>
      <c r="D40" s="39" t="s">
        <v>26</v>
      </c>
      <c r="E40" s="39" t="s">
        <v>508</v>
      </c>
      <c r="F40" s="91" t="s">
        <v>652</v>
      </c>
      <c r="G40" s="41">
        <f>VLOOKUP(F40,'(3) Demographie &amp; Departements'!$G$8:$J$526,4,0)</f>
        <v>832370.94704761135</v>
      </c>
      <c r="H40" s="96">
        <f t="shared" si="0"/>
        <v>382890.63564190123</v>
      </c>
      <c r="I40" s="130">
        <f t="shared" si="1"/>
        <v>0.95</v>
      </c>
      <c r="J40" s="42">
        <f t="shared" si="2"/>
        <v>0.85</v>
      </c>
      <c r="K40" s="131">
        <f t="shared" si="3"/>
        <v>0.75</v>
      </c>
      <c r="L40" s="42"/>
      <c r="M40" s="42"/>
      <c r="N40" s="39" t="s">
        <v>26</v>
      </c>
      <c r="O40" s="39" t="s">
        <v>508</v>
      </c>
      <c r="P40" s="91" t="s">
        <v>652</v>
      </c>
      <c r="Q40" s="99">
        <v>100</v>
      </c>
      <c r="R40" s="99">
        <v>100</v>
      </c>
      <c r="S40" s="99">
        <v>99.840580125026605</v>
      </c>
      <c r="T40" s="99">
        <v>99.638607277154605</v>
      </c>
      <c r="U40" s="99">
        <v>95.114765185905497</v>
      </c>
      <c r="V40" s="99">
        <v>100</v>
      </c>
      <c r="W40" s="99">
        <v>90.608312434179794</v>
      </c>
      <c r="X40" s="99">
        <v>100</v>
      </c>
      <c r="Y40" s="99">
        <v>99.989678431504203</v>
      </c>
      <c r="Z40" s="99">
        <v>100</v>
      </c>
      <c r="AA40" s="99">
        <v>99.897892816245502</v>
      </c>
      <c r="AB40" s="99">
        <v>100</v>
      </c>
      <c r="AC40" s="99">
        <v>97.476037975870099</v>
      </c>
      <c r="AD40" s="99">
        <v>98.937212327649306</v>
      </c>
      <c r="AE40" s="99">
        <v>85.416848670317407</v>
      </c>
      <c r="AF40" s="99">
        <v>98.323668698543798</v>
      </c>
      <c r="AG40" s="99">
        <v>100</v>
      </c>
      <c r="AH40" s="99">
        <v>100</v>
      </c>
      <c r="AI40" s="99">
        <v>99.648686330174101</v>
      </c>
      <c r="AJ40" s="99">
        <v>99.148130425797902</v>
      </c>
      <c r="AK40" s="99">
        <v>99.735652157303505</v>
      </c>
      <c r="AL40" s="99">
        <v>100</v>
      </c>
      <c r="AM40" s="99">
        <v>100</v>
      </c>
      <c r="AN40" s="99">
        <v>88.511376282978802</v>
      </c>
    </row>
    <row r="41" spans="1:40" s="30" customFormat="1" ht="15.6">
      <c r="A41"/>
      <c r="B41" s="29"/>
      <c r="C41" s="44" t="s">
        <v>876</v>
      </c>
      <c r="D41" s="39" t="s">
        <v>26</v>
      </c>
      <c r="E41" s="39" t="s">
        <v>508</v>
      </c>
      <c r="F41" t="s">
        <v>653</v>
      </c>
      <c r="G41" s="41">
        <f>VLOOKUP(F41,'(3) Demographie &amp; Departements'!$G$8:$J$526,4,0)</f>
        <v>15710.099677536427</v>
      </c>
      <c r="H41" s="96">
        <f t="shared" si="0"/>
        <v>7226.6458516667572</v>
      </c>
      <c r="I41" s="130">
        <f t="shared" si="1"/>
        <v>0.95</v>
      </c>
      <c r="J41" s="42">
        <f t="shared" si="2"/>
        <v>0.85</v>
      </c>
      <c r="K41" s="131">
        <f t="shared" si="3"/>
        <v>0.75</v>
      </c>
      <c r="L41" s="42"/>
      <c r="M41" s="42"/>
      <c r="N41" s="39" t="s">
        <v>26</v>
      </c>
      <c r="O41" s="39" t="s">
        <v>508</v>
      </c>
      <c r="P41" t="s">
        <v>653</v>
      </c>
      <c r="Q41" s="99">
        <v>99.545195259389601</v>
      </c>
      <c r="R41" s="99">
        <v>99.265254963647195</v>
      </c>
      <c r="S41" s="99">
        <v>96.944706097704398</v>
      </c>
      <c r="T41" s="99">
        <v>96.296984166347897</v>
      </c>
      <c r="U41" s="99">
        <v>86.729959286162895</v>
      </c>
      <c r="V41" s="99">
        <v>98.105366244647399</v>
      </c>
      <c r="W41" s="99">
        <v>79.000497180919297</v>
      </c>
      <c r="X41" s="99">
        <v>100</v>
      </c>
      <c r="Y41" s="99">
        <v>96.745527357078402</v>
      </c>
      <c r="Z41" s="99">
        <v>99.3180281646043</v>
      </c>
      <c r="AA41" s="99">
        <v>95.7379225089893</v>
      </c>
      <c r="AB41" s="99">
        <v>99.949370223067703</v>
      </c>
      <c r="AC41" s="99">
        <v>93.759878877567402</v>
      </c>
      <c r="AD41" s="99">
        <v>96.488242704446805</v>
      </c>
      <c r="AE41" s="99">
        <v>75.7404159839394</v>
      </c>
      <c r="AF41" s="99">
        <v>95.911765739191296</v>
      </c>
      <c r="AG41" s="99">
        <v>99.979222016967299</v>
      </c>
      <c r="AH41" s="99">
        <v>100</v>
      </c>
      <c r="AI41" s="99">
        <v>98.318023262730605</v>
      </c>
      <c r="AJ41" s="99">
        <v>99.766029199635796</v>
      </c>
      <c r="AK41" s="99">
        <v>98.818224775793794</v>
      </c>
      <c r="AL41" s="99">
        <v>99.212513671506898</v>
      </c>
      <c r="AM41" s="99">
        <v>100</v>
      </c>
      <c r="AN41" s="99">
        <v>83.555366259092906</v>
      </c>
    </row>
    <row r="42" spans="1:40" s="30" customFormat="1" ht="15.6">
      <c r="A42"/>
      <c r="B42" s="29"/>
      <c r="C42" s="44" t="s">
        <v>876</v>
      </c>
      <c r="D42" s="39" t="s">
        <v>26</v>
      </c>
      <c r="E42" s="39" t="s">
        <v>508</v>
      </c>
      <c r="F42" t="s">
        <v>654</v>
      </c>
      <c r="G42" s="41">
        <f>VLOOKUP(F42,'(3) Demographie &amp; Departements'!$G$8:$J$526,4,0)</f>
        <v>22779.965361665425</v>
      </c>
      <c r="H42" s="96">
        <f t="shared" si="0"/>
        <v>10478.784066366095</v>
      </c>
      <c r="I42" s="130">
        <f t="shared" si="1"/>
        <v>0.95</v>
      </c>
      <c r="J42" s="42">
        <f t="shared" si="2"/>
        <v>0.85</v>
      </c>
      <c r="K42" s="131">
        <f t="shared" si="3"/>
        <v>0.75</v>
      </c>
      <c r="L42" s="42"/>
      <c r="M42" s="42"/>
      <c r="N42" s="39" t="s">
        <v>26</v>
      </c>
      <c r="O42" s="39" t="s">
        <v>508</v>
      </c>
      <c r="P42" t="s">
        <v>654</v>
      </c>
      <c r="Q42" s="99">
        <v>100</v>
      </c>
      <c r="R42" s="99">
        <v>100</v>
      </c>
      <c r="S42" s="99">
        <v>100</v>
      </c>
      <c r="T42" s="99">
        <v>100</v>
      </c>
      <c r="U42" s="99">
        <v>88.779649630560499</v>
      </c>
      <c r="V42" s="99">
        <v>100</v>
      </c>
      <c r="W42" s="99">
        <v>84.920365183226096</v>
      </c>
      <c r="X42" s="99">
        <v>100</v>
      </c>
      <c r="Y42" s="99">
        <v>99.596525407984203</v>
      </c>
      <c r="Z42" s="99">
        <v>100</v>
      </c>
      <c r="AA42" s="99">
        <v>100</v>
      </c>
      <c r="AB42" s="99">
        <v>100</v>
      </c>
      <c r="AC42" s="99">
        <v>99.001470296375899</v>
      </c>
      <c r="AD42" s="99">
        <v>100</v>
      </c>
      <c r="AE42" s="99">
        <v>86.1824490533523</v>
      </c>
      <c r="AF42" s="99">
        <v>99.246861229310298</v>
      </c>
      <c r="AG42" s="99">
        <v>100</v>
      </c>
      <c r="AH42" s="99">
        <v>100</v>
      </c>
      <c r="AI42" s="99">
        <v>100</v>
      </c>
      <c r="AJ42" s="99">
        <v>99.902142933072795</v>
      </c>
      <c r="AK42" s="99">
        <v>100</v>
      </c>
      <c r="AL42" s="99">
        <v>100</v>
      </c>
      <c r="AM42" s="99">
        <v>100</v>
      </c>
      <c r="AN42" s="99">
        <v>85.258617663622502</v>
      </c>
    </row>
    <row r="43" spans="1:40" s="30" customFormat="1" ht="15.6">
      <c r="A43"/>
      <c r="B43" s="29"/>
      <c r="C43" s="44" t="s">
        <v>876</v>
      </c>
      <c r="D43" s="39" t="s">
        <v>26</v>
      </c>
      <c r="E43" s="39" t="s">
        <v>240</v>
      </c>
      <c r="F43" t="s">
        <v>655</v>
      </c>
      <c r="G43" s="41">
        <f>VLOOKUP(F43,'(3) Demographie &amp; Departements'!$G$8:$J$526,4,0)</f>
        <v>101135.70651090935</v>
      </c>
      <c r="H43" s="96">
        <f t="shared" si="0"/>
        <v>46522.424995018308</v>
      </c>
      <c r="I43" s="130">
        <f t="shared" si="1"/>
        <v>0.95</v>
      </c>
      <c r="J43" s="42">
        <f t="shared" si="2"/>
        <v>0.85</v>
      </c>
      <c r="K43" s="131">
        <f t="shared" si="3"/>
        <v>0.75</v>
      </c>
      <c r="L43" s="42"/>
      <c r="M43" s="42"/>
      <c r="N43" s="39" t="s">
        <v>26</v>
      </c>
      <c r="O43" s="39" t="s">
        <v>240</v>
      </c>
      <c r="P43" t="s">
        <v>655</v>
      </c>
      <c r="Q43" s="99">
        <v>100</v>
      </c>
      <c r="R43" s="99">
        <v>100</v>
      </c>
      <c r="S43" s="99">
        <v>100</v>
      </c>
      <c r="T43" s="99">
        <v>100</v>
      </c>
      <c r="U43" s="99">
        <v>100</v>
      </c>
      <c r="V43" s="99">
        <v>100</v>
      </c>
      <c r="W43" s="99">
        <v>99.529959362539898</v>
      </c>
      <c r="X43" s="99">
        <v>100</v>
      </c>
      <c r="Y43" s="99">
        <v>100</v>
      </c>
      <c r="Z43" s="99">
        <v>100</v>
      </c>
      <c r="AA43" s="99">
        <v>100</v>
      </c>
      <c r="AB43" s="99">
        <v>100</v>
      </c>
      <c r="AC43" s="99">
        <v>100</v>
      </c>
      <c r="AD43" s="99">
        <v>100</v>
      </c>
      <c r="AE43" s="99">
        <v>99.200552087710307</v>
      </c>
      <c r="AF43" s="99">
        <v>100</v>
      </c>
      <c r="AG43" s="99">
        <v>100</v>
      </c>
      <c r="AH43" s="99">
        <v>100</v>
      </c>
      <c r="AI43" s="99">
        <v>100</v>
      </c>
      <c r="AJ43" s="99">
        <v>100</v>
      </c>
      <c r="AK43" s="99">
        <v>100</v>
      </c>
      <c r="AL43" s="99">
        <v>100</v>
      </c>
      <c r="AM43" s="99">
        <v>100</v>
      </c>
      <c r="AN43" s="99">
        <v>100</v>
      </c>
    </row>
    <row r="44" spans="1:40" s="30" customFormat="1" ht="15.6">
      <c r="A44"/>
      <c r="B44" s="29"/>
      <c r="C44" s="44" t="s">
        <v>876</v>
      </c>
      <c r="D44" s="39" t="s">
        <v>26</v>
      </c>
      <c r="E44" s="39" t="s">
        <v>505</v>
      </c>
      <c r="F44" t="s">
        <v>56</v>
      </c>
      <c r="G44" s="41">
        <f>VLOOKUP(F44,'(3) Demographie &amp; Departements'!$G$8:$J$526,4,0)</f>
        <v>35761.227990628766</v>
      </c>
      <c r="H44" s="96">
        <f t="shared" si="0"/>
        <v>16450.164875689232</v>
      </c>
      <c r="I44" s="130">
        <f t="shared" si="1"/>
        <v>0.95</v>
      </c>
      <c r="J44" s="42">
        <f t="shared" si="2"/>
        <v>0.85</v>
      </c>
      <c r="K44" s="131">
        <f t="shared" si="3"/>
        <v>0.75</v>
      </c>
      <c r="L44" s="42"/>
      <c r="M44" s="42"/>
      <c r="N44" s="39" t="s">
        <v>26</v>
      </c>
      <c r="O44" s="39" t="s">
        <v>505</v>
      </c>
      <c r="P44" t="s">
        <v>56</v>
      </c>
      <c r="Q44" s="99">
        <v>100</v>
      </c>
      <c r="R44" s="99">
        <v>100</v>
      </c>
      <c r="S44" s="99">
        <v>99.912782990812801</v>
      </c>
      <c r="T44" s="99">
        <v>100</v>
      </c>
      <c r="U44" s="99">
        <v>97.537475784684005</v>
      </c>
      <c r="V44" s="99">
        <v>100</v>
      </c>
      <c r="W44" s="99">
        <v>90.294653264570499</v>
      </c>
      <c r="X44" s="99">
        <v>100</v>
      </c>
      <c r="Y44" s="99">
        <v>100</v>
      </c>
      <c r="Z44" s="99">
        <v>100</v>
      </c>
      <c r="AA44" s="99">
        <v>100</v>
      </c>
      <c r="AB44" s="99">
        <v>100</v>
      </c>
      <c r="AC44" s="99">
        <v>100</v>
      </c>
      <c r="AD44" s="99">
        <v>100</v>
      </c>
      <c r="AE44" s="99">
        <v>88.389331675125504</v>
      </c>
      <c r="AF44" s="99">
        <v>98.537008740123497</v>
      </c>
      <c r="AG44" s="99">
        <v>100</v>
      </c>
      <c r="AH44" s="99">
        <v>100</v>
      </c>
      <c r="AI44" s="99">
        <v>96.041734442073704</v>
      </c>
      <c r="AJ44" s="99">
        <v>100</v>
      </c>
      <c r="AK44" s="99">
        <v>99.881810621920494</v>
      </c>
      <c r="AL44" s="99">
        <v>100</v>
      </c>
      <c r="AM44" s="99">
        <v>100</v>
      </c>
      <c r="AN44" s="99">
        <v>96.215843413313095</v>
      </c>
    </row>
    <row r="45" spans="1:40" s="30" customFormat="1" ht="15.6">
      <c r="A45"/>
      <c r="B45" s="29"/>
      <c r="C45" s="44" t="s">
        <v>876</v>
      </c>
      <c r="D45" s="39" t="s">
        <v>26</v>
      </c>
      <c r="E45" s="39" t="s">
        <v>601</v>
      </c>
      <c r="F45" t="s">
        <v>656</v>
      </c>
      <c r="G45" s="41">
        <f>VLOOKUP(F45,'(3) Demographie &amp; Departements'!$G$8:$J$526,4,0)</f>
        <v>17045.101154612526</v>
      </c>
      <c r="H45" s="96">
        <f t="shared" si="0"/>
        <v>7840.7465311217629</v>
      </c>
      <c r="I45" s="130">
        <f t="shared" si="1"/>
        <v>0.95</v>
      </c>
      <c r="J45" s="42">
        <f t="shared" si="2"/>
        <v>0.85</v>
      </c>
      <c r="K45" s="131">
        <f t="shared" si="3"/>
        <v>0.75</v>
      </c>
      <c r="L45" s="42"/>
      <c r="M45" s="42"/>
      <c r="N45" s="39" t="s">
        <v>26</v>
      </c>
      <c r="O45" s="39" t="s">
        <v>601</v>
      </c>
      <c r="P45" t="s">
        <v>656</v>
      </c>
      <c r="Q45" s="99">
        <v>100</v>
      </c>
      <c r="R45" s="99">
        <v>100</v>
      </c>
      <c r="S45" s="99">
        <v>100</v>
      </c>
      <c r="T45" s="99">
        <v>89.818724064003604</v>
      </c>
      <c r="U45" s="99">
        <v>89.663260092692497</v>
      </c>
      <c r="V45" s="99">
        <v>100</v>
      </c>
      <c r="W45" s="99">
        <v>91.365981372204104</v>
      </c>
      <c r="X45" s="99">
        <v>100</v>
      </c>
      <c r="Y45" s="99">
        <v>100</v>
      </c>
      <c r="Z45" s="99">
        <v>100</v>
      </c>
      <c r="AA45" s="99">
        <v>100</v>
      </c>
      <c r="AB45" s="99">
        <v>100</v>
      </c>
      <c r="AC45" s="99">
        <v>90.136244975636004</v>
      </c>
      <c r="AD45" s="99">
        <v>100</v>
      </c>
      <c r="AE45" s="99">
        <v>82.594106514847297</v>
      </c>
      <c r="AF45" s="99">
        <v>96.101660856079306</v>
      </c>
      <c r="AG45" s="99">
        <v>99.990213400301599</v>
      </c>
      <c r="AH45" s="99">
        <v>97.528055147219803</v>
      </c>
      <c r="AI45" s="99">
        <v>100</v>
      </c>
      <c r="AJ45" s="99">
        <v>100</v>
      </c>
      <c r="AK45" s="99">
        <v>100</v>
      </c>
      <c r="AL45" s="99">
        <v>100</v>
      </c>
      <c r="AM45" s="99">
        <v>100</v>
      </c>
      <c r="AN45" s="99">
        <v>100</v>
      </c>
    </row>
    <row r="46" spans="1:40" s="30" customFormat="1" ht="15.6">
      <c r="A46"/>
      <c r="B46" s="29"/>
      <c r="C46" s="44" t="s">
        <v>876</v>
      </c>
      <c r="D46" s="39" t="s">
        <v>26</v>
      </c>
      <c r="E46" s="39" t="s">
        <v>262</v>
      </c>
      <c r="F46" t="s">
        <v>657</v>
      </c>
      <c r="G46" s="41">
        <f>VLOOKUP(F46,'(3) Demographie &amp; Departements'!$G$8:$J$526,4,0)</f>
        <v>16134.721746102165</v>
      </c>
      <c r="H46" s="96">
        <f t="shared" si="0"/>
        <v>7421.9720032069963</v>
      </c>
      <c r="I46" s="130">
        <f t="shared" si="1"/>
        <v>0.95</v>
      </c>
      <c r="J46" s="42">
        <f t="shared" si="2"/>
        <v>0.85</v>
      </c>
      <c r="K46" s="131">
        <f t="shared" si="3"/>
        <v>0.75</v>
      </c>
      <c r="L46" s="42"/>
      <c r="M46" s="42"/>
      <c r="N46" s="39" t="s">
        <v>26</v>
      </c>
      <c r="O46" s="39" t="s">
        <v>262</v>
      </c>
      <c r="P46" t="s">
        <v>657</v>
      </c>
      <c r="Q46" s="99">
        <v>100</v>
      </c>
      <c r="R46" s="99">
        <v>100</v>
      </c>
      <c r="S46" s="99">
        <v>100</v>
      </c>
      <c r="T46" s="99">
        <v>100</v>
      </c>
      <c r="U46" s="99">
        <v>100</v>
      </c>
      <c r="V46" s="99">
        <v>100</v>
      </c>
      <c r="W46" s="99">
        <v>100</v>
      </c>
      <c r="X46" s="99">
        <v>100</v>
      </c>
      <c r="Y46" s="99">
        <v>100</v>
      </c>
      <c r="Z46" s="99">
        <v>100</v>
      </c>
      <c r="AA46" s="99">
        <v>100</v>
      </c>
      <c r="AB46" s="99">
        <v>100</v>
      </c>
      <c r="AC46" s="99">
        <v>100</v>
      </c>
      <c r="AD46" s="99">
        <v>100</v>
      </c>
      <c r="AE46" s="99">
        <v>100</v>
      </c>
      <c r="AF46" s="99">
        <v>100</v>
      </c>
      <c r="AG46" s="99">
        <v>100</v>
      </c>
      <c r="AH46" s="99">
        <v>100</v>
      </c>
      <c r="AI46" s="99">
        <v>100</v>
      </c>
      <c r="AJ46" s="99">
        <v>100</v>
      </c>
      <c r="AK46" s="99">
        <v>100</v>
      </c>
      <c r="AL46" s="99">
        <v>100</v>
      </c>
      <c r="AM46" s="99">
        <v>100</v>
      </c>
      <c r="AN46" s="99">
        <v>100</v>
      </c>
    </row>
    <row r="47" spans="1:40" s="30" customFormat="1" ht="15.6">
      <c r="A47"/>
      <c r="B47" s="29"/>
      <c r="C47" s="44" t="s">
        <v>876</v>
      </c>
      <c r="D47" s="39" t="s">
        <v>26</v>
      </c>
      <c r="E47" s="39" t="s">
        <v>513</v>
      </c>
      <c r="F47" t="s">
        <v>658</v>
      </c>
      <c r="G47" s="41">
        <f>VLOOKUP(F47,'(3) Demographie &amp; Departements'!$G$8:$J$526,4,0)</f>
        <v>18405.335416658731</v>
      </c>
      <c r="H47" s="96">
        <f t="shared" si="0"/>
        <v>8466.4542916630162</v>
      </c>
      <c r="I47" s="130">
        <f t="shared" si="1"/>
        <v>0.95</v>
      </c>
      <c r="J47" s="42">
        <f t="shared" si="2"/>
        <v>0.85</v>
      </c>
      <c r="K47" s="131">
        <f t="shared" si="3"/>
        <v>0.75</v>
      </c>
      <c r="L47" s="42"/>
      <c r="M47" s="42"/>
      <c r="N47" s="39" t="s">
        <v>26</v>
      </c>
      <c r="O47" s="39" t="s">
        <v>513</v>
      </c>
      <c r="P47" t="s">
        <v>658</v>
      </c>
      <c r="Q47" s="99">
        <v>100</v>
      </c>
      <c r="R47" s="99">
        <v>100</v>
      </c>
      <c r="S47" s="99">
        <v>100</v>
      </c>
      <c r="T47" s="99">
        <v>100</v>
      </c>
      <c r="U47" s="99">
        <v>99.993902243179903</v>
      </c>
      <c r="V47" s="99">
        <v>100</v>
      </c>
      <c r="W47" s="99">
        <v>94.992442700026203</v>
      </c>
      <c r="X47" s="99">
        <v>100</v>
      </c>
      <c r="Y47" s="99">
        <v>100</v>
      </c>
      <c r="Z47" s="99">
        <v>100</v>
      </c>
      <c r="AA47" s="99">
        <v>100</v>
      </c>
      <c r="AB47" s="99">
        <v>100</v>
      </c>
      <c r="AC47" s="99">
        <v>100</v>
      </c>
      <c r="AD47" s="99">
        <v>100</v>
      </c>
      <c r="AE47" s="99">
        <v>94.2970841359069</v>
      </c>
      <c r="AF47" s="99">
        <v>100</v>
      </c>
      <c r="AG47" s="99">
        <v>100</v>
      </c>
      <c r="AH47" s="99">
        <v>100</v>
      </c>
      <c r="AI47" s="99">
        <v>100</v>
      </c>
      <c r="AJ47" s="99">
        <v>100</v>
      </c>
      <c r="AK47" s="99">
        <v>94.527216783110205</v>
      </c>
      <c r="AL47" s="99">
        <v>100</v>
      </c>
      <c r="AM47" s="99">
        <v>100</v>
      </c>
      <c r="AN47" s="99">
        <v>98.692512763364903</v>
      </c>
    </row>
    <row r="48" spans="1:40" s="30" customFormat="1" ht="15.6">
      <c r="A48"/>
      <c r="B48" s="29"/>
      <c r="C48" s="44" t="s">
        <v>876</v>
      </c>
      <c r="D48" s="39" t="s">
        <v>26</v>
      </c>
      <c r="E48" s="39" t="s">
        <v>221</v>
      </c>
      <c r="F48" t="s">
        <v>659</v>
      </c>
      <c r="G48" s="41">
        <f>VLOOKUP(F48,'(3) Demographie &amp; Departements'!$G$8:$J$526,4,0)</f>
        <v>26499.76427598386</v>
      </c>
      <c r="H48" s="96">
        <f t="shared" si="0"/>
        <v>12189.891566952576</v>
      </c>
      <c r="I48" s="130">
        <f t="shared" si="1"/>
        <v>0.95</v>
      </c>
      <c r="J48" s="42">
        <f t="shared" si="2"/>
        <v>0.85</v>
      </c>
      <c r="K48" s="131">
        <f t="shared" si="3"/>
        <v>0.75</v>
      </c>
      <c r="L48" s="42"/>
      <c r="M48" s="42"/>
      <c r="N48" s="39" t="s">
        <v>26</v>
      </c>
      <c r="O48" s="39" t="s">
        <v>221</v>
      </c>
      <c r="P48" t="s">
        <v>659</v>
      </c>
      <c r="Q48" s="99">
        <v>100</v>
      </c>
      <c r="R48" s="99">
        <v>100</v>
      </c>
      <c r="S48" s="99">
        <v>100</v>
      </c>
      <c r="T48" s="99">
        <v>100</v>
      </c>
      <c r="U48" s="99">
        <v>100</v>
      </c>
      <c r="V48" s="99">
        <v>100</v>
      </c>
      <c r="W48" s="99">
        <v>97.659603595844303</v>
      </c>
      <c r="X48" s="99">
        <v>100</v>
      </c>
      <c r="Y48" s="99">
        <v>99.849254562627294</v>
      </c>
      <c r="Z48" s="99">
        <v>99.732115866842307</v>
      </c>
      <c r="AA48" s="99">
        <v>99.482833266387004</v>
      </c>
      <c r="AB48" s="99">
        <v>100</v>
      </c>
      <c r="AC48" s="99">
        <v>100</v>
      </c>
      <c r="AD48" s="99">
        <v>100</v>
      </c>
      <c r="AE48" s="99">
        <v>93.748191229457404</v>
      </c>
      <c r="AF48" s="99">
        <v>100</v>
      </c>
      <c r="AG48" s="99">
        <v>100</v>
      </c>
      <c r="AH48" s="99">
        <v>100</v>
      </c>
      <c r="AI48" s="99">
        <v>100</v>
      </c>
      <c r="AJ48" s="99">
        <v>100</v>
      </c>
      <c r="AK48" s="99">
        <v>100</v>
      </c>
      <c r="AL48" s="99">
        <v>99.932921394416994</v>
      </c>
      <c r="AM48" s="99">
        <v>100</v>
      </c>
      <c r="AN48" s="99">
        <v>98.849276031458203</v>
      </c>
    </row>
    <row r="49" spans="1:40" s="30" customFormat="1" ht="15.6">
      <c r="A49"/>
      <c r="B49" s="29"/>
      <c r="C49" s="44" t="s">
        <v>876</v>
      </c>
      <c r="D49" s="39" t="s">
        <v>26</v>
      </c>
      <c r="E49" s="39" t="s">
        <v>594</v>
      </c>
      <c r="F49" t="s">
        <v>660</v>
      </c>
      <c r="G49" s="41">
        <f>VLOOKUP(F49,'(3) Demographie &amp; Departements'!$G$8:$J$526,4,0)</f>
        <v>9190.0264962360197</v>
      </c>
      <c r="H49" s="96">
        <f t="shared" si="0"/>
        <v>4227.4121882685695</v>
      </c>
      <c r="I49" s="130">
        <f t="shared" si="1"/>
        <v>0.95</v>
      </c>
      <c r="J49" s="42">
        <f t="shared" si="2"/>
        <v>0.85</v>
      </c>
      <c r="K49" s="131">
        <f t="shared" si="3"/>
        <v>0.75</v>
      </c>
      <c r="L49" s="42"/>
      <c r="M49" s="42"/>
      <c r="N49" s="39" t="s">
        <v>26</v>
      </c>
      <c r="O49" s="39" t="s">
        <v>594</v>
      </c>
      <c r="P49" t="s">
        <v>660</v>
      </c>
      <c r="Q49" s="99">
        <v>99.836099803255607</v>
      </c>
      <c r="R49" s="99">
        <v>100</v>
      </c>
      <c r="S49" s="99">
        <v>99.641822480357305</v>
      </c>
      <c r="T49" s="99">
        <v>85.826245421365499</v>
      </c>
      <c r="U49" s="99">
        <v>71.941608796102599</v>
      </c>
      <c r="V49" s="99">
        <v>99.852393799755504</v>
      </c>
      <c r="W49" s="99">
        <v>81.282751720677894</v>
      </c>
      <c r="X49" s="99">
        <v>100</v>
      </c>
      <c r="Y49" s="99">
        <v>99.712618572552202</v>
      </c>
      <c r="Z49" s="99">
        <v>100</v>
      </c>
      <c r="AA49" s="99">
        <v>100</v>
      </c>
      <c r="AB49" s="99">
        <v>94.421686093625496</v>
      </c>
      <c r="AC49" s="99">
        <v>91.759803149337401</v>
      </c>
      <c r="AD49" s="99">
        <v>99.315416214199303</v>
      </c>
      <c r="AE49" s="99">
        <v>69.814175918006896</v>
      </c>
      <c r="AF49" s="99">
        <v>81.991531704739501</v>
      </c>
      <c r="AG49" s="99">
        <v>99.967645653169896</v>
      </c>
      <c r="AH49" s="99">
        <v>95.511391099081806</v>
      </c>
      <c r="AI49" s="99">
        <v>96.847393800398194</v>
      </c>
      <c r="AJ49" s="99">
        <v>99.974906679305107</v>
      </c>
      <c r="AK49" s="99">
        <v>99.893739156156499</v>
      </c>
      <c r="AL49" s="99">
        <v>99.262342120459195</v>
      </c>
      <c r="AM49" s="99">
        <v>100</v>
      </c>
      <c r="AN49" s="99">
        <v>87.082762804310306</v>
      </c>
    </row>
    <row r="50" spans="1:40" s="30" customFormat="1" ht="15.6">
      <c r="A50"/>
      <c r="B50" s="29"/>
      <c r="C50" s="44" t="s">
        <v>876</v>
      </c>
      <c r="D50" s="39" t="s">
        <v>26</v>
      </c>
      <c r="E50" s="39" t="s">
        <v>262</v>
      </c>
      <c r="F50" t="s">
        <v>661</v>
      </c>
      <c r="G50" s="41">
        <f>VLOOKUP(F50,'(3) Demographie &amp; Departements'!$G$8:$J$526,4,0)</f>
        <v>70198.004604951668</v>
      </c>
      <c r="H50" s="96">
        <f t="shared" si="0"/>
        <v>32291.082118277769</v>
      </c>
      <c r="I50" s="130">
        <f t="shared" si="1"/>
        <v>0.95</v>
      </c>
      <c r="J50" s="42">
        <f t="shared" si="2"/>
        <v>0.85</v>
      </c>
      <c r="K50" s="131">
        <f t="shared" si="3"/>
        <v>0.75</v>
      </c>
      <c r="L50" s="42"/>
      <c r="M50" s="42"/>
      <c r="N50" s="39" t="s">
        <v>26</v>
      </c>
      <c r="O50" s="39" t="s">
        <v>262</v>
      </c>
      <c r="P50" t="s">
        <v>661</v>
      </c>
      <c r="Q50" s="99">
        <v>100</v>
      </c>
      <c r="R50" s="99">
        <v>100</v>
      </c>
      <c r="S50" s="99">
        <v>100</v>
      </c>
      <c r="T50" s="99">
        <v>100</v>
      </c>
      <c r="U50" s="99">
        <v>100</v>
      </c>
      <c r="V50" s="99">
        <v>100</v>
      </c>
      <c r="W50" s="99">
        <v>99.895587628479802</v>
      </c>
      <c r="X50" s="99">
        <v>100</v>
      </c>
      <c r="Y50" s="99">
        <v>100</v>
      </c>
      <c r="Z50" s="99">
        <v>100</v>
      </c>
      <c r="AA50" s="99">
        <v>100</v>
      </c>
      <c r="AB50" s="99">
        <v>100</v>
      </c>
      <c r="AC50" s="99">
        <v>100</v>
      </c>
      <c r="AD50" s="99">
        <v>100</v>
      </c>
      <c r="AE50" s="99">
        <v>100</v>
      </c>
      <c r="AF50" s="99">
        <v>100</v>
      </c>
      <c r="AG50" s="99">
        <v>100</v>
      </c>
      <c r="AH50" s="99">
        <v>100</v>
      </c>
      <c r="AI50" s="99">
        <v>100</v>
      </c>
      <c r="AJ50" s="99">
        <v>100</v>
      </c>
      <c r="AK50" s="99">
        <v>100</v>
      </c>
      <c r="AL50" s="99">
        <v>100</v>
      </c>
      <c r="AM50" s="99">
        <v>100</v>
      </c>
      <c r="AN50" s="99">
        <v>100</v>
      </c>
    </row>
    <row r="51" spans="1:40" s="30" customFormat="1" ht="15.6">
      <c r="A51"/>
      <c r="B51" s="29"/>
      <c r="C51" s="44" t="s">
        <v>876</v>
      </c>
      <c r="D51" s="39" t="s">
        <v>26</v>
      </c>
      <c r="E51" s="39" t="s">
        <v>508</v>
      </c>
      <c r="F51" t="s">
        <v>662</v>
      </c>
      <c r="G51" s="41">
        <f>VLOOKUP(F51,'(3) Demographie &amp; Departements'!$G$8:$J$526,4,0)</f>
        <v>40480.992274233235</v>
      </c>
      <c r="H51" s="96">
        <f t="shared" si="0"/>
        <v>18621.25644614729</v>
      </c>
      <c r="I51" s="130">
        <f t="shared" si="1"/>
        <v>0.95</v>
      </c>
      <c r="J51" s="42">
        <f t="shared" si="2"/>
        <v>0.85</v>
      </c>
      <c r="K51" s="131">
        <f t="shared" si="3"/>
        <v>0.75</v>
      </c>
      <c r="L51" s="42"/>
      <c r="M51" s="42"/>
      <c r="N51" s="39" t="s">
        <v>26</v>
      </c>
      <c r="O51" s="39" t="s">
        <v>508</v>
      </c>
      <c r="P51" t="s">
        <v>662</v>
      </c>
      <c r="Q51" s="99">
        <v>100</v>
      </c>
      <c r="R51" s="99">
        <v>100</v>
      </c>
      <c r="S51" s="99">
        <v>100</v>
      </c>
      <c r="T51" s="99">
        <v>100</v>
      </c>
      <c r="U51" s="99">
        <v>100</v>
      </c>
      <c r="V51" s="99">
        <v>100</v>
      </c>
      <c r="W51" s="99">
        <v>92.916330033116594</v>
      </c>
      <c r="X51" s="99">
        <v>100</v>
      </c>
      <c r="Y51" s="99">
        <v>100</v>
      </c>
      <c r="Z51" s="99">
        <v>100</v>
      </c>
      <c r="AA51" s="99">
        <v>100</v>
      </c>
      <c r="AB51" s="99">
        <v>100</v>
      </c>
      <c r="AC51" s="99">
        <v>100</v>
      </c>
      <c r="AD51" s="99">
        <v>100</v>
      </c>
      <c r="AE51" s="99">
        <v>95.438746747799598</v>
      </c>
      <c r="AF51" s="99">
        <v>99.8162012116982</v>
      </c>
      <c r="AG51" s="99">
        <v>100</v>
      </c>
      <c r="AH51" s="99">
        <v>99.628661977413699</v>
      </c>
      <c r="AI51" s="99">
        <v>100</v>
      </c>
      <c r="AJ51" s="99">
        <v>100</v>
      </c>
      <c r="AK51" s="99">
        <v>100</v>
      </c>
      <c r="AL51" s="99">
        <v>100</v>
      </c>
      <c r="AM51" s="99">
        <v>100</v>
      </c>
      <c r="AN51" s="99">
        <v>93.539633433853595</v>
      </c>
    </row>
    <row r="52" spans="1:40" s="30" customFormat="1" ht="15.6">
      <c r="A52"/>
      <c r="B52" s="29"/>
      <c r="C52" s="44" t="s">
        <v>876</v>
      </c>
      <c r="D52" s="39" t="s">
        <v>26</v>
      </c>
      <c r="E52" s="39" t="s">
        <v>227</v>
      </c>
      <c r="F52" t="s">
        <v>663</v>
      </c>
      <c r="G52" s="41">
        <f>VLOOKUP(F52,'(3) Demographie &amp; Departements'!$G$8:$J$526,4,0)</f>
        <v>26944.203880863628</v>
      </c>
      <c r="H52" s="96">
        <f t="shared" si="0"/>
        <v>12394.33378519727</v>
      </c>
      <c r="I52" s="130">
        <f t="shared" si="1"/>
        <v>0.95</v>
      </c>
      <c r="J52" s="42">
        <f t="shared" si="2"/>
        <v>0.85</v>
      </c>
      <c r="K52" s="131">
        <f t="shared" si="3"/>
        <v>0.75</v>
      </c>
      <c r="L52" s="42"/>
      <c r="M52" s="42"/>
      <c r="N52" s="39" t="s">
        <v>26</v>
      </c>
      <c r="O52" s="39" t="s">
        <v>227</v>
      </c>
      <c r="P52" t="s">
        <v>663</v>
      </c>
      <c r="Q52" s="99">
        <v>100</v>
      </c>
      <c r="R52" s="99">
        <v>100</v>
      </c>
      <c r="S52" s="99">
        <v>100</v>
      </c>
      <c r="T52" s="99">
        <v>100</v>
      </c>
      <c r="U52" s="99">
        <v>100</v>
      </c>
      <c r="V52" s="99">
        <v>100</v>
      </c>
      <c r="W52" s="99">
        <v>100</v>
      </c>
      <c r="X52" s="99">
        <v>100</v>
      </c>
      <c r="Y52" s="99">
        <v>100</v>
      </c>
      <c r="Z52" s="99">
        <v>100</v>
      </c>
      <c r="AA52" s="99">
        <v>100</v>
      </c>
      <c r="AB52" s="99">
        <v>100</v>
      </c>
      <c r="AC52" s="99">
        <v>100</v>
      </c>
      <c r="AD52" s="99">
        <v>100</v>
      </c>
      <c r="AE52" s="99">
        <v>100</v>
      </c>
      <c r="AF52" s="99">
        <v>100</v>
      </c>
      <c r="AG52" s="99">
        <v>100</v>
      </c>
      <c r="AH52" s="99">
        <v>100</v>
      </c>
      <c r="AI52" s="99">
        <v>100</v>
      </c>
      <c r="AJ52" s="99">
        <v>100</v>
      </c>
      <c r="AK52" s="99">
        <v>100</v>
      </c>
      <c r="AL52" s="99">
        <v>100</v>
      </c>
      <c r="AM52" s="99">
        <v>100</v>
      </c>
      <c r="AN52" s="99">
        <v>100</v>
      </c>
    </row>
    <row r="53" spans="1:40" s="30" customFormat="1" ht="15.6">
      <c r="A53"/>
      <c r="B53" s="29"/>
      <c r="C53" s="44" t="s">
        <v>876</v>
      </c>
      <c r="D53" s="39" t="s">
        <v>26</v>
      </c>
      <c r="E53" s="39" t="s">
        <v>240</v>
      </c>
      <c r="F53" t="s">
        <v>664</v>
      </c>
      <c r="G53" s="41">
        <f>VLOOKUP(F53,'(3) Demographie &amp; Departements'!$G$8:$J$526,4,0)</f>
        <v>22962.766914883072</v>
      </c>
      <c r="H53" s="96">
        <f t="shared" si="0"/>
        <v>10562.872780846214</v>
      </c>
      <c r="I53" s="130">
        <f t="shared" si="1"/>
        <v>0.95</v>
      </c>
      <c r="J53" s="42">
        <f t="shared" si="2"/>
        <v>0.85</v>
      </c>
      <c r="K53" s="131">
        <f t="shared" si="3"/>
        <v>0.75</v>
      </c>
      <c r="L53" s="42"/>
      <c r="M53" s="42"/>
      <c r="N53" s="39" t="s">
        <v>26</v>
      </c>
      <c r="O53" s="39" t="s">
        <v>240</v>
      </c>
      <c r="P53" t="s">
        <v>664</v>
      </c>
      <c r="Q53" s="99">
        <v>100</v>
      </c>
      <c r="R53" s="99">
        <v>100</v>
      </c>
      <c r="S53" s="99">
        <v>100</v>
      </c>
      <c r="T53" s="99">
        <v>100</v>
      </c>
      <c r="U53" s="99">
        <v>100</v>
      </c>
      <c r="V53" s="99">
        <v>100</v>
      </c>
      <c r="W53" s="99">
        <v>96.775319834580401</v>
      </c>
      <c r="X53" s="99">
        <v>100</v>
      </c>
      <c r="Y53" s="99">
        <v>100</v>
      </c>
      <c r="Z53" s="99">
        <v>100</v>
      </c>
      <c r="AA53" s="99">
        <v>100</v>
      </c>
      <c r="AB53" s="99">
        <v>100</v>
      </c>
      <c r="AC53" s="99">
        <v>99.861890637545699</v>
      </c>
      <c r="AD53" s="99">
        <v>100</v>
      </c>
      <c r="AE53" s="99">
        <v>92.277383557769795</v>
      </c>
      <c r="AF53" s="99">
        <v>100</v>
      </c>
      <c r="AG53" s="99">
        <v>100</v>
      </c>
      <c r="AH53" s="99">
        <v>100</v>
      </c>
      <c r="AI53" s="99">
        <v>100</v>
      </c>
      <c r="AJ53" s="99">
        <v>100</v>
      </c>
      <c r="AK53" s="99">
        <v>100</v>
      </c>
      <c r="AL53" s="99">
        <v>100</v>
      </c>
      <c r="AM53" s="99">
        <v>100</v>
      </c>
      <c r="AN53" s="99">
        <v>100</v>
      </c>
    </row>
    <row r="54" spans="1:40" s="30" customFormat="1" ht="15.6">
      <c r="A54"/>
      <c r="B54" s="29"/>
      <c r="C54" s="44" t="s">
        <v>876</v>
      </c>
      <c r="D54" s="39" t="s">
        <v>26</v>
      </c>
      <c r="E54" s="39" t="s">
        <v>251</v>
      </c>
      <c r="F54" t="s">
        <v>665</v>
      </c>
      <c r="G54" s="41">
        <f>VLOOKUP(F54,'(3) Demographie &amp; Departements'!$G$8:$J$526,4,0)</f>
        <v>17163.118506425028</v>
      </c>
      <c r="H54" s="96">
        <f t="shared" si="0"/>
        <v>7895.0345129555126</v>
      </c>
      <c r="I54" s="130">
        <f t="shared" si="1"/>
        <v>0.95</v>
      </c>
      <c r="J54" s="42">
        <f t="shared" si="2"/>
        <v>0.85</v>
      </c>
      <c r="K54" s="131">
        <f t="shared" si="3"/>
        <v>0.75</v>
      </c>
      <c r="L54" s="42"/>
      <c r="M54" s="42"/>
      <c r="N54" s="39" t="s">
        <v>26</v>
      </c>
      <c r="O54" s="39" t="s">
        <v>251</v>
      </c>
      <c r="P54" t="s">
        <v>665</v>
      </c>
      <c r="Q54" s="99">
        <v>99.799668232439004</v>
      </c>
      <c r="R54" s="99">
        <v>99.014262151038807</v>
      </c>
      <c r="S54" s="99">
        <v>99.410154637787102</v>
      </c>
      <c r="T54" s="99">
        <v>90.968131641291393</v>
      </c>
      <c r="U54" s="99">
        <v>75.417247219750294</v>
      </c>
      <c r="V54" s="99">
        <v>98.994805370296504</v>
      </c>
      <c r="W54" s="99">
        <v>85.0779436062397</v>
      </c>
      <c r="X54" s="99">
        <v>100</v>
      </c>
      <c r="Y54" s="99">
        <v>99.096676649932604</v>
      </c>
      <c r="Z54" s="99">
        <v>99.810393180987504</v>
      </c>
      <c r="AA54" s="99">
        <v>99.914483970013407</v>
      </c>
      <c r="AB54" s="99">
        <v>96.749714297176197</v>
      </c>
      <c r="AC54" s="99">
        <v>99.136842117871595</v>
      </c>
      <c r="AD54" s="99">
        <v>99.803627979217794</v>
      </c>
      <c r="AE54" s="99">
        <v>70.5744896024094</v>
      </c>
      <c r="AF54" s="99">
        <v>81.953314703169198</v>
      </c>
      <c r="AG54" s="99">
        <v>99.198688970250203</v>
      </c>
      <c r="AH54" s="99">
        <v>96.804407540154102</v>
      </c>
      <c r="AI54" s="99">
        <v>93.035642145544401</v>
      </c>
      <c r="AJ54" s="99">
        <v>100</v>
      </c>
      <c r="AK54" s="99">
        <v>96.029888862212403</v>
      </c>
      <c r="AL54" s="99">
        <v>91.654769841755893</v>
      </c>
      <c r="AM54" s="99">
        <v>99.794265670716001</v>
      </c>
      <c r="AN54" s="99">
        <v>75.861119840261395</v>
      </c>
    </row>
    <row r="55" spans="1:40" s="30" customFormat="1" ht="15.6">
      <c r="A55"/>
      <c r="B55" s="29"/>
      <c r="C55" s="44" t="s">
        <v>876</v>
      </c>
      <c r="D55" s="39" t="s">
        <v>26</v>
      </c>
      <c r="E55" s="39" t="s">
        <v>527</v>
      </c>
      <c r="F55" t="s">
        <v>666</v>
      </c>
      <c r="G55" s="41">
        <f>VLOOKUP(F55,'(3) Demographie &amp; Departements'!$G$8:$J$526,4,0)</f>
        <v>56796.454764805858</v>
      </c>
      <c r="H55" s="96">
        <f t="shared" si="0"/>
        <v>26126.369191810696</v>
      </c>
      <c r="I55" s="130">
        <f t="shared" si="1"/>
        <v>0.95</v>
      </c>
      <c r="J55" s="42">
        <f t="shared" si="2"/>
        <v>0.85</v>
      </c>
      <c r="K55" s="131">
        <f t="shared" si="3"/>
        <v>0.75</v>
      </c>
      <c r="L55" s="42"/>
      <c r="M55" s="42"/>
      <c r="N55" s="39" t="s">
        <v>26</v>
      </c>
      <c r="O55" s="39" t="s">
        <v>527</v>
      </c>
      <c r="P55" t="s">
        <v>666</v>
      </c>
      <c r="Q55" s="99">
        <v>98.701487670690398</v>
      </c>
      <c r="R55" s="99">
        <v>100</v>
      </c>
      <c r="S55" s="99">
        <v>94.559546908563107</v>
      </c>
      <c r="T55" s="99">
        <v>99.291680682536906</v>
      </c>
      <c r="U55" s="99">
        <v>100</v>
      </c>
      <c r="V55" s="99">
        <v>99.345764316799205</v>
      </c>
      <c r="W55" s="99">
        <v>88.683832163705702</v>
      </c>
      <c r="X55" s="99">
        <v>99.835744609269994</v>
      </c>
      <c r="Y55" s="99">
        <v>99.927751119479893</v>
      </c>
      <c r="Z55" s="99">
        <v>99.028759728892197</v>
      </c>
      <c r="AA55" s="99">
        <v>99.722007526734203</v>
      </c>
      <c r="AB55" s="99">
        <v>100</v>
      </c>
      <c r="AC55" s="99">
        <v>98.636234915224506</v>
      </c>
      <c r="AD55" s="99">
        <v>99.487066671812698</v>
      </c>
      <c r="AE55" s="99">
        <v>85.173371839325497</v>
      </c>
      <c r="AF55" s="99">
        <v>98.293284342671896</v>
      </c>
      <c r="AG55" s="99">
        <v>99.852585188483701</v>
      </c>
      <c r="AH55" s="99">
        <v>97.545217881441602</v>
      </c>
      <c r="AI55" s="99">
        <v>89.957551692084095</v>
      </c>
      <c r="AJ55" s="99">
        <v>98.928208634878203</v>
      </c>
      <c r="AK55" s="99">
        <v>93.4413761966143</v>
      </c>
      <c r="AL55" s="99">
        <v>100</v>
      </c>
      <c r="AM55" s="99">
        <v>100</v>
      </c>
      <c r="AN55" s="99">
        <v>82.921338956150095</v>
      </c>
    </row>
    <row r="56" spans="1:40" s="30" customFormat="1" ht="15.6">
      <c r="A56"/>
      <c r="B56" s="29"/>
      <c r="C56" s="44" t="s">
        <v>876</v>
      </c>
      <c r="D56" s="39" t="s">
        <v>26</v>
      </c>
      <c r="E56" s="39" t="s">
        <v>434</v>
      </c>
      <c r="F56" t="s">
        <v>667</v>
      </c>
      <c r="G56" s="41">
        <f>VLOOKUP(F56,'(3) Demographie &amp; Departements'!$G$8:$J$526,4,0)</f>
        <v>46469.714312970318</v>
      </c>
      <c r="H56" s="96">
        <f t="shared" si="0"/>
        <v>21376.068583966346</v>
      </c>
      <c r="I56" s="130">
        <f t="shared" si="1"/>
        <v>0.95</v>
      </c>
      <c r="J56" s="42">
        <f t="shared" si="2"/>
        <v>0.85</v>
      </c>
      <c r="K56" s="131">
        <f t="shared" si="3"/>
        <v>0.75</v>
      </c>
      <c r="L56" s="42"/>
      <c r="M56" s="42"/>
      <c r="N56" s="39" t="s">
        <v>26</v>
      </c>
      <c r="O56" s="39" t="s">
        <v>434</v>
      </c>
      <c r="P56" t="s">
        <v>667</v>
      </c>
      <c r="Q56" s="99">
        <v>100</v>
      </c>
      <c r="R56" s="99">
        <v>100</v>
      </c>
      <c r="S56" s="99">
        <v>100</v>
      </c>
      <c r="T56" s="99">
        <v>100</v>
      </c>
      <c r="U56" s="99">
        <v>100</v>
      </c>
      <c r="V56" s="99">
        <v>100</v>
      </c>
      <c r="W56" s="99">
        <v>97.531804706168998</v>
      </c>
      <c r="X56" s="99">
        <v>100</v>
      </c>
      <c r="Y56" s="99">
        <v>99.660681072796393</v>
      </c>
      <c r="Z56" s="99">
        <v>99.518925756824899</v>
      </c>
      <c r="AA56" s="99">
        <v>99.399366485511607</v>
      </c>
      <c r="AB56" s="99">
        <v>100</v>
      </c>
      <c r="AC56" s="99">
        <v>100</v>
      </c>
      <c r="AD56" s="99">
        <v>100</v>
      </c>
      <c r="AE56" s="99">
        <v>95.046461397607402</v>
      </c>
      <c r="AF56" s="99">
        <v>99.205759510979803</v>
      </c>
      <c r="AG56" s="99">
        <v>100</v>
      </c>
      <c r="AH56" s="99">
        <v>100</v>
      </c>
      <c r="AI56" s="99">
        <v>98.210259634657305</v>
      </c>
      <c r="AJ56" s="99">
        <v>100</v>
      </c>
      <c r="AK56" s="99">
        <v>100</v>
      </c>
      <c r="AL56" s="99">
        <v>100</v>
      </c>
      <c r="AM56" s="99">
        <v>100</v>
      </c>
      <c r="AN56" s="99">
        <v>98.142822216748002</v>
      </c>
    </row>
    <row r="57" spans="1:40" s="30" customFormat="1" ht="15.6">
      <c r="A57"/>
      <c r="B57" s="29"/>
      <c r="C57" s="44" t="s">
        <v>876</v>
      </c>
      <c r="D57" s="39" t="s">
        <v>26</v>
      </c>
      <c r="E57" s="39" t="s">
        <v>576</v>
      </c>
      <c r="F57" t="s">
        <v>668</v>
      </c>
      <c r="G57" s="41">
        <f>VLOOKUP(F57,'(3) Demographie &amp; Departements'!$G$8:$J$526,4,0)</f>
        <v>23870.141453942841</v>
      </c>
      <c r="H57" s="96">
        <f t="shared" si="0"/>
        <v>10980.265068813707</v>
      </c>
      <c r="I57" s="130">
        <f t="shared" si="1"/>
        <v>0.95</v>
      </c>
      <c r="J57" s="42">
        <f t="shared" si="2"/>
        <v>0.85</v>
      </c>
      <c r="K57" s="131">
        <f t="shared" si="3"/>
        <v>0.75</v>
      </c>
      <c r="L57" s="42"/>
      <c r="M57" s="42"/>
      <c r="N57" s="39" t="s">
        <v>26</v>
      </c>
      <c r="O57" s="39" t="s">
        <v>576</v>
      </c>
      <c r="P57" t="s">
        <v>668</v>
      </c>
      <c r="Q57" s="99">
        <v>100</v>
      </c>
      <c r="R57" s="99">
        <v>100</v>
      </c>
      <c r="S57" s="99">
        <v>100</v>
      </c>
      <c r="T57" s="99">
        <v>90.347623732325204</v>
      </c>
      <c r="U57" s="99">
        <v>99.707967039987807</v>
      </c>
      <c r="V57" s="99">
        <v>100</v>
      </c>
      <c r="W57" s="99">
        <v>99.971956759226501</v>
      </c>
      <c r="X57" s="99">
        <v>100</v>
      </c>
      <c r="Y57" s="99">
        <v>100</v>
      </c>
      <c r="Z57" s="99">
        <v>100</v>
      </c>
      <c r="AA57" s="99">
        <v>100</v>
      </c>
      <c r="AB57" s="99">
        <v>100</v>
      </c>
      <c r="AC57" s="99">
        <v>91.576735147048197</v>
      </c>
      <c r="AD57" s="99">
        <v>100</v>
      </c>
      <c r="AE57" s="99">
        <v>82.498037431770996</v>
      </c>
      <c r="AF57" s="99">
        <v>99.6720281604631</v>
      </c>
      <c r="AG57" s="99">
        <v>100</v>
      </c>
      <c r="AH57" s="99">
        <v>100</v>
      </c>
      <c r="AI57" s="99">
        <v>100</v>
      </c>
      <c r="AJ57" s="99">
        <v>100</v>
      </c>
      <c r="AK57" s="99">
        <v>100</v>
      </c>
      <c r="AL57" s="99">
        <v>100</v>
      </c>
      <c r="AM57" s="99">
        <v>100</v>
      </c>
      <c r="AN57" s="99">
        <v>100</v>
      </c>
    </row>
    <row r="58" spans="1:40" s="30" customFormat="1" ht="15.6">
      <c r="A58"/>
      <c r="B58" s="29"/>
      <c r="C58" s="44" t="s">
        <v>876</v>
      </c>
      <c r="D58" s="39" t="s">
        <v>26</v>
      </c>
      <c r="E58" s="39" t="s">
        <v>434</v>
      </c>
      <c r="F58" t="s">
        <v>669</v>
      </c>
      <c r="G58" s="41">
        <f>VLOOKUP(F58,'(3) Demographie &amp; Departements'!$G$8:$J$526,4,0)</f>
        <v>8405.7210877779908</v>
      </c>
      <c r="H58" s="96">
        <f t="shared" si="0"/>
        <v>3866.6317003778759</v>
      </c>
      <c r="I58" s="130">
        <f t="shared" si="1"/>
        <v>0.95</v>
      </c>
      <c r="J58" s="42">
        <f t="shared" si="2"/>
        <v>0.85</v>
      </c>
      <c r="K58" s="131">
        <f t="shared" si="3"/>
        <v>0.75</v>
      </c>
      <c r="L58" s="42"/>
      <c r="M58" s="42"/>
      <c r="N58" s="39" t="s">
        <v>26</v>
      </c>
      <c r="O58" s="39" t="s">
        <v>434</v>
      </c>
      <c r="P58" t="s">
        <v>669</v>
      </c>
      <c r="Q58" s="99">
        <v>100</v>
      </c>
      <c r="R58" s="99">
        <v>100</v>
      </c>
      <c r="S58" s="99">
        <v>100</v>
      </c>
      <c r="T58" s="99">
        <v>99.5887694855207</v>
      </c>
      <c r="U58" s="99">
        <v>100</v>
      </c>
      <c r="V58" s="99">
        <v>100</v>
      </c>
      <c r="W58" s="99">
        <v>94.275037975203801</v>
      </c>
      <c r="X58" s="99">
        <v>98.971768067612004</v>
      </c>
      <c r="Y58" s="99">
        <v>100</v>
      </c>
      <c r="Z58" s="99">
        <v>100</v>
      </c>
      <c r="AA58" s="99">
        <v>100</v>
      </c>
      <c r="AB58" s="99">
        <v>100</v>
      </c>
      <c r="AC58" s="99">
        <v>100</v>
      </c>
      <c r="AD58" s="99">
        <v>100</v>
      </c>
      <c r="AE58" s="99">
        <v>95.062398673376904</v>
      </c>
      <c r="AF58" s="99">
        <v>95.329410479861593</v>
      </c>
      <c r="AG58" s="99">
        <v>100</v>
      </c>
      <c r="AH58" s="99">
        <v>100</v>
      </c>
      <c r="AI58" s="99">
        <v>91.313311440756095</v>
      </c>
      <c r="AJ58" s="99">
        <v>100</v>
      </c>
      <c r="AK58" s="99">
        <v>100</v>
      </c>
      <c r="AL58" s="99">
        <v>100</v>
      </c>
      <c r="AM58" s="99">
        <v>100</v>
      </c>
      <c r="AN58" s="99">
        <v>100</v>
      </c>
    </row>
    <row r="59" spans="1:40" s="30" customFormat="1" ht="15.6">
      <c r="A59"/>
      <c r="B59" s="29"/>
      <c r="C59" s="44" t="s">
        <v>876</v>
      </c>
      <c r="D59" s="39" t="s">
        <v>26</v>
      </c>
      <c r="E59" s="39" t="s">
        <v>441</v>
      </c>
      <c r="F59" t="s">
        <v>670</v>
      </c>
      <c r="G59" s="41">
        <f>VLOOKUP(F59,'(3) Demographie &amp; Departements'!$G$8:$J$526,4,0)</f>
        <v>36674.329069537125</v>
      </c>
      <c r="H59" s="96">
        <f t="shared" si="0"/>
        <v>16870.191371987079</v>
      </c>
      <c r="I59" s="130">
        <f t="shared" si="1"/>
        <v>0.95</v>
      </c>
      <c r="J59" s="42">
        <f t="shared" si="2"/>
        <v>0.85</v>
      </c>
      <c r="K59" s="131">
        <f t="shared" si="3"/>
        <v>0.75</v>
      </c>
      <c r="L59" s="42"/>
      <c r="M59" s="42"/>
      <c r="N59" s="39" t="s">
        <v>26</v>
      </c>
      <c r="O59" s="39" t="s">
        <v>441</v>
      </c>
      <c r="P59" t="s">
        <v>670</v>
      </c>
      <c r="Q59" s="99">
        <v>100</v>
      </c>
      <c r="R59" s="99">
        <v>100</v>
      </c>
      <c r="S59" s="99">
        <v>100</v>
      </c>
      <c r="T59" s="99">
        <v>100</v>
      </c>
      <c r="U59" s="99">
        <v>100</v>
      </c>
      <c r="V59" s="99">
        <v>100</v>
      </c>
      <c r="W59" s="99">
        <v>100</v>
      </c>
      <c r="X59" s="99">
        <v>100</v>
      </c>
      <c r="Y59" s="99">
        <v>100</v>
      </c>
      <c r="Z59" s="99">
        <v>100</v>
      </c>
      <c r="AA59" s="99">
        <v>100</v>
      </c>
      <c r="AB59" s="99">
        <v>100</v>
      </c>
      <c r="AC59" s="99">
        <v>100</v>
      </c>
      <c r="AD59" s="99">
        <v>100</v>
      </c>
      <c r="AE59" s="99">
        <v>96.035283724392798</v>
      </c>
      <c r="AF59" s="99">
        <v>100</v>
      </c>
      <c r="AG59" s="99">
        <v>100</v>
      </c>
      <c r="AH59" s="99">
        <v>100</v>
      </c>
      <c r="AI59" s="99">
        <v>99.407953821382094</v>
      </c>
      <c r="AJ59" s="99">
        <v>100</v>
      </c>
      <c r="AK59" s="99">
        <v>100</v>
      </c>
      <c r="AL59" s="99">
        <v>100</v>
      </c>
      <c r="AM59" s="99">
        <v>100</v>
      </c>
      <c r="AN59" s="99">
        <v>100</v>
      </c>
    </row>
    <row r="60" spans="1:40" s="30" customFormat="1" ht="15.6">
      <c r="A60"/>
      <c r="B60" s="29"/>
      <c r="C60" s="44" t="s">
        <v>876</v>
      </c>
      <c r="D60" s="39" t="s">
        <v>26</v>
      </c>
      <c r="E60" s="39" t="s">
        <v>527</v>
      </c>
      <c r="F60" t="s">
        <v>671</v>
      </c>
      <c r="G60" s="41">
        <f>VLOOKUP(F60,'(3) Demographie &amp; Departements'!$G$8:$J$526,4,0)</f>
        <v>90640.539073570166</v>
      </c>
      <c r="H60" s="96">
        <f t="shared" si="0"/>
        <v>41694.647973842279</v>
      </c>
      <c r="I60" s="130">
        <f t="shared" si="1"/>
        <v>0.95</v>
      </c>
      <c r="J60" s="42">
        <f t="shared" si="2"/>
        <v>0.85</v>
      </c>
      <c r="K60" s="131">
        <f t="shared" si="3"/>
        <v>0.75</v>
      </c>
      <c r="L60" s="42"/>
      <c r="M60" s="42"/>
      <c r="N60" s="39" t="s">
        <v>26</v>
      </c>
      <c r="O60" s="39" t="s">
        <v>527</v>
      </c>
      <c r="P60" t="s">
        <v>671</v>
      </c>
      <c r="Q60" s="99">
        <v>100</v>
      </c>
      <c r="R60" s="99">
        <v>100</v>
      </c>
      <c r="S60" s="99">
        <v>99.851829112674906</v>
      </c>
      <c r="T60" s="99">
        <v>99.998872931041006</v>
      </c>
      <c r="U60" s="99">
        <v>99.662152967641404</v>
      </c>
      <c r="V60" s="99">
        <v>99.8230686708321</v>
      </c>
      <c r="W60" s="99">
        <v>90.284947377575307</v>
      </c>
      <c r="X60" s="99">
        <v>99.9767333113315</v>
      </c>
      <c r="Y60" s="99">
        <v>99.977828637518996</v>
      </c>
      <c r="Z60" s="99">
        <v>99.549805552840894</v>
      </c>
      <c r="AA60" s="99">
        <v>99.760293644160001</v>
      </c>
      <c r="AB60" s="99">
        <v>100</v>
      </c>
      <c r="AC60" s="99">
        <v>99.679009069459596</v>
      </c>
      <c r="AD60" s="99">
        <v>99.836283188913399</v>
      </c>
      <c r="AE60" s="99">
        <v>86.111005058229097</v>
      </c>
      <c r="AF60" s="99">
        <v>92.932608768458095</v>
      </c>
      <c r="AG60" s="99">
        <v>99.742372522884907</v>
      </c>
      <c r="AH60" s="99">
        <v>99.826937643342603</v>
      </c>
      <c r="AI60" s="99">
        <v>93.895310133810995</v>
      </c>
      <c r="AJ60" s="99">
        <v>99.447101640725194</v>
      </c>
      <c r="AK60" s="99">
        <v>96.630583978265506</v>
      </c>
      <c r="AL60" s="99">
        <v>99.972023213670099</v>
      </c>
      <c r="AM60" s="99">
        <v>100</v>
      </c>
      <c r="AN60" s="99">
        <v>86.113205919617897</v>
      </c>
    </row>
    <row r="61" spans="1:40" s="30" customFormat="1" ht="15.6">
      <c r="A61"/>
      <c r="B61" s="29"/>
      <c r="C61" s="44" t="s">
        <v>876</v>
      </c>
      <c r="D61" s="39" t="s">
        <v>26</v>
      </c>
      <c r="E61" s="39" t="s">
        <v>251</v>
      </c>
      <c r="F61" t="s">
        <v>672</v>
      </c>
      <c r="G61" s="41">
        <f>VLOOKUP(F61,'(3) Demographie &amp; Departements'!$G$8:$J$526,4,0)</f>
        <v>12933.216983500482</v>
      </c>
      <c r="H61" s="96">
        <f t="shared" si="0"/>
        <v>5949.2798124102219</v>
      </c>
      <c r="I61" s="130">
        <f t="shared" si="1"/>
        <v>0.95</v>
      </c>
      <c r="J61" s="42">
        <f t="shared" si="2"/>
        <v>0.85</v>
      </c>
      <c r="K61" s="131">
        <f t="shared" si="3"/>
        <v>0.75</v>
      </c>
      <c r="L61" s="42"/>
      <c r="M61" s="42"/>
      <c r="N61" s="39" t="s">
        <v>26</v>
      </c>
      <c r="O61" s="39" t="s">
        <v>251</v>
      </c>
      <c r="P61" t="s">
        <v>672</v>
      </c>
      <c r="Q61" s="99">
        <v>100</v>
      </c>
      <c r="R61" s="99">
        <v>100</v>
      </c>
      <c r="S61" s="99">
        <v>100</v>
      </c>
      <c r="T61" s="99">
        <v>97.2057480054699</v>
      </c>
      <c r="U61" s="99">
        <v>95.484934611131294</v>
      </c>
      <c r="V61" s="99">
        <v>100</v>
      </c>
      <c r="W61" s="99">
        <v>94.891057167821799</v>
      </c>
      <c r="X61" s="99">
        <v>100</v>
      </c>
      <c r="Y61" s="99">
        <v>100</v>
      </c>
      <c r="Z61" s="99">
        <v>100</v>
      </c>
      <c r="AA61" s="99">
        <v>100</v>
      </c>
      <c r="AB61" s="99">
        <v>100</v>
      </c>
      <c r="AC61" s="99">
        <v>100</v>
      </c>
      <c r="AD61" s="99">
        <v>100</v>
      </c>
      <c r="AE61" s="99">
        <v>91.429135715073301</v>
      </c>
      <c r="AF61" s="99">
        <v>92.816004226077595</v>
      </c>
      <c r="AG61" s="99">
        <v>100</v>
      </c>
      <c r="AH61" s="99">
        <v>100</v>
      </c>
      <c r="AI61" s="99">
        <v>100</v>
      </c>
      <c r="AJ61" s="99">
        <v>100</v>
      </c>
      <c r="AK61" s="99">
        <v>99.324983787233094</v>
      </c>
      <c r="AL61" s="99">
        <v>100</v>
      </c>
      <c r="AM61" s="99">
        <v>100</v>
      </c>
      <c r="AN61" s="99">
        <v>89.8203280690078</v>
      </c>
    </row>
    <row r="62" spans="1:40" s="30" customFormat="1" ht="15.6">
      <c r="A62"/>
      <c r="B62" s="29"/>
      <c r="C62" s="44" t="s">
        <v>876</v>
      </c>
      <c r="D62" s="39" t="s">
        <v>26</v>
      </c>
      <c r="E62" s="39" t="s">
        <v>588</v>
      </c>
      <c r="F62" t="s">
        <v>673</v>
      </c>
      <c r="G62" s="41">
        <f>VLOOKUP(F62,'(3) Demographie &amp; Departements'!$G$8:$J$526,4,0)</f>
        <v>15090.255611190476</v>
      </c>
      <c r="H62" s="96">
        <f t="shared" si="0"/>
        <v>6941.5175811476192</v>
      </c>
      <c r="I62" s="130">
        <f t="shared" si="1"/>
        <v>0.95</v>
      </c>
      <c r="J62" s="42">
        <f t="shared" si="2"/>
        <v>0.85</v>
      </c>
      <c r="K62" s="131">
        <f t="shared" si="3"/>
        <v>0.75</v>
      </c>
      <c r="L62" s="42"/>
      <c r="M62" s="42"/>
      <c r="N62" s="39" t="s">
        <v>26</v>
      </c>
      <c r="O62" s="39" t="s">
        <v>588</v>
      </c>
      <c r="P62" t="s">
        <v>673</v>
      </c>
      <c r="Q62" s="99">
        <v>100</v>
      </c>
      <c r="R62" s="99">
        <v>100</v>
      </c>
      <c r="S62" s="99">
        <v>100</v>
      </c>
      <c r="T62" s="99">
        <v>92.173817334796297</v>
      </c>
      <c r="U62" s="99">
        <v>100</v>
      </c>
      <c r="V62" s="99">
        <v>100</v>
      </c>
      <c r="W62" s="99">
        <v>100</v>
      </c>
      <c r="X62" s="99">
        <v>100</v>
      </c>
      <c r="Y62" s="99">
        <v>100</v>
      </c>
      <c r="Z62" s="99">
        <v>100</v>
      </c>
      <c r="AA62" s="99">
        <v>100</v>
      </c>
      <c r="AB62" s="99">
        <v>100</v>
      </c>
      <c r="AC62" s="99">
        <v>97.596821617836795</v>
      </c>
      <c r="AD62" s="99">
        <v>100</v>
      </c>
      <c r="AE62" s="99">
        <v>100</v>
      </c>
      <c r="AF62" s="99">
        <v>100</v>
      </c>
      <c r="AG62" s="99">
        <v>100</v>
      </c>
      <c r="AH62" s="99">
        <v>100</v>
      </c>
      <c r="AI62" s="99">
        <v>100</v>
      </c>
      <c r="AJ62" s="99">
        <v>100</v>
      </c>
      <c r="AK62" s="99">
        <v>100</v>
      </c>
      <c r="AL62" s="99">
        <v>100</v>
      </c>
      <c r="AM62" s="99">
        <v>100</v>
      </c>
      <c r="AN62" s="99">
        <v>100</v>
      </c>
    </row>
    <row r="63" spans="1:40" s="30" customFormat="1" ht="15.6">
      <c r="A63"/>
      <c r="B63" s="29"/>
      <c r="C63" s="44" t="s">
        <v>876</v>
      </c>
      <c r="D63" s="39" t="s">
        <v>26</v>
      </c>
      <c r="E63" s="39" t="s">
        <v>235</v>
      </c>
      <c r="F63" t="s">
        <v>674</v>
      </c>
      <c r="G63" s="41">
        <f>VLOOKUP(F63,'(3) Demographie &amp; Departements'!$G$8:$J$526,4,0)</f>
        <v>34575.468069595234</v>
      </c>
      <c r="H63" s="96">
        <f t="shared" si="0"/>
        <v>15904.715312013808</v>
      </c>
      <c r="I63" s="130">
        <f t="shared" si="1"/>
        <v>0.95</v>
      </c>
      <c r="J63" s="42">
        <f t="shared" si="2"/>
        <v>0.85</v>
      </c>
      <c r="K63" s="131">
        <f t="shared" si="3"/>
        <v>0.75</v>
      </c>
      <c r="L63" s="42"/>
      <c r="M63" s="42"/>
      <c r="N63" s="39" t="s">
        <v>26</v>
      </c>
      <c r="O63" s="39" t="s">
        <v>235</v>
      </c>
      <c r="P63" t="s">
        <v>674</v>
      </c>
      <c r="Q63" s="99">
        <v>100</v>
      </c>
      <c r="R63" s="99">
        <v>100</v>
      </c>
      <c r="S63" s="99">
        <v>100</v>
      </c>
      <c r="T63" s="99">
        <v>100</v>
      </c>
      <c r="U63" s="99">
        <v>100</v>
      </c>
      <c r="V63" s="99">
        <v>100</v>
      </c>
      <c r="W63" s="99">
        <v>100</v>
      </c>
      <c r="X63" s="99">
        <v>100</v>
      </c>
      <c r="Y63" s="99">
        <v>100</v>
      </c>
      <c r="Z63" s="99">
        <v>100</v>
      </c>
      <c r="AA63" s="99">
        <v>100</v>
      </c>
      <c r="AB63" s="99">
        <v>100</v>
      </c>
      <c r="AC63" s="99">
        <v>100</v>
      </c>
      <c r="AD63" s="99">
        <v>100</v>
      </c>
      <c r="AE63" s="99">
        <v>99.189669004850202</v>
      </c>
      <c r="AF63" s="99">
        <v>100</v>
      </c>
      <c r="AG63" s="99">
        <v>100</v>
      </c>
      <c r="AH63" s="99">
        <v>100</v>
      </c>
      <c r="AI63" s="99">
        <v>100</v>
      </c>
      <c r="AJ63" s="99">
        <v>100</v>
      </c>
      <c r="AK63" s="99">
        <v>100</v>
      </c>
      <c r="AL63" s="99">
        <v>100</v>
      </c>
      <c r="AM63" s="99">
        <v>100</v>
      </c>
      <c r="AN63" s="99">
        <v>100</v>
      </c>
    </row>
    <row r="64" spans="1:40" s="30" customFormat="1" ht="15.6">
      <c r="A64"/>
      <c r="B64" s="29"/>
      <c r="C64" s="44" t="s">
        <v>876</v>
      </c>
      <c r="D64" s="39" t="s">
        <v>26</v>
      </c>
      <c r="E64" s="39" t="s">
        <v>245</v>
      </c>
      <c r="F64" t="s">
        <v>675</v>
      </c>
      <c r="G64" s="41">
        <f>VLOOKUP(F64,'(3) Demographie &amp; Departements'!$G$8:$J$526,4,0)</f>
        <v>10310.529458516701</v>
      </c>
      <c r="H64" s="96">
        <f t="shared" si="0"/>
        <v>4742.8435509176825</v>
      </c>
      <c r="I64" s="130">
        <f t="shared" si="1"/>
        <v>0.95</v>
      </c>
      <c r="J64" s="42">
        <f t="shared" si="2"/>
        <v>0.85</v>
      </c>
      <c r="K64" s="131">
        <f t="shared" si="3"/>
        <v>0.75</v>
      </c>
      <c r="L64" s="42"/>
      <c r="M64" s="42"/>
      <c r="N64" s="39" t="s">
        <v>26</v>
      </c>
      <c r="O64" s="39" t="s">
        <v>245</v>
      </c>
      <c r="P64" t="s">
        <v>675</v>
      </c>
      <c r="Q64" s="99">
        <v>100</v>
      </c>
      <c r="R64" s="99">
        <v>92.279875914968102</v>
      </c>
      <c r="S64" s="99">
        <v>100</v>
      </c>
      <c r="T64" s="99">
        <v>100</v>
      </c>
      <c r="U64" s="99">
        <v>81.127248472829606</v>
      </c>
      <c r="V64" s="99">
        <v>99.897304499508394</v>
      </c>
      <c r="W64" s="99">
        <v>85.3823789460168</v>
      </c>
      <c r="X64" s="99">
        <v>100</v>
      </c>
      <c r="Y64" s="99">
        <v>97.795939313184107</v>
      </c>
      <c r="Z64" s="99">
        <v>94.754524085422204</v>
      </c>
      <c r="AA64" s="99">
        <v>96.848436853988204</v>
      </c>
      <c r="AB64" s="99">
        <v>100</v>
      </c>
      <c r="AC64" s="99">
        <v>100</v>
      </c>
      <c r="AD64" s="99">
        <v>100</v>
      </c>
      <c r="AE64" s="99">
        <v>74.9160775976504</v>
      </c>
      <c r="AF64" s="99">
        <v>91.982319033495898</v>
      </c>
      <c r="AG64" s="99">
        <v>99.599404128321595</v>
      </c>
      <c r="AH64" s="99">
        <v>98.260759750584</v>
      </c>
      <c r="AI64" s="99">
        <v>94.441940784892594</v>
      </c>
      <c r="AJ64" s="99">
        <v>100</v>
      </c>
      <c r="AK64" s="99">
        <v>89.226202573573403</v>
      </c>
      <c r="AL64" s="99">
        <v>90.948120548623706</v>
      </c>
      <c r="AM64" s="99">
        <v>100</v>
      </c>
      <c r="AN64" s="99">
        <v>80.123842338739095</v>
      </c>
    </row>
    <row r="65" spans="1:40" s="30" customFormat="1" ht="15.6">
      <c r="A65"/>
      <c r="B65" s="29"/>
      <c r="C65" s="44" t="s">
        <v>876</v>
      </c>
      <c r="D65" s="39" t="s">
        <v>26</v>
      </c>
      <c r="E65" s="39" t="s">
        <v>498</v>
      </c>
      <c r="F65" t="s">
        <v>676</v>
      </c>
      <c r="G65" s="41">
        <f>VLOOKUP(F65,'(3) Demographie &amp; Departements'!$G$8:$J$526,4,0)</f>
        <v>18052.337989169111</v>
      </c>
      <c r="H65" s="96">
        <f t="shared" si="0"/>
        <v>8304.0754750177912</v>
      </c>
      <c r="I65" s="130">
        <f t="shared" si="1"/>
        <v>0.95</v>
      </c>
      <c r="J65" s="42">
        <f t="shared" si="2"/>
        <v>0.85</v>
      </c>
      <c r="K65" s="131">
        <f t="shared" si="3"/>
        <v>0.75</v>
      </c>
      <c r="L65" s="42"/>
      <c r="M65" s="42"/>
      <c r="N65" s="39" t="s">
        <v>26</v>
      </c>
      <c r="O65" s="39" t="s">
        <v>498</v>
      </c>
      <c r="P65" t="s">
        <v>676</v>
      </c>
      <c r="Q65" s="99">
        <v>100</v>
      </c>
      <c r="R65" s="99">
        <v>100</v>
      </c>
      <c r="S65" s="99">
        <v>100</v>
      </c>
      <c r="T65" s="99">
        <v>100</v>
      </c>
      <c r="U65" s="99">
        <v>99.980201446043097</v>
      </c>
      <c r="V65" s="99">
        <v>100</v>
      </c>
      <c r="W65" s="99">
        <v>90.123401383816002</v>
      </c>
      <c r="X65" s="99">
        <v>92.474270831173101</v>
      </c>
      <c r="Y65" s="99">
        <v>100</v>
      </c>
      <c r="Z65" s="99">
        <v>99.659392785047302</v>
      </c>
      <c r="AA65" s="99">
        <v>97.0310253951466</v>
      </c>
      <c r="AB65" s="99">
        <v>100</v>
      </c>
      <c r="AC65" s="99">
        <v>100</v>
      </c>
      <c r="AD65" s="99">
        <v>100</v>
      </c>
      <c r="AE65" s="99">
        <v>91.919888101667397</v>
      </c>
      <c r="AF65" s="99">
        <v>90.269300553752998</v>
      </c>
      <c r="AG65" s="99">
        <v>99.99389803247</v>
      </c>
      <c r="AH65" s="99">
        <v>100</v>
      </c>
      <c r="AI65" s="99">
        <v>83.617704455642496</v>
      </c>
      <c r="AJ65" s="99">
        <v>100</v>
      </c>
      <c r="AK65" s="99">
        <v>99.939966266112904</v>
      </c>
      <c r="AL65" s="99">
        <v>100</v>
      </c>
      <c r="AM65" s="99">
        <v>100</v>
      </c>
      <c r="AN65" s="99">
        <v>99.310382861765802</v>
      </c>
    </row>
    <row r="66" spans="1:40" s="30" customFormat="1" ht="15.6">
      <c r="A66"/>
      <c r="B66" s="29"/>
      <c r="C66" s="44" t="s">
        <v>876</v>
      </c>
      <c r="D66" s="39" t="s">
        <v>26</v>
      </c>
      <c r="E66" s="39" t="s">
        <v>99</v>
      </c>
      <c r="F66" t="s">
        <v>677</v>
      </c>
      <c r="G66" s="41">
        <f>VLOOKUP(F66,'(3) Demographie &amp; Departements'!$G$8:$J$526,4,0)</f>
        <v>32325.717920783009</v>
      </c>
      <c r="H66" s="96">
        <f t="shared" si="0"/>
        <v>14869.830243560185</v>
      </c>
      <c r="I66" s="130">
        <f t="shared" si="1"/>
        <v>0.95</v>
      </c>
      <c r="J66" s="42">
        <f t="shared" si="2"/>
        <v>0.85</v>
      </c>
      <c r="K66" s="131">
        <f t="shared" si="3"/>
        <v>0.75</v>
      </c>
      <c r="L66" s="42"/>
      <c r="M66" s="42"/>
      <c r="N66" s="39" t="s">
        <v>26</v>
      </c>
      <c r="O66" s="39" t="s">
        <v>99</v>
      </c>
      <c r="P66" t="s">
        <v>677</v>
      </c>
      <c r="Q66" s="99">
        <v>100</v>
      </c>
      <c r="R66" s="99">
        <v>100</v>
      </c>
      <c r="S66" s="99">
        <v>100</v>
      </c>
      <c r="T66" s="99">
        <v>99.940440026957006</v>
      </c>
      <c r="U66" s="99">
        <v>100</v>
      </c>
      <c r="V66" s="99">
        <v>100</v>
      </c>
      <c r="W66" s="99">
        <v>96.0661795023819</v>
      </c>
      <c r="X66" s="99">
        <v>100</v>
      </c>
      <c r="Y66" s="99">
        <v>99.1225136286441</v>
      </c>
      <c r="Z66" s="99">
        <v>99.714624335722306</v>
      </c>
      <c r="AA66" s="99">
        <v>99.931221031492399</v>
      </c>
      <c r="AB66" s="99">
        <v>100</v>
      </c>
      <c r="AC66" s="99">
        <v>99.785297330837395</v>
      </c>
      <c r="AD66" s="99">
        <v>100</v>
      </c>
      <c r="AE66" s="99">
        <v>96.129174897858405</v>
      </c>
      <c r="AF66" s="99">
        <v>100</v>
      </c>
      <c r="AG66" s="99">
        <v>100</v>
      </c>
      <c r="AH66" s="99">
        <v>99.623982888603507</v>
      </c>
      <c r="AI66" s="99">
        <v>99.595903221941896</v>
      </c>
      <c r="AJ66" s="99">
        <v>100</v>
      </c>
      <c r="AK66" s="99">
        <v>100</v>
      </c>
      <c r="AL66" s="99">
        <v>99.617640819704903</v>
      </c>
      <c r="AM66" s="99">
        <v>100</v>
      </c>
      <c r="AN66" s="99">
        <v>98.351688892439697</v>
      </c>
    </row>
    <row r="67" spans="1:40" s="30" customFormat="1" ht="15.6">
      <c r="A67"/>
      <c r="B67" s="29"/>
      <c r="C67" s="44" t="s">
        <v>876</v>
      </c>
      <c r="D67" s="39" t="s">
        <v>26</v>
      </c>
      <c r="E67" s="39" t="s">
        <v>270</v>
      </c>
      <c r="F67" t="s">
        <v>678</v>
      </c>
      <c r="G67" s="41">
        <f>VLOOKUP(F67,'(3) Demographie &amp; Departements'!$G$8:$J$526,4,0)</f>
        <v>37594.806967065466</v>
      </c>
      <c r="H67" s="96">
        <f t="shared" si="0"/>
        <v>17293.611204850116</v>
      </c>
      <c r="I67" s="130">
        <f t="shared" si="1"/>
        <v>0.95</v>
      </c>
      <c r="J67" s="42">
        <f t="shared" si="2"/>
        <v>0.85</v>
      </c>
      <c r="K67" s="131">
        <f t="shared" si="3"/>
        <v>0.75</v>
      </c>
      <c r="L67" s="42"/>
      <c r="M67" s="42"/>
      <c r="N67" s="39" t="s">
        <v>26</v>
      </c>
      <c r="O67" s="39" t="s">
        <v>270</v>
      </c>
      <c r="P67" t="s">
        <v>678</v>
      </c>
      <c r="Q67" s="99">
        <v>100</v>
      </c>
      <c r="R67" s="99">
        <v>100</v>
      </c>
      <c r="S67" s="99">
        <v>100</v>
      </c>
      <c r="T67" s="99">
        <v>100</v>
      </c>
      <c r="U67" s="99">
        <v>100</v>
      </c>
      <c r="V67" s="99">
        <v>100</v>
      </c>
      <c r="W67" s="99">
        <v>100</v>
      </c>
      <c r="X67" s="99">
        <v>100</v>
      </c>
      <c r="Y67" s="99">
        <v>100</v>
      </c>
      <c r="Z67" s="99">
        <v>100</v>
      </c>
      <c r="AA67" s="99">
        <v>100</v>
      </c>
      <c r="AB67" s="99">
        <v>100</v>
      </c>
      <c r="AC67" s="99">
        <v>100</v>
      </c>
      <c r="AD67" s="99">
        <v>100</v>
      </c>
      <c r="AE67" s="99">
        <v>99.745159926870997</v>
      </c>
      <c r="AF67" s="99">
        <v>100</v>
      </c>
      <c r="AG67" s="99">
        <v>100</v>
      </c>
      <c r="AH67" s="99">
        <v>100</v>
      </c>
      <c r="AI67" s="99">
        <v>100</v>
      </c>
      <c r="AJ67" s="99">
        <v>100</v>
      </c>
      <c r="AK67" s="99">
        <v>100</v>
      </c>
      <c r="AL67" s="99">
        <v>100</v>
      </c>
      <c r="AM67" s="99">
        <v>100</v>
      </c>
      <c r="AN67" s="99">
        <v>94.036537682746498</v>
      </c>
    </row>
    <row r="68" spans="1:40" s="30" customFormat="1" ht="15.6">
      <c r="A68"/>
      <c r="B68" s="29"/>
      <c r="C68" s="44" t="s">
        <v>876</v>
      </c>
      <c r="D68" s="39" t="s">
        <v>26</v>
      </c>
      <c r="E68" s="39" t="s">
        <v>257</v>
      </c>
      <c r="F68" t="s">
        <v>679</v>
      </c>
      <c r="G68" s="41">
        <f>VLOOKUP(F68,'(3) Demographie &amp; Departements'!$G$8:$J$526,4,0)</f>
        <v>20454.872577222191</v>
      </c>
      <c r="H68" s="96">
        <f t="shared" si="0"/>
        <v>9409.2413855222094</v>
      </c>
      <c r="I68" s="130">
        <f t="shared" si="1"/>
        <v>0.95</v>
      </c>
      <c r="J68" s="42">
        <f t="shared" si="2"/>
        <v>0.85</v>
      </c>
      <c r="K68" s="131">
        <f t="shared" si="3"/>
        <v>0.75</v>
      </c>
      <c r="L68" s="42"/>
      <c r="M68" s="42"/>
      <c r="N68" s="39" t="s">
        <v>26</v>
      </c>
      <c r="O68" s="39" t="s">
        <v>257</v>
      </c>
      <c r="P68" t="s">
        <v>679</v>
      </c>
      <c r="Q68" s="99">
        <v>100</v>
      </c>
      <c r="R68" s="99">
        <v>100</v>
      </c>
      <c r="S68" s="99">
        <v>100</v>
      </c>
      <c r="T68" s="99">
        <v>100</v>
      </c>
      <c r="U68" s="99">
        <v>100</v>
      </c>
      <c r="V68" s="99">
        <v>100</v>
      </c>
      <c r="W68" s="99">
        <v>99.871027891238498</v>
      </c>
      <c r="X68" s="99">
        <v>100</v>
      </c>
      <c r="Y68" s="99">
        <v>100</v>
      </c>
      <c r="Z68" s="99">
        <v>100</v>
      </c>
      <c r="AA68" s="99">
        <v>100</v>
      </c>
      <c r="AB68" s="99">
        <v>100</v>
      </c>
      <c r="AC68" s="99">
        <v>100</v>
      </c>
      <c r="AD68" s="99">
        <v>100</v>
      </c>
      <c r="AE68" s="99">
        <v>99.824146258083104</v>
      </c>
      <c r="AF68" s="99">
        <v>100</v>
      </c>
      <c r="AG68" s="99">
        <v>100</v>
      </c>
      <c r="AH68" s="99">
        <v>100</v>
      </c>
      <c r="AI68" s="99">
        <v>100</v>
      </c>
      <c r="AJ68" s="99">
        <v>100</v>
      </c>
      <c r="AK68" s="99">
        <v>100</v>
      </c>
      <c r="AL68" s="99">
        <v>100</v>
      </c>
      <c r="AM68" s="99">
        <v>100</v>
      </c>
      <c r="AN68" s="99">
        <v>100</v>
      </c>
    </row>
    <row r="69" spans="1:40" s="30" customFormat="1" ht="15.6">
      <c r="A69"/>
      <c r="B69" s="29"/>
      <c r="C69" s="44" t="s">
        <v>876</v>
      </c>
      <c r="D69" s="39" t="s">
        <v>26</v>
      </c>
      <c r="E69" s="39" t="s">
        <v>598</v>
      </c>
      <c r="F69" t="s">
        <v>680</v>
      </c>
      <c r="G69" s="41">
        <f>VLOOKUP(F69,'(3) Demographie &amp; Departements'!$G$8:$J$526,4,0)</f>
        <v>21521.852495951218</v>
      </c>
      <c r="H69" s="96">
        <f t="shared" si="0"/>
        <v>9900.0521481375599</v>
      </c>
      <c r="I69" s="130">
        <f t="shared" si="1"/>
        <v>0.95</v>
      </c>
      <c r="J69" s="42">
        <f t="shared" si="2"/>
        <v>0.85</v>
      </c>
      <c r="K69" s="131">
        <f t="shared" si="3"/>
        <v>0.75</v>
      </c>
      <c r="L69" s="42"/>
      <c r="M69" s="42"/>
      <c r="N69" s="39" t="s">
        <v>26</v>
      </c>
      <c r="O69" s="39" t="s">
        <v>598</v>
      </c>
      <c r="P69" t="s">
        <v>680</v>
      </c>
      <c r="Q69" s="99">
        <v>100</v>
      </c>
      <c r="R69" s="99">
        <v>100</v>
      </c>
      <c r="S69" s="99">
        <v>100</v>
      </c>
      <c r="T69" s="99">
        <v>91.520818524976093</v>
      </c>
      <c r="U69" s="99">
        <v>100</v>
      </c>
      <c r="V69" s="99">
        <v>100</v>
      </c>
      <c r="W69" s="99">
        <v>100</v>
      </c>
      <c r="X69" s="99">
        <v>100</v>
      </c>
      <c r="Y69" s="99">
        <v>100</v>
      </c>
      <c r="Z69" s="99">
        <v>100</v>
      </c>
      <c r="AA69" s="99">
        <v>100</v>
      </c>
      <c r="AB69" s="99">
        <v>100</v>
      </c>
      <c r="AC69" s="99">
        <v>95.587858196916599</v>
      </c>
      <c r="AD69" s="99">
        <v>100</v>
      </c>
      <c r="AE69" s="99">
        <v>94.998262045908504</v>
      </c>
      <c r="AF69" s="99">
        <v>100</v>
      </c>
      <c r="AG69" s="99">
        <v>99.3436305978164</v>
      </c>
      <c r="AH69" s="99">
        <v>100</v>
      </c>
      <c r="AI69" s="99">
        <v>100</v>
      </c>
      <c r="AJ69" s="99">
        <v>100</v>
      </c>
      <c r="AK69" s="99">
        <v>100</v>
      </c>
      <c r="AL69" s="99">
        <v>100</v>
      </c>
      <c r="AM69" s="99">
        <v>100</v>
      </c>
      <c r="AN69" s="99">
        <v>100</v>
      </c>
    </row>
    <row r="70" spans="1:40" s="30" customFormat="1" ht="15.6">
      <c r="A70"/>
      <c r="B70" s="29"/>
      <c r="C70" s="44" t="s">
        <v>876</v>
      </c>
      <c r="D70" s="39" t="s">
        <v>26</v>
      </c>
      <c r="E70" s="39" t="s">
        <v>588</v>
      </c>
      <c r="F70" t="s">
        <v>681</v>
      </c>
      <c r="G70" s="41">
        <f>VLOOKUP(F70,'(3) Demographie &amp; Departements'!$G$8:$J$526,4,0)</f>
        <v>30327.640354629268</v>
      </c>
      <c r="H70" s="96">
        <f t="shared" si="0"/>
        <v>13950.714563129464</v>
      </c>
      <c r="I70" s="130">
        <f t="shared" si="1"/>
        <v>0.95</v>
      </c>
      <c r="J70" s="42">
        <f t="shared" si="2"/>
        <v>0.85</v>
      </c>
      <c r="K70" s="131">
        <f t="shared" si="3"/>
        <v>0.75</v>
      </c>
      <c r="L70" s="42"/>
      <c r="M70" s="42"/>
      <c r="N70" s="39" t="s">
        <v>26</v>
      </c>
      <c r="O70" s="39" t="s">
        <v>588</v>
      </c>
      <c r="P70" t="s">
        <v>681</v>
      </c>
      <c r="Q70" s="99">
        <v>99.997147076911205</v>
      </c>
      <c r="R70" s="99">
        <v>100</v>
      </c>
      <c r="S70" s="99">
        <v>100</v>
      </c>
      <c r="T70" s="99">
        <v>88.790648830574895</v>
      </c>
      <c r="U70" s="99">
        <v>82.759526521391194</v>
      </c>
      <c r="V70" s="99">
        <v>99.968633930592205</v>
      </c>
      <c r="W70" s="99">
        <v>85.605257916353196</v>
      </c>
      <c r="X70" s="99">
        <v>100</v>
      </c>
      <c r="Y70" s="99">
        <v>99.941611801121198</v>
      </c>
      <c r="Z70" s="99">
        <v>100</v>
      </c>
      <c r="AA70" s="99">
        <v>100</v>
      </c>
      <c r="AB70" s="99">
        <v>99.653885924684204</v>
      </c>
      <c r="AC70" s="99">
        <v>93.9674195181464</v>
      </c>
      <c r="AD70" s="99">
        <v>99.865729341752996</v>
      </c>
      <c r="AE70" s="99">
        <v>81.864993413451003</v>
      </c>
      <c r="AF70" s="99">
        <v>90.930647501052903</v>
      </c>
      <c r="AG70" s="99">
        <v>100</v>
      </c>
      <c r="AH70" s="99">
        <v>97.802782474084694</v>
      </c>
      <c r="AI70" s="99">
        <v>99.902040031516094</v>
      </c>
      <c r="AJ70" s="99">
        <v>100</v>
      </c>
      <c r="AK70" s="99">
        <v>99.992732115189199</v>
      </c>
      <c r="AL70" s="99">
        <v>99.840994962782503</v>
      </c>
      <c r="AM70" s="99">
        <v>100</v>
      </c>
      <c r="AN70" s="99">
        <v>98.239609092971406</v>
      </c>
    </row>
    <row r="71" spans="1:40" s="30" customFormat="1" ht="15.6">
      <c r="A71"/>
      <c r="B71" s="29"/>
      <c r="C71" s="44" t="s">
        <v>876</v>
      </c>
      <c r="D71" s="39" t="s">
        <v>26</v>
      </c>
      <c r="E71" s="39" t="s">
        <v>267</v>
      </c>
      <c r="F71" t="s">
        <v>682</v>
      </c>
      <c r="G71" s="41">
        <f>VLOOKUP(F71,'(3) Demographie &amp; Departements'!$G$8:$J$526,4,0)</f>
        <v>24420.944738019447</v>
      </c>
      <c r="H71" s="96">
        <f t="shared" si="0"/>
        <v>11233.634579488946</v>
      </c>
      <c r="I71" s="130">
        <f t="shared" si="1"/>
        <v>0.95</v>
      </c>
      <c r="J71" s="42">
        <f t="shared" si="2"/>
        <v>0.85</v>
      </c>
      <c r="K71" s="131">
        <f t="shared" si="3"/>
        <v>0.75</v>
      </c>
      <c r="L71" s="42"/>
      <c r="M71" s="42"/>
      <c r="N71" s="39" t="s">
        <v>26</v>
      </c>
      <c r="O71" s="39" t="s">
        <v>267</v>
      </c>
      <c r="P71" t="s">
        <v>682</v>
      </c>
      <c r="Q71" s="99">
        <v>100</v>
      </c>
      <c r="R71" s="99">
        <v>100</v>
      </c>
      <c r="S71" s="99">
        <v>100</v>
      </c>
      <c r="T71" s="99">
        <v>100</v>
      </c>
      <c r="U71" s="99">
        <v>99.640205547474494</v>
      </c>
      <c r="V71" s="99">
        <v>100</v>
      </c>
      <c r="W71" s="99">
        <v>91.727380467833996</v>
      </c>
      <c r="X71" s="99">
        <v>100</v>
      </c>
      <c r="Y71" s="99">
        <v>99.867499864289897</v>
      </c>
      <c r="Z71" s="99">
        <v>100</v>
      </c>
      <c r="AA71" s="99">
        <v>98.683088970529496</v>
      </c>
      <c r="AB71" s="99">
        <v>100</v>
      </c>
      <c r="AC71" s="99">
        <v>100</v>
      </c>
      <c r="AD71" s="99">
        <v>100</v>
      </c>
      <c r="AE71" s="99">
        <v>87.146096724779298</v>
      </c>
      <c r="AF71" s="99">
        <v>100</v>
      </c>
      <c r="AG71" s="99">
        <v>100</v>
      </c>
      <c r="AH71" s="99">
        <v>100</v>
      </c>
      <c r="AI71" s="99">
        <v>100</v>
      </c>
      <c r="AJ71" s="99">
        <v>100</v>
      </c>
      <c r="AK71" s="99">
        <v>100</v>
      </c>
      <c r="AL71" s="99">
        <v>100</v>
      </c>
      <c r="AM71" s="99">
        <v>100</v>
      </c>
      <c r="AN71" s="99">
        <v>98.468855717476103</v>
      </c>
    </row>
    <row r="72" spans="1:40" s="30" customFormat="1" ht="15.6">
      <c r="A72"/>
      <c r="B72" s="29"/>
      <c r="C72" s="44" t="s">
        <v>876</v>
      </c>
      <c r="D72" s="39" t="s">
        <v>26</v>
      </c>
      <c r="E72" s="39" t="s">
        <v>588</v>
      </c>
      <c r="F72" t="s">
        <v>683</v>
      </c>
      <c r="G72" s="41">
        <f>VLOOKUP(F72,'(3) Demographie &amp; Departements'!$G$8:$J$526,4,0)</f>
        <v>49279.808392331142</v>
      </c>
      <c r="H72" s="96">
        <f t="shared" ref="H72:H135" si="4">$H$3*G72</f>
        <v>22668.711860472325</v>
      </c>
      <c r="I72" s="130">
        <f t="shared" si="1"/>
        <v>0.95</v>
      </c>
      <c r="J72" s="42">
        <f t="shared" si="2"/>
        <v>0.85</v>
      </c>
      <c r="K72" s="131">
        <f t="shared" si="3"/>
        <v>0.75</v>
      </c>
      <c r="L72" s="42"/>
      <c r="M72" s="42"/>
      <c r="N72" s="39" t="s">
        <v>26</v>
      </c>
      <c r="O72" s="39" t="s">
        <v>588</v>
      </c>
      <c r="P72" t="s">
        <v>683</v>
      </c>
      <c r="Q72" s="99">
        <v>100</v>
      </c>
      <c r="R72" s="99">
        <v>100</v>
      </c>
      <c r="S72" s="99">
        <v>100</v>
      </c>
      <c r="T72" s="99">
        <v>93.221313768585503</v>
      </c>
      <c r="U72" s="99">
        <v>96.794659157186103</v>
      </c>
      <c r="V72" s="99">
        <v>100</v>
      </c>
      <c r="W72" s="99">
        <v>97.187444100892094</v>
      </c>
      <c r="X72" s="99">
        <v>100</v>
      </c>
      <c r="Y72" s="99">
        <v>100</v>
      </c>
      <c r="Z72" s="99">
        <v>100</v>
      </c>
      <c r="AA72" s="99">
        <v>100</v>
      </c>
      <c r="AB72" s="99">
        <v>100</v>
      </c>
      <c r="AC72" s="99">
        <v>94.369229767993005</v>
      </c>
      <c r="AD72" s="99">
        <v>100</v>
      </c>
      <c r="AE72" s="99">
        <v>86.409377049482202</v>
      </c>
      <c r="AF72" s="99">
        <v>98.178657596533299</v>
      </c>
      <c r="AG72" s="99">
        <v>99.928754241311793</v>
      </c>
      <c r="AH72" s="99">
        <v>98.883794819737602</v>
      </c>
      <c r="AI72" s="99">
        <v>100</v>
      </c>
      <c r="AJ72" s="99">
        <v>100</v>
      </c>
      <c r="AK72" s="99">
        <v>100</v>
      </c>
      <c r="AL72" s="99">
        <v>100</v>
      </c>
      <c r="AM72" s="99">
        <v>100</v>
      </c>
      <c r="AN72" s="99">
        <v>99.997784398284793</v>
      </c>
    </row>
    <row r="73" spans="1:40" s="30" customFormat="1" ht="15.6">
      <c r="A73"/>
      <c r="B73" s="29"/>
      <c r="C73" s="44" t="s">
        <v>876</v>
      </c>
      <c r="D73" s="39" t="s">
        <v>26</v>
      </c>
      <c r="E73" s="39" t="s">
        <v>235</v>
      </c>
      <c r="F73" t="s">
        <v>684</v>
      </c>
      <c r="G73" s="41">
        <f>VLOOKUP(F73,'(3) Demographie &amp; Departements'!$G$8:$J$526,4,0)</f>
        <v>33388.445383154576</v>
      </c>
      <c r="H73" s="96">
        <f t="shared" si="4"/>
        <v>15358.684876251105</v>
      </c>
      <c r="I73" s="130">
        <f t="shared" si="1"/>
        <v>0.95</v>
      </c>
      <c r="J73" s="42">
        <f t="shared" si="2"/>
        <v>0.85</v>
      </c>
      <c r="K73" s="131">
        <f t="shared" si="3"/>
        <v>0.75</v>
      </c>
      <c r="L73" s="42"/>
      <c r="M73" s="42"/>
      <c r="N73" s="39" t="s">
        <v>26</v>
      </c>
      <c r="O73" s="39" t="s">
        <v>235</v>
      </c>
      <c r="P73" t="s">
        <v>684</v>
      </c>
      <c r="Q73" s="99">
        <v>100</v>
      </c>
      <c r="R73" s="99">
        <v>100</v>
      </c>
      <c r="S73" s="99">
        <v>100</v>
      </c>
      <c r="T73" s="99">
        <v>100</v>
      </c>
      <c r="U73" s="99">
        <v>100</v>
      </c>
      <c r="V73" s="99">
        <v>100</v>
      </c>
      <c r="W73" s="99">
        <v>100</v>
      </c>
      <c r="X73" s="99">
        <v>100</v>
      </c>
      <c r="Y73" s="99">
        <v>100</v>
      </c>
      <c r="Z73" s="99">
        <v>100</v>
      </c>
      <c r="AA73" s="99">
        <v>100</v>
      </c>
      <c r="AB73" s="99">
        <v>100</v>
      </c>
      <c r="AC73" s="99">
        <v>100</v>
      </c>
      <c r="AD73" s="99">
        <v>100</v>
      </c>
      <c r="AE73" s="99">
        <v>100</v>
      </c>
      <c r="AF73" s="99">
        <v>100</v>
      </c>
      <c r="AG73" s="99">
        <v>100</v>
      </c>
      <c r="AH73" s="99">
        <v>100</v>
      </c>
      <c r="AI73" s="99">
        <v>100</v>
      </c>
      <c r="AJ73" s="99">
        <v>100</v>
      </c>
      <c r="AK73" s="99">
        <v>100</v>
      </c>
      <c r="AL73" s="99">
        <v>100</v>
      </c>
      <c r="AM73" s="99">
        <v>100</v>
      </c>
      <c r="AN73" s="99">
        <v>100</v>
      </c>
    </row>
    <row r="74" spans="1:40" s="30" customFormat="1" ht="15.6">
      <c r="A74"/>
      <c r="B74" s="29"/>
      <c r="C74" s="44" t="s">
        <v>876</v>
      </c>
      <c r="D74" s="39" t="s">
        <v>26</v>
      </c>
      <c r="E74" s="39" t="s">
        <v>270</v>
      </c>
      <c r="F74" t="s">
        <v>685</v>
      </c>
      <c r="G74" s="41">
        <f>VLOOKUP(F74,'(3) Demographie &amp; Departements'!$G$8:$J$526,4,0)</f>
        <v>20626.321740691728</v>
      </c>
      <c r="H74" s="96">
        <f t="shared" si="4"/>
        <v>9488.1080007181954</v>
      </c>
      <c r="I74" s="130">
        <f t="shared" ref="I74:I137" si="5">I73</f>
        <v>0.95</v>
      </c>
      <c r="J74" s="42">
        <f t="shared" ref="J74:J137" si="6">J73</f>
        <v>0.85</v>
      </c>
      <c r="K74" s="131">
        <f t="shared" ref="K74:K137" si="7">K73</f>
        <v>0.75</v>
      </c>
      <c r="L74" s="42"/>
      <c r="M74" s="42"/>
      <c r="N74" s="39" t="s">
        <v>26</v>
      </c>
      <c r="O74" s="39" t="s">
        <v>270</v>
      </c>
      <c r="P74" t="s">
        <v>685</v>
      </c>
      <c r="Q74" s="99">
        <v>100</v>
      </c>
      <c r="R74" s="99">
        <v>100</v>
      </c>
      <c r="S74" s="99">
        <v>100</v>
      </c>
      <c r="T74" s="99">
        <v>100</v>
      </c>
      <c r="U74" s="99">
        <v>100</v>
      </c>
      <c r="V74" s="99">
        <v>100</v>
      </c>
      <c r="W74" s="99">
        <v>100</v>
      </c>
      <c r="X74" s="99">
        <v>100</v>
      </c>
      <c r="Y74" s="99">
        <v>100</v>
      </c>
      <c r="Z74" s="99">
        <v>100</v>
      </c>
      <c r="AA74" s="99">
        <v>100</v>
      </c>
      <c r="AB74" s="99">
        <v>100</v>
      </c>
      <c r="AC74" s="99">
        <v>100</v>
      </c>
      <c r="AD74" s="99">
        <v>100</v>
      </c>
      <c r="AE74" s="99">
        <v>100</v>
      </c>
      <c r="AF74" s="99">
        <v>100</v>
      </c>
      <c r="AG74" s="99">
        <v>100</v>
      </c>
      <c r="AH74" s="99">
        <v>100</v>
      </c>
      <c r="AI74" s="99">
        <v>100</v>
      </c>
      <c r="AJ74" s="99">
        <v>100</v>
      </c>
      <c r="AK74" s="99">
        <v>100</v>
      </c>
      <c r="AL74" s="99">
        <v>100</v>
      </c>
      <c r="AM74" s="99">
        <v>100</v>
      </c>
      <c r="AN74" s="99">
        <v>97.449332768558605</v>
      </c>
    </row>
    <row r="75" spans="1:40" s="30" customFormat="1" ht="15.6">
      <c r="A75"/>
      <c r="B75" s="29"/>
      <c r="C75" s="44" t="s">
        <v>876</v>
      </c>
      <c r="D75" s="39" t="s">
        <v>26</v>
      </c>
      <c r="E75" s="39" t="s">
        <v>505</v>
      </c>
      <c r="F75" t="s">
        <v>686</v>
      </c>
      <c r="G75" s="41">
        <f>VLOOKUP(F75,'(3) Demographie &amp; Departements'!$G$8:$J$526,4,0)</f>
        <v>13401.680408077102</v>
      </c>
      <c r="H75" s="96">
        <f t="shared" si="4"/>
        <v>6164.772987715467</v>
      </c>
      <c r="I75" s="130">
        <f t="shared" si="5"/>
        <v>0.95</v>
      </c>
      <c r="J75" s="42">
        <f t="shared" si="6"/>
        <v>0.85</v>
      </c>
      <c r="K75" s="131">
        <f t="shared" si="7"/>
        <v>0.75</v>
      </c>
      <c r="L75" s="42"/>
      <c r="M75" s="42"/>
      <c r="N75" s="39" t="s">
        <v>26</v>
      </c>
      <c r="O75" s="39" t="s">
        <v>505</v>
      </c>
      <c r="P75" t="s">
        <v>686</v>
      </c>
      <c r="Q75" s="99">
        <v>100</v>
      </c>
      <c r="R75" s="99">
        <v>100</v>
      </c>
      <c r="S75" s="99">
        <v>100</v>
      </c>
      <c r="T75" s="99">
        <v>100</v>
      </c>
      <c r="U75" s="99">
        <v>97.536860472638196</v>
      </c>
      <c r="V75" s="99">
        <v>99.668521949330099</v>
      </c>
      <c r="W75" s="99">
        <v>81.322482764593801</v>
      </c>
      <c r="X75" s="99">
        <v>99.783571354267906</v>
      </c>
      <c r="Y75" s="99">
        <v>100</v>
      </c>
      <c r="Z75" s="99">
        <v>97.679342067207202</v>
      </c>
      <c r="AA75" s="99">
        <v>99.285568318844199</v>
      </c>
      <c r="AB75" s="99">
        <v>100</v>
      </c>
      <c r="AC75" s="99">
        <v>100</v>
      </c>
      <c r="AD75" s="99">
        <v>100</v>
      </c>
      <c r="AE75" s="99">
        <v>81.0063488149558</v>
      </c>
      <c r="AF75" s="99">
        <v>92.166655041180704</v>
      </c>
      <c r="AG75" s="99">
        <v>99.101304528165002</v>
      </c>
      <c r="AH75" s="99">
        <v>99.936687457413598</v>
      </c>
      <c r="AI75" s="99">
        <v>86.2599655174878</v>
      </c>
      <c r="AJ75" s="99">
        <v>99.759672906815595</v>
      </c>
      <c r="AK75" s="99">
        <v>96.756931412773199</v>
      </c>
      <c r="AL75" s="99">
        <v>100</v>
      </c>
      <c r="AM75" s="99">
        <v>100</v>
      </c>
      <c r="AN75" s="99">
        <v>97.155560380828902</v>
      </c>
    </row>
    <row r="76" spans="1:40" s="30" customFormat="1" ht="15.6">
      <c r="A76"/>
      <c r="B76" s="29"/>
      <c r="C76" s="44" t="s">
        <v>876</v>
      </c>
      <c r="D76" s="39" t="s">
        <v>26</v>
      </c>
      <c r="E76" s="39" t="s">
        <v>505</v>
      </c>
      <c r="F76" t="s">
        <v>687</v>
      </c>
      <c r="G76" s="41">
        <f>VLOOKUP(F76,'(3) Demographie &amp; Departements'!$G$8:$J$526,4,0)</f>
        <v>32300.190263720309</v>
      </c>
      <c r="H76" s="96">
        <f t="shared" si="4"/>
        <v>14858.087521311343</v>
      </c>
      <c r="I76" s="130">
        <f t="shared" si="5"/>
        <v>0.95</v>
      </c>
      <c r="J76" s="42">
        <f t="shared" si="6"/>
        <v>0.85</v>
      </c>
      <c r="K76" s="131">
        <f t="shared" si="7"/>
        <v>0.75</v>
      </c>
      <c r="L76" s="42"/>
      <c r="M76" s="42"/>
      <c r="N76" s="39" t="s">
        <v>26</v>
      </c>
      <c r="O76" s="39" t="s">
        <v>505</v>
      </c>
      <c r="P76" t="s">
        <v>687</v>
      </c>
      <c r="Q76" s="99">
        <v>100</v>
      </c>
      <c r="R76" s="99">
        <v>100</v>
      </c>
      <c r="S76" s="99">
        <v>100</v>
      </c>
      <c r="T76" s="99">
        <v>100</v>
      </c>
      <c r="U76" s="99">
        <v>100</v>
      </c>
      <c r="V76" s="99">
        <v>100</v>
      </c>
      <c r="W76" s="99">
        <v>91.612298832676601</v>
      </c>
      <c r="X76" s="99">
        <v>100</v>
      </c>
      <c r="Y76" s="99">
        <v>100</v>
      </c>
      <c r="Z76" s="99">
        <v>100</v>
      </c>
      <c r="AA76" s="99">
        <v>100</v>
      </c>
      <c r="AB76" s="99">
        <v>100</v>
      </c>
      <c r="AC76" s="99">
        <v>100</v>
      </c>
      <c r="AD76" s="99">
        <v>100</v>
      </c>
      <c r="AE76" s="99">
        <v>92.220198606786894</v>
      </c>
      <c r="AF76" s="99">
        <v>100</v>
      </c>
      <c r="AG76" s="99">
        <v>100</v>
      </c>
      <c r="AH76" s="99">
        <v>100</v>
      </c>
      <c r="AI76" s="99">
        <v>99.6409542181528</v>
      </c>
      <c r="AJ76" s="99">
        <v>100</v>
      </c>
      <c r="AK76" s="99">
        <v>99.372891195789293</v>
      </c>
      <c r="AL76" s="99">
        <v>100</v>
      </c>
      <c r="AM76" s="99">
        <v>100</v>
      </c>
      <c r="AN76" s="99">
        <v>99.195091130066103</v>
      </c>
    </row>
    <row r="77" spans="1:40" s="30" customFormat="1" ht="15.6">
      <c r="A77"/>
      <c r="B77" s="29"/>
      <c r="C77" s="44" t="s">
        <v>876</v>
      </c>
      <c r="D77" s="39" t="s">
        <v>26</v>
      </c>
      <c r="E77" s="39" t="s">
        <v>576</v>
      </c>
      <c r="F77" t="s">
        <v>688</v>
      </c>
      <c r="G77" s="41">
        <f>VLOOKUP(F77,'(3) Demographie &amp; Departements'!$G$8:$J$526,4,0)</f>
        <v>98052.837888814232</v>
      </c>
      <c r="H77" s="96">
        <f t="shared" si="4"/>
        <v>45104.305428854546</v>
      </c>
      <c r="I77" s="130">
        <f t="shared" si="5"/>
        <v>0.95</v>
      </c>
      <c r="J77" s="42">
        <f t="shared" si="6"/>
        <v>0.85</v>
      </c>
      <c r="K77" s="131">
        <f t="shared" si="7"/>
        <v>0.75</v>
      </c>
      <c r="L77" s="42"/>
      <c r="M77" s="42"/>
      <c r="N77" s="39" t="s">
        <v>26</v>
      </c>
      <c r="O77" s="39" t="s">
        <v>576</v>
      </c>
      <c r="P77" t="s">
        <v>688</v>
      </c>
      <c r="Q77" s="99">
        <v>100</v>
      </c>
      <c r="R77" s="99">
        <v>99.975863519697398</v>
      </c>
      <c r="S77" s="99">
        <v>99.968747885988293</v>
      </c>
      <c r="T77" s="99">
        <v>90.282332998045007</v>
      </c>
      <c r="U77" s="99">
        <v>94.149134612091999</v>
      </c>
      <c r="V77" s="99">
        <v>100</v>
      </c>
      <c r="W77" s="99">
        <v>93.685687622273207</v>
      </c>
      <c r="X77" s="99">
        <v>100</v>
      </c>
      <c r="Y77" s="99">
        <v>99.992191945964194</v>
      </c>
      <c r="Z77" s="99">
        <v>100</v>
      </c>
      <c r="AA77" s="99">
        <v>100</v>
      </c>
      <c r="AB77" s="99">
        <v>99.545861885735704</v>
      </c>
      <c r="AC77" s="99">
        <v>71.626134676762902</v>
      </c>
      <c r="AD77" s="99">
        <v>100</v>
      </c>
      <c r="AE77" s="99">
        <v>78.3834583276996</v>
      </c>
      <c r="AF77" s="99">
        <v>97.780153662090996</v>
      </c>
      <c r="AG77" s="99">
        <v>98.664023784752004</v>
      </c>
      <c r="AH77" s="99">
        <v>92.801629215202396</v>
      </c>
      <c r="AI77" s="99">
        <v>99.928341389007002</v>
      </c>
      <c r="AJ77" s="99">
        <v>100</v>
      </c>
      <c r="AK77" s="99">
        <v>99.210965447148197</v>
      </c>
      <c r="AL77" s="99">
        <v>100</v>
      </c>
      <c r="AM77" s="99">
        <v>99.776463493269105</v>
      </c>
      <c r="AN77" s="99">
        <v>85.676429222310105</v>
      </c>
    </row>
    <row r="78" spans="1:40" s="30" customFormat="1" ht="15.6">
      <c r="A78"/>
      <c r="B78" s="29"/>
      <c r="C78" s="44" t="s">
        <v>876</v>
      </c>
      <c r="D78" s="39" t="s">
        <v>26</v>
      </c>
      <c r="E78" s="39" t="s">
        <v>97</v>
      </c>
      <c r="F78" s="81" t="s">
        <v>98</v>
      </c>
      <c r="G78" s="41">
        <f>VLOOKUP(F78,'(3) Demographie &amp; Departements'!$G$8:$J$526,4,0)</f>
        <v>34649.742013472132</v>
      </c>
      <c r="H78" s="96">
        <f t="shared" si="4"/>
        <v>15938.881326197181</v>
      </c>
      <c r="I78" s="130">
        <f t="shared" si="5"/>
        <v>0.95</v>
      </c>
      <c r="J78" s="42">
        <f t="shared" si="6"/>
        <v>0.85</v>
      </c>
      <c r="K78" s="131">
        <f t="shared" si="7"/>
        <v>0.75</v>
      </c>
      <c r="L78" s="42"/>
      <c r="M78" s="42"/>
      <c r="N78" s="39" t="s">
        <v>26</v>
      </c>
      <c r="O78" s="39" t="s">
        <v>97</v>
      </c>
      <c r="P78" s="81" t="s">
        <v>98</v>
      </c>
      <c r="Q78" s="99">
        <v>100</v>
      </c>
      <c r="R78" s="99">
        <v>100</v>
      </c>
      <c r="S78" s="99">
        <v>100</v>
      </c>
      <c r="T78" s="99">
        <v>100</v>
      </c>
      <c r="U78" s="99">
        <v>99.885655961596697</v>
      </c>
      <c r="V78" s="99">
        <v>100</v>
      </c>
      <c r="W78" s="99">
        <v>84.156352623682395</v>
      </c>
      <c r="X78" s="99">
        <v>100</v>
      </c>
      <c r="Y78" s="99">
        <v>100</v>
      </c>
      <c r="Z78" s="99">
        <v>100</v>
      </c>
      <c r="AA78" s="99">
        <v>100</v>
      </c>
      <c r="AB78" s="99">
        <v>100</v>
      </c>
      <c r="AC78" s="99">
        <v>100</v>
      </c>
      <c r="AD78" s="99">
        <v>100</v>
      </c>
      <c r="AE78" s="99">
        <v>88.346046601843497</v>
      </c>
      <c r="AF78" s="99">
        <v>100</v>
      </c>
      <c r="AG78" s="99">
        <v>100</v>
      </c>
      <c r="AH78" s="99">
        <v>100</v>
      </c>
      <c r="AI78" s="99">
        <v>94.672761235192397</v>
      </c>
      <c r="AJ78" s="99">
        <v>100</v>
      </c>
      <c r="AK78" s="99">
        <v>100</v>
      </c>
      <c r="AL78" s="99">
        <v>100</v>
      </c>
      <c r="AM78" s="99">
        <v>100</v>
      </c>
      <c r="AN78" s="99">
        <v>100</v>
      </c>
    </row>
    <row r="79" spans="1:40" s="30" customFormat="1" ht="15.6">
      <c r="A79"/>
      <c r="B79" s="29"/>
      <c r="C79" s="44" t="s">
        <v>876</v>
      </c>
      <c r="D79" s="39" t="s">
        <v>26</v>
      </c>
      <c r="E79" s="39" t="s">
        <v>498</v>
      </c>
      <c r="F79" s="90" t="s">
        <v>502</v>
      </c>
      <c r="G79" s="41">
        <f>VLOOKUP(F79,'(3) Demographie &amp; Departements'!$G$8:$J$526,4,0)</f>
        <v>11586.348550550738</v>
      </c>
      <c r="H79" s="96">
        <f t="shared" si="4"/>
        <v>5329.72033325334</v>
      </c>
      <c r="I79" s="130">
        <f t="shared" si="5"/>
        <v>0.95</v>
      </c>
      <c r="J79" s="42">
        <f t="shared" si="6"/>
        <v>0.85</v>
      </c>
      <c r="K79" s="131">
        <f t="shared" si="7"/>
        <v>0.75</v>
      </c>
      <c r="L79" s="42"/>
      <c r="M79" s="42"/>
      <c r="N79" s="39" t="s">
        <v>26</v>
      </c>
      <c r="O79" s="39" t="s">
        <v>498</v>
      </c>
      <c r="P79" s="90" t="s">
        <v>502</v>
      </c>
      <c r="Q79" s="99">
        <v>100</v>
      </c>
      <c r="R79" s="99">
        <v>100</v>
      </c>
      <c r="S79" s="99">
        <v>100</v>
      </c>
      <c r="T79" s="99">
        <v>100</v>
      </c>
      <c r="U79" s="99">
        <v>100</v>
      </c>
      <c r="V79" s="99">
        <v>100</v>
      </c>
      <c r="W79" s="99">
        <v>98.6702881451357</v>
      </c>
      <c r="X79" s="99">
        <v>100</v>
      </c>
      <c r="Y79" s="99">
        <v>100</v>
      </c>
      <c r="Z79" s="99">
        <v>100</v>
      </c>
      <c r="AA79" s="99">
        <v>100</v>
      </c>
      <c r="AB79" s="99">
        <v>100</v>
      </c>
      <c r="AC79" s="99">
        <v>100</v>
      </c>
      <c r="AD79" s="99">
        <v>100</v>
      </c>
      <c r="AE79" s="99">
        <v>99.895865639994199</v>
      </c>
      <c r="AF79" s="99">
        <v>100</v>
      </c>
      <c r="AG79" s="99">
        <v>100</v>
      </c>
      <c r="AH79" s="99">
        <v>100</v>
      </c>
      <c r="AI79" s="99">
        <v>100</v>
      </c>
      <c r="AJ79" s="99">
        <v>100</v>
      </c>
      <c r="AK79" s="99">
        <v>100</v>
      </c>
      <c r="AL79" s="99">
        <v>100</v>
      </c>
      <c r="AM79" s="99">
        <v>100</v>
      </c>
      <c r="AN79" s="99">
        <v>100</v>
      </c>
    </row>
    <row r="80" spans="1:40" s="30" customFormat="1" ht="15.6">
      <c r="A80"/>
      <c r="B80" s="29"/>
      <c r="C80" s="44" t="s">
        <v>876</v>
      </c>
      <c r="D80" s="39" t="s">
        <v>26</v>
      </c>
      <c r="E80" s="39" t="s">
        <v>230</v>
      </c>
      <c r="F80" t="s">
        <v>689</v>
      </c>
      <c r="G80" s="41">
        <f>VLOOKUP(F80,'(3) Demographie &amp; Departements'!$G$8:$J$526,4,0)</f>
        <v>14987.718998556111</v>
      </c>
      <c r="H80" s="96">
        <f t="shared" si="4"/>
        <v>6894.3507393358113</v>
      </c>
      <c r="I80" s="130">
        <f t="shared" si="5"/>
        <v>0.95</v>
      </c>
      <c r="J80" s="42">
        <f t="shared" si="6"/>
        <v>0.85</v>
      </c>
      <c r="K80" s="131">
        <f t="shared" si="7"/>
        <v>0.75</v>
      </c>
      <c r="L80" s="42"/>
      <c r="M80" s="42"/>
      <c r="N80" s="39" t="s">
        <v>26</v>
      </c>
      <c r="O80" s="39" t="s">
        <v>230</v>
      </c>
      <c r="P80" t="s">
        <v>689</v>
      </c>
      <c r="Q80" s="99">
        <v>100</v>
      </c>
      <c r="R80" s="99">
        <v>100</v>
      </c>
      <c r="S80" s="99">
        <v>100</v>
      </c>
      <c r="T80" s="99">
        <v>100</v>
      </c>
      <c r="U80" s="99">
        <v>100</v>
      </c>
      <c r="V80" s="99">
        <v>100</v>
      </c>
      <c r="W80" s="99">
        <v>99.107093046356098</v>
      </c>
      <c r="X80" s="99">
        <v>100</v>
      </c>
      <c r="Y80" s="99">
        <v>99.838500500128305</v>
      </c>
      <c r="Z80" s="99">
        <v>99.889310475324095</v>
      </c>
      <c r="AA80" s="99">
        <v>99.963163231445506</v>
      </c>
      <c r="AB80" s="99">
        <v>100</v>
      </c>
      <c r="AC80" s="99">
        <v>100</v>
      </c>
      <c r="AD80" s="99">
        <v>100</v>
      </c>
      <c r="AE80" s="99">
        <v>98.293105919682105</v>
      </c>
      <c r="AF80" s="99">
        <v>100</v>
      </c>
      <c r="AG80" s="99">
        <v>100</v>
      </c>
      <c r="AH80" s="99">
        <v>100</v>
      </c>
      <c r="AI80" s="99">
        <v>100</v>
      </c>
      <c r="AJ80" s="99">
        <v>100</v>
      </c>
      <c r="AK80" s="99">
        <v>100</v>
      </c>
      <c r="AL80" s="99">
        <v>99.974557002295199</v>
      </c>
      <c r="AM80" s="99">
        <v>100</v>
      </c>
      <c r="AN80" s="99">
        <v>99.857937143295004</v>
      </c>
    </row>
    <row r="81" spans="1:40" s="30" customFormat="1" ht="15.6">
      <c r="A81"/>
      <c r="B81" s="29"/>
      <c r="C81" s="44" t="s">
        <v>876</v>
      </c>
      <c r="D81" s="39" t="s">
        <v>26</v>
      </c>
      <c r="E81" s="39" t="s">
        <v>267</v>
      </c>
      <c r="F81" t="s">
        <v>690</v>
      </c>
      <c r="G81" s="41">
        <f>VLOOKUP(F81,'(3) Demographie &amp; Departements'!$G$8:$J$526,4,0)</f>
        <v>6541.2030811223449</v>
      </c>
      <c r="H81" s="96">
        <f t="shared" si="4"/>
        <v>3008.9534173162788</v>
      </c>
      <c r="I81" s="130">
        <f t="shared" si="5"/>
        <v>0.95</v>
      </c>
      <c r="J81" s="42">
        <f t="shared" si="6"/>
        <v>0.85</v>
      </c>
      <c r="K81" s="131">
        <f t="shared" si="7"/>
        <v>0.75</v>
      </c>
      <c r="L81" s="42"/>
      <c r="M81" s="42"/>
      <c r="N81" s="39" t="s">
        <v>26</v>
      </c>
      <c r="O81" s="39" t="s">
        <v>267</v>
      </c>
      <c r="P81" t="s">
        <v>690</v>
      </c>
      <c r="Q81" s="99">
        <v>100</v>
      </c>
      <c r="R81" s="99">
        <v>100</v>
      </c>
      <c r="S81" s="99">
        <v>100</v>
      </c>
      <c r="T81" s="99">
        <v>100</v>
      </c>
      <c r="U81" s="99">
        <v>100</v>
      </c>
      <c r="V81" s="99">
        <v>100</v>
      </c>
      <c r="W81" s="99">
        <v>94.939160278367595</v>
      </c>
      <c r="X81" s="99">
        <v>100</v>
      </c>
      <c r="Y81" s="99">
        <v>100</v>
      </c>
      <c r="Z81" s="99">
        <v>100</v>
      </c>
      <c r="AA81" s="99">
        <v>99.851599868185005</v>
      </c>
      <c r="AB81" s="99">
        <v>100</v>
      </c>
      <c r="AC81" s="99">
        <v>100</v>
      </c>
      <c r="AD81" s="99">
        <v>100</v>
      </c>
      <c r="AE81" s="99">
        <v>88.203950108480598</v>
      </c>
      <c r="AF81" s="99">
        <v>100</v>
      </c>
      <c r="AG81" s="99">
        <v>100</v>
      </c>
      <c r="AH81" s="99">
        <v>100</v>
      </c>
      <c r="AI81" s="99">
        <v>100</v>
      </c>
      <c r="AJ81" s="99">
        <v>100</v>
      </c>
      <c r="AK81" s="99">
        <v>100</v>
      </c>
      <c r="AL81" s="99">
        <v>100</v>
      </c>
      <c r="AM81" s="99">
        <v>100</v>
      </c>
      <c r="AN81" s="99">
        <v>100</v>
      </c>
    </row>
    <row r="82" spans="1:40" s="30" customFormat="1" ht="15.6">
      <c r="A82"/>
      <c r="B82" s="29"/>
      <c r="C82" s="44" t="s">
        <v>876</v>
      </c>
      <c r="D82" s="39" t="s">
        <v>26</v>
      </c>
      <c r="E82" s="39" t="s">
        <v>508</v>
      </c>
      <c r="F82" t="s">
        <v>691</v>
      </c>
      <c r="G82" s="41">
        <f>VLOOKUP(F82,'(3) Demographie &amp; Departements'!$G$8:$J$526,4,0)</f>
        <v>20509.427823710554</v>
      </c>
      <c r="H82" s="96">
        <f t="shared" si="4"/>
        <v>9434.3367989068556</v>
      </c>
      <c r="I82" s="130">
        <f t="shared" si="5"/>
        <v>0.95</v>
      </c>
      <c r="J82" s="42">
        <f t="shared" si="6"/>
        <v>0.85</v>
      </c>
      <c r="K82" s="131">
        <f t="shared" si="7"/>
        <v>0.75</v>
      </c>
      <c r="L82" s="42"/>
      <c r="M82" s="42"/>
      <c r="N82" s="39" t="s">
        <v>26</v>
      </c>
      <c r="O82" s="39" t="s">
        <v>508</v>
      </c>
      <c r="P82" t="s">
        <v>691</v>
      </c>
      <c r="Q82" s="99">
        <v>99.330010479547198</v>
      </c>
      <c r="R82" s="99">
        <v>99.596111885961193</v>
      </c>
      <c r="S82" s="99">
        <v>97.429969191029301</v>
      </c>
      <c r="T82" s="99">
        <v>95.191368592640302</v>
      </c>
      <c r="U82" s="99">
        <v>84.701679823229597</v>
      </c>
      <c r="V82" s="99">
        <v>99.630913546827799</v>
      </c>
      <c r="W82" s="99">
        <v>80.0716365723233</v>
      </c>
      <c r="X82" s="99">
        <v>100</v>
      </c>
      <c r="Y82" s="99">
        <v>98.974712968699507</v>
      </c>
      <c r="Z82" s="99">
        <v>99.8221617929225</v>
      </c>
      <c r="AA82" s="99">
        <v>97.292749656844293</v>
      </c>
      <c r="AB82" s="99">
        <v>99.6443212141088</v>
      </c>
      <c r="AC82" s="99">
        <v>93.233104990821204</v>
      </c>
      <c r="AD82" s="99">
        <v>96.3138226791596</v>
      </c>
      <c r="AE82" s="99">
        <v>75.108917088599497</v>
      </c>
      <c r="AF82" s="99">
        <v>95.307026881609403</v>
      </c>
      <c r="AG82" s="99">
        <v>99.9473433025112</v>
      </c>
      <c r="AH82" s="99">
        <v>99.948935995622307</v>
      </c>
      <c r="AI82" s="99">
        <v>97.640578409470393</v>
      </c>
      <c r="AJ82" s="99">
        <v>93.449019018635497</v>
      </c>
      <c r="AK82" s="99">
        <v>99.532290068942103</v>
      </c>
      <c r="AL82" s="99">
        <v>99.711526166336995</v>
      </c>
      <c r="AM82" s="99">
        <v>100</v>
      </c>
      <c r="AN82" s="99">
        <v>84.803079361067006</v>
      </c>
    </row>
    <row r="83" spans="1:40" s="30" customFormat="1" ht="15.6">
      <c r="A83"/>
      <c r="B83" s="29"/>
      <c r="C83" s="44" t="s">
        <v>876</v>
      </c>
      <c r="D83" s="39" t="s">
        <v>26</v>
      </c>
      <c r="E83" s="39" t="s">
        <v>434</v>
      </c>
      <c r="F83" t="s">
        <v>692</v>
      </c>
      <c r="G83" s="41">
        <f>VLOOKUP(F83,'(3) Demographie &amp; Departements'!$G$8:$J$526,4,0)</f>
        <v>28494.554518914039</v>
      </c>
      <c r="H83" s="96">
        <f t="shared" si="4"/>
        <v>13107.495078700458</v>
      </c>
      <c r="I83" s="130">
        <f t="shared" si="5"/>
        <v>0.95</v>
      </c>
      <c r="J83" s="42">
        <f t="shared" si="6"/>
        <v>0.85</v>
      </c>
      <c r="K83" s="131">
        <f t="shared" si="7"/>
        <v>0.75</v>
      </c>
      <c r="L83" s="42"/>
      <c r="M83" s="42"/>
      <c r="N83" s="39" t="s">
        <v>26</v>
      </c>
      <c r="O83" s="39" t="s">
        <v>434</v>
      </c>
      <c r="P83" t="s">
        <v>692</v>
      </c>
      <c r="Q83" s="99">
        <v>100</v>
      </c>
      <c r="R83" s="99">
        <v>100</v>
      </c>
      <c r="S83" s="99">
        <v>100</v>
      </c>
      <c r="T83" s="99">
        <v>100</v>
      </c>
      <c r="U83" s="99">
        <v>100</v>
      </c>
      <c r="V83" s="99">
        <v>100</v>
      </c>
      <c r="W83" s="99">
        <v>100</v>
      </c>
      <c r="X83" s="99">
        <v>100</v>
      </c>
      <c r="Y83" s="99">
        <v>100</v>
      </c>
      <c r="Z83" s="99">
        <v>100</v>
      </c>
      <c r="AA83" s="99">
        <v>100</v>
      </c>
      <c r="AB83" s="99">
        <v>100</v>
      </c>
      <c r="AC83" s="99">
        <v>100</v>
      </c>
      <c r="AD83" s="99">
        <v>100</v>
      </c>
      <c r="AE83" s="99">
        <v>97.685231457747506</v>
      </c>
      <c r="AF83" s="99">
        <v>100</v>
      </c>
      <c r="AG83" s="99">
        <v>100</v>
      </c>
      <c r="AH83" s="99">
        <v>100</v>
      </c>
      <c r="AI83" s="99">
        <v>100</v>
      </c>
      <c r="AJ83" s="99">
        <v>100</v>
      </c>
      <c r="AK83" s="99">
        <v>100</v>
      </c>
      <c r="AL83" s="99">
        <v>100</v>
      </c>
      <c r="AM83" s="99">
        <v>100</v>
      </c>
      <c r="AN83" s="99">
        <v>100</v>
      </c>
    </row>
    <row r="84" spans="1:40" s="30" customFormat="1" ht="15.6">
      <c r="A84"/>
      <c r="B84" s="29"/>
      <c r="C84" s="44" t="s">
        <v>876</v>
      </c>
      <c r="D84" s="39" t="s">
        <v>26</v>
      </c>
      <c r="E84" s="39" t="s">
        <v>498</v>
      </c>
      <c r="F84" t="s">
        <v>693</v>
      </c>
      <c r="G84" s="41">
        <f>VLOOKUP(F84,'(3) Demographie &amp; Departements'!$G$8:$J$526,4,0)</f>
        <v>10663.542060132877</v>
      </c>
      <c r="H84" s="96">
        <f t="shared" si="4"/>
        <v>4905.2293476611239</v>
      </c>
      <c r="I84" s="130">
        <f t="shared" si="5"/>
        <v>0.95</v>
      </c>
      <c r="J84" s="42">
        <f t="shared" si="6"/>
        <v>0.85</v>
      </c>
      <c r="K84" s="131">
        <f t="shared" si="7"/>
        <v>0.75</v>
      </c>
      <c r="L84" s="42"/>
      <c r="M84" s="42"/>
      <c r="N84" s="39" t="s">
        <v>26</v>
      </c>
      <c r="O84" s="39" t="s">
        <v>498</v>
      </c>
      <c r="P84" t="s">
        <v>693</v>
      </c>
      <c r="Q84" s="99">
        <v>100</v>
      </c>
      <c r="R84" s="99">
        <v>100</v>
      </c>
      <c r="S84" s="99">
        <v>98.091115708032802</v>
      </c>
      <c r="T84" s="99">
        <v>99.904536465577394</v>
      </c>
      <c r="U84" s="99">
        <v>97.001390881023198</v>
      </c>
      <c r="V84" s="99">
        <v>98.284085713520497</v>
      </c>
      <c r="W84" s="99">
        <v>82.430960490888594</v>
      </c>
      <c r="X84" s="99">
        <v>98.768250834398003</v>
      </c>
      <c r="Y84" s="99">
        <v>100</v>
      </c>
      <c r="Z84" s="99">
        <v>93.147218110798306</v>
      </c>
      <c r="AA84" s="99">
        <v>93.351422947630695</v>
      </c>
      <c r="AB84" s="99">
        <v>100</v>
      </c>
      <c r="AC84" s="99">
        <v>100</v>
      </c>
      <c r="AD84" s="99">
        <v>100</v>
      </c>
      <c r="AE84" s="99">
        <v>79.511698011277403</v>
      </c>
      <c r="AF84" s="99">
        <v>90.079054777810995</v>
      </c>
      <c r="AG84" s="99">
        <v>98.083807633398806</v>
      </c>
      <c r="AH84" s="99">
        <v>100</v>
      </c>
      <c r="AI84" s="99">
        <v>80.395371080047397</v>
      </c>
      <c r="AJ84" s="99">
        <v>100</v>
      </c>
      <c r="AK84" s="99">
        <v>97.659452289950494</v>
      </c>
      <c r="AL84" s="99">
        <v>100</v>
      </c>
      <c r="AM84" s="99">
        <v>100</v>
      </c>
      <c r="AN84" s="99">
        <v>94.317801596000393</v>
      </c>
    </row>
    <row r="85" spans="1:40" s="30" customFormat="1" ht="15.6">
      <c r="A85"/>
      <c r="B85" s="29"/>
      <c r="C85" s="44" t="s">
        <v>876</v>
      </c>
      <c r="D85" s="39" t="s">
        <v>26</v>
      </c>
      <c r="E85" s="39" t="s">
        <v>245</v>
      </c>
      <c r="F85" t="s">
        <v>694</v>
      </c>
      <c r="G85" s="41">
        <f>VLOOKUP(F85,'(3) Demographie &amp; Departements'!$G$8:$J$526,4,0)</f>
        <v>49758.018805800108</v>
      </c>
      <c r="H85" s="96">
        <f t="shared" si="4"/>
        <v>22888.688650668049</v>
      </c>
      <c r="I85" s="130">
        <f t="shared" si="5"/>
        <v>0.95</v>
      </c>
      <c r="J85" s="42">
        <f t="shared" si="6"/>
        <v>0.85</v>
      </c>
      <c r="K85" s="131">
        <f t="shared" si="7"/>
        <v>0.75</v>
      </c>
      <c r="L85" s="42"/>
      <c r="M85" s="42"/>
      <c r="N85" s="39" t="s">
        <v>26</v>
      </c>
      <c r="O85" s="39" t="s">
        <v>245</v>
      </c>
      <c r="P85" t="s">
        <v>694</v>
      </c>
      <c r="Q85" s="99">
        <v>100</v>
      </c>
      <c r="R85" s="99">
        <v>98.570867134203993</v>
      </c>
      <c r="S85" s="99">
        <v>99.885862202531598</v>
      </c>
      <c r="T85" s="99">
        <v>99.619422910568204</v>
      </c>
      <c r="U85" s="99">
        <v>91.574038555503094</v>
      </c>
      <c r="V85" s="99">
        <v>99.971551049424306</v>
      </c>
      <c r="W85" s="99">
        <v>91.155129561657901</v>
      </c>
      <c r="X85" s="99">
        <v>100</v>
      </c>
      <c r="Y85" s="99">
        <v>98.877298059409398</v>
      </c>
      <c r="Z85" s="99">
        <v>99.004486125913701</v>
      </c>
      <c r="AA85" s="99">
        <v>98.168384499310804</v>
      </c>
      <c r="AB85" s="99">
        <v>100</v>
      </c>
      <c r="AC85" s="99">
        <v>99.849021749098199</v>
      </c>
      <c r="AD85" s="99">
        <v>99.901991982782505</v>
      </c>
      <c r="AE85" s="99">
        <v>84.580039979973506</v>
      </c>
      <c r="AF85" s="99">
        <v>97.007884602834295</v>
      </c>
      <c r="AG85" s="99">
        <v>99.952621991094901</v>
      </c>
      <c r="AH85" s="99">
        <v>99.607890535583294</v>
      </c>
      <c r="AI85" s="99">
        <v>98.080110641092503</v>
      </c>
      <c r="AJ85" s="99">
        <v>99.8947024753965</v>
      </c>
      <c r="AK85" s="99">
        <v>97.797770155812302</v>
      </c>
      <c r="AL85" s="99">
        <v>99.354391720763601</v>
      </c>
      <c r="AM85" s="99">
        <v>100</v>
      </c>
      <c r="AN85" s="99">
        <v>92.495048481923405</v>
      </c>
    </row>
    <row r="86" spans="1:40" s="30" customFormat="1" ht="15.6">
      <c r="A86"/>
      <c r="B86" s="29"/>
      <c r="C86" s="44" t="s">
        <v>876</v>
      </c>
      <c r="D86" s="39" t="s">
        <v>26</v>
      </c>
      <c r="E86" s="39" t="s">
        <v>278</v>
      </c>
      <c r="F86" t="s">
        <v>695</v>
      </c>
      <c r="G86" s="41">
        <f>VLOOKUP(F86,'(3) Demographie &amp; Departements'!$G$8:$J$526,4,0)</f>
        <v>76128.951652914882</v>
      </c>
      <c r="H86" s="96">
        <f t="shared" si="4"/>
        <v>35019.317760340848</v>
      </c>
      <c r="I86" s="130">
        <f t="shared" si="5"/>
        <v>0.95</v>
      </c>
      <c r="J86" s="42">
        <f t="shared" si="6"/>
        <v>0.85</v>
      </c>
      <c r="K86" s="131">
        <f t="shared" si="7"/>
        <v>0.75</v>
      </c>
      <c r="L86" s="42"/>
      <c r="M86" s="42"/>
      <c r="N86" s="39" t="s">
        <v>26</v>
      </c>
      <c r="O86" s="39" t="s">
        <v>278</v>
      </c>
      <c r="P86" t="s">
        <v>695</v>
      </c>
      <c r="Q86" s="99">
        <v>100</v>
      </c>
      <c r="R86" s="99">
        <v>100</v>
      </c>
      <c r="S86" s="99">
        <v>100</v>
      </c>
      <c r="T86" s="99">
        <v>100</v>
      </c>
      <c r="U86" s="99">
        <v>100</v>
      </c>
      <c r="V86" s="99">
        <v>100</v>
      </c>
      <c r="W86" s="99">
        <v>100</v>
      </c>
      <c r="X86" s="99">
        <v>100</v>
      </c>
      <c r="Y86" s="99">
        <v>100</v>
      </c>
      <c r="Z86" s="99">
        <v>100</v>
      </c>
      <c r="AA86" s="99">
        <v>100</v>
      </c>
      <c r="AB86" s="99">
        <v>100</v>
      </c>
      <c r="AC86" s="99">
        <v>100</v>
      </c>
      <c r="AD86" s="99">
        <v>100</v>
      </c>
      <c r="AE86" s="99">
        <v>100</v>
      </c>
      <c r="AF86" s="99">
        <v>99.870323042010597</v>
      </c>
      <c r="AG86" s="99">
        <v>100</v>
      </c>
      <c r="AH86" s="99">
        <v>100</v>
      </c>
      <c r="AI86" s="99">
        <v>100</v>
      </c>
      <c r="AJ86" s="99">
        <v>100</v>
      </c>
      <c r="AK86" s="99">
        <v>100</v>
      </c>
      <c r="AL86" s="99">
        <v>100</v>
      </c>
      <c r="AM86" s="99">
        <v>100</v>
      </c>
      <c r="AN86" s="99">
        <v>99.2606611043268</v>
      </c>
    </row>
    <row r="87" spans="1:40" s="30" customFormat="1" ht="15.6">
      <c r="A87"/>
      <c r="B87" s="29"/>
      <c r="C87" s="44" t="s">
        <v>876</v>
      </c>
      <c r="D87" s="39" t="s">
        <v>26</v>
      </c>
      <c r="E87" s="39" t="s">
        <v>230</v>
      </c>
      <c r="F87" t="s">
        <v>696</v>
      </c>
      <c r="G87" s="41">
        <f>VLOOKUP(F87,'(3) Demographie &amp; Departements'!$G$8:$J$526,4,0)</f>
        <v>23061.505328323659</v>
      </c>
      <c r="H87" s="96">
        <f t="shared" si="4"/>
        <v>10608.292451028883</v>
      </c>
      <c r="I87" s="130">
        <f t="shared" si="5"/>
        <v>0.95</v>
      </c>
      <c r="J87" s="42">
        <f t="shared" si="6"/>
        <v>0.85</v>
      </c>
      <c r="K87" s="131">
        <f t="shared" si="7"/>
        <v>0.75</v>
      </c>
      <c r="L87" s="42"/>
      <c r="M87" s="42"/>
      <c r="N87" s="39" t="s">
        <v>26</v>
      </c>
      <c r="O87" s="39" t="s">
        <v>230</v>
      </c>
      <c r="P87" t="s">
        <v>696</v>
      </c>
      <c r="Q87" s="99">
        <v>100</v>
      </c>
      <c r="R87" s="99">
        <v>100</v>
      </c>
      <c r="S87" s="99">
        <v>99.689978670723505</v>
      </c>
      <c r="T87" s="99">
        <v>99.727163331031605</v>
      </c>
      <c r="U87" s="99">
        <v>99.439678493837206</v>
      </c>
      <c r="V87" s="99">
        <v>99.897988181566205</v>
      </c>
      <c r="W87" s="99">
        <v>93.796342214890302</v>
      </c>
      <c r="X87" s="99">
        <v>100</v>
      </c>
      <c r="Y87" s="99">
        <v>96.399532206363702</v>
      </c>
      <c r="Z87" s="99">
        <v>98.869976737342895</v>
      </c>
      <c r="AA87" s="99">
        <v>98.493781912468606</v>
      </c>
      <c r="AB87" s="99">
        <v>100</v>
      </c>
      <c r="AC87" s="99">
        <v>99.438692536199099</v>
      </c>
      <c r="AD87" s="99">
        <v>100</v>
      </c>
      <c r="AE87" s="99">
        <v>91.886936559752002</v>
      </c>
      <c r="AF87" s="99">
        <v>98.9467931079717</v>
      </c>
      <c r="AG87" s="99">
        <v>99.802668108342601</v>
      </c>
      <c r="AH87" s="99">
        <v>97.517183245716595</v>
      </c>
      <c r="AI87" s="99">
        <v>97.403302066194499</v>
      </c>
      <c r="AJ87" s="99">
        <v>99.918943000177407</v>
      </c>
      <c r="AK87" s="99">
        <v>100</v>
      </c>
      <c r="AL87" s="99">
        <v>99.308564399541794</v>
      </c>
      <c r="AM87" s="99">
        <v>100</v>
      </c>
      <c r="AN87" s="99">
        <v>94.436530127470206</v>
      </c>
    </row>
    <row r="88" spans="1:40" s="30" customFormat="1" ht="15.6">
      <c r="A88"/>
      <c r="B88" s="29"/>
      <c r="C88" s="44" t="s">
        <v>876</v>
      </c>
      <c r="D88" s="39" t="s">
        <v>26</v>
      </c>
      <c r="E88" s="39" t="s">
        <v>221</v>
      </c>
      <c r="F88" t="s">
        <v>697</v>
      </c>
      <c r="G88" s="41">
        <f>VLOOKUP(F88,'(3) Demographie &amp; Departements'!$G$8:$J$526,4,0)</f>
        <v>22430.564559110317</v>
      </c>
      <c r="H88" s="96">
        <f t="shared" si="4"/>
        <v>10318.059697190745</v>
      </c>
      <c r="I88" s="130">
        <f t="shared" si="5"/>
        <v>0.95</v>
      </c>
      <c r="J88" s="42">
        <f t="shared" si="6"/>
        <v>0.85</v>
      </c>
      <c r="K88" s="131">
        <f t="shared" si="7"/>
        <v>0.75</v>
      </c>
      <c r="L88" s="42"/>
      <c r="M88" s="42"/>
      <c r="N88" s="39" t="s">
        <v>26</v>
      </c>
      <c r="O88" s="39" t="s">
        <v>221</v>
      </c>
      <c r="P88" t="s">
        <v>697</v>
      </c>
      <c r="Q88" s="99">
        <v>100</v>
      </c>
      <c r="R88" s="99">
        <v>100</v>
      </c>
      <c r="S88" s="99">
        <v>100</v>
      </c>
      <c r="T88" s="99">
        <v>100</v>
      </c>
      <c r="U88" s="99">
        <v>100</v>
      </c>
      <c r="V88" s="99">
        <v>100</v>
      </c>
      <c r="W88" s="99">
        <v>90.976453863341106</v>
      </c>
      <c r="X88" s="99">
        <v>100</v>
      </c>
      <c r="Y88" s="99">
        <v>100</v>
      </c>
      <c r="Z88" s="99">
        <v>100</v>
      </c>
      <c r="AA88" s="99">
        <v>100</v>
      </c>
      <c r="AB88" s="99">
        <v>100</v>
      </c>
      <c r="AC88" s="99">
        <v>100</v>
      </c>
      <c r="AD88" s="99">
        <v>100</v>
      </c>
      <c r="AE88" s="99">
        <v>90.432756805572396</v>
      </c>
      <c r="AF88" s="99">
        <v>100</v>
      </c>
      <c r="AG88" s="99">
        <v>100</v>
      </c>
      <c r="AH88" s="99">
        <v>100</v>
      </c>
      <c r="AI88" s="99">
        <v>100</v>
      </c>
      <c r="AJ88" s="99">
        <v>100</v>
      </c>
      <c r="AK88" s="99">
        <v>100</v>
      </c>
      <c r="AL88" s="99">
        <v>100</v>
      </c>
      <c r="AM88" s="99">
        <v>100</v>
      </c>
      <c r="AN88" s="99">
        <v>96.875191381551204</v>
      </c>
    </row>
    <row r="89" spans="1:40" s="30" customFormat="1" ht="15.6">
      <c r="A89"/>
      <c r="B89" s="29"/>
      <c r="C89" s="44" t="s">
        <v>876</v>
      </c>
      <c r="D89" s="39" t="s">
        <v>26</v>
      </c>
      <c r="E89" s="39" t="s">
        <v>475</v>
      </c>
      <c r="F89" s="89" t="s">
        <v>477</v>
      </c>
      <c r="G89" s="41">
        <f>VLOOKUP(F89,'(3) Demographie &amp; Departements'!$G$8:$J$526,4,0)</f>
        <v>28439.445003978832</v>
      </c>
      <c r="H89" s="96">
        <f t="shared" si="4"/>
        <v>13082.144701830262</v>
      </c>
      <c r="I89" s="130">
        <f t="shared" si="5"/>
        <v>0.95</v>
      </c>
      <c r="J89" s="42">
        <f t="shared" si="6"/>
        <v>0.85</v>
      </c>
      <c r="K89" s="131">
        <f t="shared" si="7"/>
        <v>0.75</v>
      </c>
      <c r="L89" s="42"/>
      <c r="M89" s="42"/>
      <c r="N89" s="39" t="s">
        <v>26</v>
      </c>
      <c r="O89" s="39" t="s">
        <v>475</v>
      </c>
      <c r="P89" s="89" t="s">
        <v>477</v>
      </c>
      <c r="Q89" s="99">
        <v>100</v>
      </c>
      <c r="R89" s="99">
        <v>100</v>
      </c>
      <c r="S89" s="99">
        <v>100</v>
      </c>
      <c r="T89" s="99">
        <v>96.441155133812103</v>
      </c>
      <c r="U89" s="99">
        <v>97.341359362333307</v>
      </c>
      <c r="V89" s="99">
        <v>100</v>
      </c>
      <c r="W89" s="99">
        <v>97.085663681574999</v>
      </c>
      <c r="X89" s="99">
        <v>100</v>
      </c>
      <c r="Y89" s="99">
        <v>100</v>
      </c>
      <c r="Z89" s="99">
        <v>100</v>
      </c>
      <c r="AA89" s="99">
        <v>100</v>
      </c>
      <c r="AB89" s="99">
        <v>100</v>
      </c>
      <c r="AC89" s="99">
        <v>99.914305340478407</v>
      </c>
      <c r="AD89" s="99">
        <v>100</v>
      </c>
      <c r="AE89" s="99">
        <v>92.676116479826703</v>
      </c>
      <c r="AF89" s="99">
        <v>98.737489546800006</v>
      </c>
      <c r="AG89" s="99">
        <v>99.409621021658495</v>
      </c>
      <c r="AH89" s="99">
        <v>99.236624256881498</v>
      </c>
      <c r="AI89" s="99">
        <v>100</v>
      </c>
      <c r="AJ89" s="99">
        <v>100</v>
      </c>
      <c r="AK89" s="99">
        <v>100</v>
      </c>
      <c r="AL89" s="99">
        <v>100</v>
      </c>
      <c r="AM89" s="99">
        <v>100</v>
      </c>
      <c r="AN89" s="99">
        <v>91.931686304522003</v>
      </c>
    </row>
    <row r="90" spans="1:40" s="30" customFormat="1" ht="15.6">
      <c r="A90"/>
      <c r="B90" s="29"/>
      <c r="C90" s="44" t="s">
        <v>876</v>
      </c>
      <c r="D90" s="39" t="s">
        <v>26</v>
      </c>
      <c r="E90" s="39" t="s">
        <v>429</v>
      </c>
      <c r="F90" t="s">
        <v>698</v>
      </c>
      <c r="G90" s="41">
        <f>VLOOKUP(F90,'(3) Demographie &amp; Departements'!$G$8:$J$526,4,0)</f>
        <v>20025.487411444523</v>
      </c>
      <c r="H90" s="96">
        <f t="shared" si="4"/>
        <v>9211.724209264481</v>
      </c>
      <c r="I90" s="130">
        <f t="shared" si="5"/>
        <v>0.95</v>
      </c>
      <c r="J90" s="42">
        <f t="shared" si="6"/>
        <v>0.85</v>
      </c>
      <c r="K90" s="131">
        <f t="shared" si="7"/>
        <v>0.75</v>
      </c>
      <c r="L90" s="42"/>
      <c r="M90" s="42"/>
      <c r="N90" s="39" t="s">
        <v>26</v>
      </c>
      <c r="O90" s="39" t="s">
        <v>429</v>
      </c>
      <c r="P90" t="s">
        <v>698</v>
      </c>
      <c r="Q90" s="99">
        <v>100</v>
      </c>
      <c r="R90" s="99">
        <v>100</v>
      </c>
      <c r="S90" s="99">
        <v>100</v>
      </c>
      <c r="T90" s="99">
        <v>100</v>
      </c>
      <c r="U90" s="99">
        <v>100</v>
      </c>
      <c r="V90" s="99">
        <v>100</v>
      </c>
      <c r="W90" s="99">
        <v>100</v>
      </c>
      <c r="X90" s="99">
        <v>100</v>
      </c>
      <c r="Y90" s="99">
        <v>100</v>
      </c>
      <c r="Z90" s="99">
        <v>100</v>
      </c>
      <c r="AA90" s="99">
        <v>100</v>
      </c>
      <c r="AB90" s="99">
        <v>100</v>
      </c>
      <c r="AC90" s="99">
        <v>100</v>
      </c>
      <c r="AD90" s="99">
        <v>100</v>
      </c>
      <c r="AE90" s="99">
        <v>99.980934928324004</v>
      </c>
      <c r="AF90" s="99">
        <v>100</v>
      </c>
      <c r="AG90" s="99">
        <v>100</v>
      </c>
      <c r="AH90" s="99">
        <v>100</v>
      </c>
      <c r="AI90" s="99">
        <v>100</v>
      </c>
      <c r="AJ90" s="99">
        <v>100</v>
      </c>
      <c r="AK90" s="99">
        <v>100</v>
      </c>
      <c r="AL90" s="99">
        <v>100</v>
      </c>
      <c r="AM90" s="99">
        <v>100</v>
      </c>
      <c r="AN90" s="99">
        <v>100</v>
      </c>
    </row>
    <row r="91" spans="1:40" s="30" customFormat="1" ht="15.6">
      <c r="A91"/>
      <c r="B91" s="29"/>
      <c r="C91" s="44" t="s">
        <v>876</v>
      </c>
      <c r="D91" s="39" t="s">
        <v>26</v>
      </c>
      <c r="E91" s="39" t="s">
        <v>240</v>
      </c>
      <c r="F91" t="s">
        <v>699</v>
      </c>
      <c r="G91" s="41">
        <f>VLOOKUP(F91,'(3) Demographie &amp; Departements'!$G$8:$J$526,4,0)</f>
        <v>11706.770746035465</v>
      </c>
      <c r="H91" s="96">
        <f t="shared" si="4"/>
        <v>5385.1145431763143</v>
      </c>
      <c r="I91" s="130">
        <f t="shared" si="5"/>
        <v>0.95</v>
      </c>
      <c r="J91" s="42">
        <f t="shared" si="6"/>
        <v>0.85</v>
      </c>
      <c r="K91" s="131">
        <f t="shared" si="7"/>
        <v>0.75</v>
      </c>
      <c r="L91" s="42"/>
      <c r="M91" s="42"/>
      <c r="N91" s="39" t="s">
        <v>26</v>
      </c>
      <c r="O91" s="39" t="s">
        <v>240</v>
      </c>
      <c r="P91" t="s">
        <v>699</v>
      </c>
      <c r="Q91" s="99">
        <v>100</v>
      </c>
      <c r="R91" s="99">
        <v>100</v>
      </c>
      <c r="S91" s="99">
        <v>100</v>
      </c>
      <c r="T91" s="99">
        <v>100</v>
      </c>
      <c r="U91" s="99">
        <v>100</v>
      </c>
      <c r="V91" s="99">
        <v>100</v>
      </c>
      <c r="W91" s="99">
        <v>99.982810338444096</v>
      </c>
      <c r="X91" s="99">
        <v>100</v>
      </c>
      <c r="Y91" s="99">
        <v>100</v>
      </c>
      <c r="Z91" s="99">
        <v>100</v>
      </c>
      <c r="AA91" s="99">
        <v>100</v>
      </c>
      <c r="AB91" s="99">
        <v>100</v>
      </c>
      <c r="AC91" s="99">
        <v>100</v>
      </c>
      <c r="AD91" s="99">
        <v>100</v>
      </c>
      <c r="AE91" s="99">
        <v>98.932952683136804</v>
      </c>
      <c r="AF91" s="99">
        <v>100</v>
      </c>
      <c r="AG91" s="99">
        <v>100</v>
      </c>
      <c r="AH91" s="99">
        <v>100</v>
      </c>
      <c r="AI91" s="99">
        <v>100</v>
      </c>
      <c r="AJ91" s="99">
        <v>100</v>
      </c>
      <c r="AK91" s="99">
        <v>100</v>
      </c>
      <c r="AL91" s="99">
        <v>100</v>
      </c>
      <c r="AM91" s="99">
        <v>100</v>
      </c>
      <c r="AN91" s="99">
        <v>100</v>
      </c>
    </row>
    <row r="92" spans="1:40" s="30" customFormat="1" ht="15.6">
      <c r="A92"/>
      <c r="B92" s="29"/>
      <c r="C92" s="44" t="s">
        <v>876</v>
      </c>
      <c r="D92" s="39" t="s">
        <v>26</v>
      </c>
      <c r="E92" s="39" t="s">
        <v>273</v>
      </c>
      <c r="F92" s="89" t="s">
        <v>277</v>
      </c>
      <c r="G92" s="41">
        <f>VLOOKUP(F92,'(3) Demographie &amp; Departements'!$G$8:$J$526,4,0)</f>
        <v>38628.939687463855</v>
      </c>
      <c r="H92" s="96">
        <f t="shared" si="4"/>
        <v>17769.312256233374</v>
      </c>
      <c r="I92" s="130">
        <f t="shared" si="5"/>
        <v>0.95</v>
      </c>
      <c r="J92" s="42">
        <f t="shared" si="6"/>
        <v>0.85</v>
      </c>
      <c r="K92" s="131">
        <f t="shared" si="7"/>
        <v>0.75</v>
      </c>
      <c r="L92" s="42"/>
      <c r="M92" s="42"/>
      <c r="N92" s="39" t="s">
        <v>26</v>
      </c>
      <c r="O92" s="39" t="s">
        <v>273</v>
      </c>
      <c r="P92" s="89" t="s">
        <v>277</v>
      </c>
      <c r="Q92" s="99">
        <v>100</v>
      </c>
      <c r="R92" s="99">
        <v>100</v>
      </c>
      <c r="S92" s="99">
        <v>99.137057822706595</v>
      </c>
      <c r="T92" s="99">
        <v>99.476058448355104</v>
      </c>
      <c r="U92" s="99">
        <v>97.861448199246894</v>
      </c>
      <c r="V92" s="99">
        <v>99.884161197230597</v>
      </c>
      <c r="W92" s="99">
        <v>82.782745177771005</v>
      </c>
      <c r="X92" s="99">
        <v>94.995825555181796</v>
      </c>
      <c r="Y92" s="99">
        <v>100</v>
      </c>
      <c r="Z92" s="99">
        <v>94.601849576445304</v>
      </c>
      <c r="AA92" s="99">
        <v>96.7459077719286</v>
      </c>
      <c r="AB92" s="99">
        <v>100</v>
      </c>
      <c r="AC92" s="99">
        <v>100</v>
      </c>
      <c r="AD92" s="99">
        <v>100</v>
      </c>
      <c r="AE92" s="99">
        <v>81.144880852697298</v>
      </c>
      <c r="AF92" s="99">
        <v>87.562747474105706</v>
      </c>
      <c r="AG92" s="99">
        <v>99.516998486084702</v>
      </c>
      <c r="AH92" s="99">
        <v>99.921985031004795</v>
      </c>
      <c r="AI92" s="99">
        <v>81.355447234362103</v>
      </c>
      <c r="AJ92" s="99">
        <v>99.380272573009805</v>
      </c>
      <c r="AK92" s="99">
        <v>98.716970810508101</v>
      </c>
      <c r="AL92" s="99">
        <v>100</v>
      </c>
      <c r="AM92" s="99">
        <v>100</v>
      </c>
      <c r="AN92" s="99">
        <v>97.475907705552601</v>
      </c>
    </row>
    <row r="93" spans="1:40" s="30" customFormat="1" ht="15.6">
      <c r="A93"/>
      <c r="B93" s="29"/>
      <c r="C93" s="44" t="s">
        <v>876</v>
      </c>
      <c r="D93" s="39" t="s">
        <v>26</v>
      </c>
      <c r="E93" s="39" t="s">
        <v>498</v>
      </c>
      <c r="F93" s="90" t="s">
        <v>504</v>
      </c>
      <c r="G93" s="41">
        <f>VLOOKUP(F93,'(3) Demographie &amp; Departements'!$G$8:$J$526,4,0)</f>
        <v>15239.176392831852</v>
      </c>
      <c r="H93" s="96">
        <f t="shared" si="4"/>
        <v>7010.0211407026527</v>
      </c>
      <c r="I93" s="130">
        <f t="shared" si="5"/>
        <v>0.95</v>
      </c>
      <c r="J93" s="42">
        <f t="shared" si="6"/>
        <v>0.85</v>
      </c>
      <c r="K93" s="131">
        <f t="shared" si="7"/>
        <v>0.75</v>
      </c>
      <c r="L93" s="42"/>
      <c r="M93" s="42"/>
      <c r="N93" s="39" t="s">
        <v>26</v>
      </c>
      <c r="O93" s="39" t="s">
        <v>498</v>
      </c>
      <c r="P93" s="90" t="s">
        <v>504</v>
      </c>
      <c r="Q93" s="99">
        <v>100</v>
      </c>
      <c r="R93" s="99">
        <v>100</v>
      </c>
      <c r="S93" s="99">
        <v>100</v>
      </c>
      <c r="T93" s="99">
        <v>100</v>
      </c>
      <c r="U93" s="99">
        <v>100</v>
      </c>
      <c r="V93" s="99">
        <v>100</v>
      </c>
      <c r="W93" s="99">
        <v>100</v>
      </c>
      <c r="X93" s="99">
        <v>100</v>
      </c>
      <c r="Y93" s="99">
        <v>100</v>
      </c>
      <c r="Z93" s="99">
        <v>100</v>
      </c>
      <c r="AA93" s="99">
        <v>100</v>
      </c>
      <c r="AB93" s="99">
        <v>100</v>
      </c>
      <c r="AC93" s="99">
        <v>100</v>
      </c>
      <c r="AD93" s="99">
        <v>100</v>
      </c>
      <c r="AE93" s="99">
        <v>99.398696638230305</v>
      </c>
      <c r="AF93" s="99">
        <v>100</v>
      </c>
      <c r="AG93" s="99">
        <v>100</v>
      </c>
      <c r="AH93" s="99">
        <v>100</v>
      </c>
      <c r="AI93" s="99">
        <v>100</v>
      </c>
      <c r="AJ93" s="99">
        <v>100</v>
      </c>
      <c r="AK93" s="99">
        <v>100</v>
      </c>
      <c r="AL93" s="99">
        <v>100</v>
      </c>
      <c r="AM93" s="99">
        <v>100</v>
      </c>
      <c r="AN93" s="99">
        <v>99.455249914193203</v>
      </c>
    </row>
    <row r="94" spans="1:40" s="30" customFormat="1" ht="15.6">
      <c r="A94"/>
      <c r="B94" s="29"/>
      <c r="C94" s="44" t="s">
        <v>876</v>
      </c>
      <c r="D94" s="39" t="s">
        <v>26</v>
      </c>
      <c r="E94" s="39" t="s">
        <v>262</v>
      </c>
      <c r="F94" t="s">
        <v>700</v>
      </c>
      <c r="G94" s="41">
        <f>VLOOKUP(F94,'(3) Demographie &amp; Departements'!$G$8:$J$526,4,0)</f>
        <v>7193.5478872743706</v>
      </c>
      <c r="H94" s="96">
        <f t="shared" si="4"/>
        <v>3309.0320281462105</v>
      </c>
      <c r="I94" s="130">
        <f t="shared" si="5"/>
        <v>0.95</v>
      </c>
      <c r="J94" s="42">
        <f t="shared" si="6"/>
        <v>0.85</v>
      </c>
      <c r="K94" s="131">
        <f t="shared" si="7"/>
        <v>0.75</v>
      </c>
      <c r="L94" s="42"/>
      <c r="M94" s="42"/>
      <c r="N94" s="39" t="s">
        <v>26</v>
      </c>
      <c r="O94" s="39" t="s">
        <v>262</v>
      </c>
      <c r="P94" t="s">
        <v>700</v>
      </c>
      <c r="Q94" s="99">
        <v>100</v>
      </c>
      <c r="R94" s="99">
        <v>100</v>
      </c>
      <c r="S94" s="99">
        <v>100</v>
      </c>
      <c r="T94" s="99">
        <v>100</v>
      </c>
      <c r="U94" s="99">
        <v>100</v>
      </c>
      <c r="V94" s="99">
        <v>100</v>
      </c>
      <c r="W94" s="99">
        <v>100</v>
      </c>
      <c r="X94" s="99">
        <v>100</v>
      </c>
      <c r="Y94" s="99">
        <v>100</v>
      </c>
      <c r="Z94" s="99">
        <v>100</v>
      </c>
      <c r="AA94" s="99">
        <v>100</v>
      </c>
      <c r="AB94" s="99">
        <v>100</v>
      </c>
      <c r="AC94" s="99">
        <v>100</v>
      </c>
      <c r="AD94" s="99">
        <v>100</v>
      </c>
      <c r="AE94" s="99">
        <v>98.876758717209896</v>
      </c>
      <c r="AF94" s="99">
        <v>100</v>
      </c>
      <c r="AG94" s="99">
        <v>100</v>
      </c>
      <c r="AH94" s="99">
        <v>100</v>
      </c>
      <c r="AI94" s="99">
        <v>100</v>
      </c>
      <c r="AJ94" s="99">
        <v>100</v>
      </c>
      <c r="AK94" s="99">
        <v>100</v>
      </c>
      <c r="AL94" s="99">
        <v>100</v>
      </c>
      <c r="AM94" s="99">
        <v>100</v>
      </c>
      <c r="AN94" s="99">
        <v>99.974539178715901</v>
      </c>
    </row>
    <row r="95" spans="1:40" s="30" customFormat="1" ht="15.6">
      <c r="A95"/>
      <c r="B95" s="29"/>
      <c r="C95" s="44" t="s">
        <v>876</v>
      </c>
      <c r="D95" s="39" t="s">
        <v>26</v>
      </c>
      <c r="E95" s="39" t="s">
        <v>257</v>
      </c>
      <c r="F95" t="s">
        <v>261</v>
      </c>
      <c r="G95" s="41">
        <f>VLOOKUP(F95,'(3) Demographie &amp; Departements'!$G$8:$J$526,4,0)</f>
        <v>17118.166097965044</v>
      </c>
      <c r="H95" s="96">
        <f t="shared" si="4"/>
        <v>7874.3564050639206</v>
      </c>
      <c r="I95" s="130">
        <f t="shared" si="5"/>
        <v>0.95</v>
      </c>
      <c r="J95" s="42">
        <f t="shared" si="6"/>
        <v>0.85</v>
      </c>
      <c r="K95" s="131">
        <f t="shared" si="7"/>
        <v>0.75</v>
      </c>
      <c r="L95" s="42"/>
      <c r="M95" s="42"/>
      <c r="N95" s="39" t="s">
        <v>26</v>
      </c>
      <c r="O95" s="39" t="s">
        <v>257</v>
      </c>
      <c r="P95" t="s">
        <v>261</v>
      </c>
      <c r="Q95" s="99">
        <v>100</v>
      </c>
      <c r="R95" s="99">
        <v>100</v>
      </c>
      <c r="S95" s="99">
        <v>100</v>
      </c>
      <c r="T95" s="99">
        <v>100</v>
      </c>
      <c r="U95" s="99">
        <v>100</v>
      </c>
      <c r="V95" s="99">
        <v>100</v>
      </c>
      <c r="W95" s="99">
        <v>99.87599454523</v>
      </c>
      <c r="X95" s="99">
        <v>100</v>
      </c>
      <c r="Y95" s="99">
        <v>100</v>
      </c>
      <c r="Z95" s="99">
        <v>100</v>
      </c>
      <c r="AA95" s="99">
        <v>100</v>
      </c>
      <c r="AB95" s="99">
        <v>100</v>
      </c>
      <c r="AC95" s="99">
        <v>100</v>
      </c>
      <c r="AD95" s="99">
        <v>100</v>
      </c>
      <c r="AE95" s="99">
        <v>96.728865681244997</v>
      </c>
      <c r="AF95" s="99">
        <v>100</v>
      </c>
      <c r="AG95" s="99">
        <v>100</v>
      </c>
      <c r="AH95" s="99">
        <v>100</v>
      </c>
      <c r="AI95" s="99">
        <v>100</v>
      </c>
      <c r="AJ95" s="99">
        <v>100</v>
      </c>
      <c r="AK95" s="99">
        <v>100</v>
      </c>
      <c r="AL95" s="99">
        <v>100</v>
      </c>
      <c r="AM95" s="99">
        <v>100</v>
      </c>
      <c r="AN95" s="99">
        <v>100</v>
      </c>
    </row>
    <row r="96" spans="1:40" s="30" customFormat="1" ht="15.6">
      <c r="A96"/>
      <c r="B96" s="29"/>
      <c r="C96" s="44" t="s">
        <v>876</v>
      </c>
      <c r="D96" s="39" t="s">
        <v>26</v>
      </c>
      <c r="E96" s="39" t="s">
        <v>248</v>
      </c>
      <c r="F96" t="s">
        <v>701</v>
      </c>
      <c r="G96" s="41">
        <f>VLOOKUP(F96,'(3) Demographie &amp; Departements'!$G$8:$J$526,4,0)</f>
        <v>37641.222216010014</v>
      </c>
      <c r="H96" s="96">
        <f t="shared" si="4"/>
        <v>17314.962219364606</v>
      </c>
      <c r="I96" s="130">
        <f t="shared" si="5"/>
        <v>0.95</v>
      </c>
      <c r="J96" s="42">
        <f t="shared" si="6"/>
        <v>0.85</v>
      </c>
      <c r="K96" s="131">
        <f t="shared" si="7"/>
        <v>0.75</v>
      </c>
      <c r="L96" s="42"/>
      <c r="M96" s="42"/>
      <c r="N96" s="39" t="s">
        <v>26</v>
      </c>
      <c r="O96" s="39" t="s">
        <v>248</v>
      </c>
      <c r="P96" t="s">
        <v>701</v>
      </c>
      <c r="Q96" s="99">
        <v>100</v>
      </c>
      <c r="R96" s="99">
        <v>99.838053017273893</v>
      </c>
      <c r="S96" s="99">
        <v>100</v>
      </c>
      <c r="T96" s="99">
        <v>98.177338617125599</v>
      </c>
      <c r="U96" s="99">
        <v>98.723740611107701</v>
      </c>
      <c r="V96" s="99">
        <v>100</v>
      </c>
      <c r="W96" s="99">
        <v>90.898707568113693</v>
      </c>
      <c r="X96" s="99">
        <v>100</v>
      </c>
      <c r="Y96" s="99">
        <v>100</v>
      </c>
      <c r="Z96" s="99">
        <v>99.960239798175294</v>
      </c>
      <c r="AA96" s="99">
        <v>99.947822581960096</v>
      </c>
      <c r="AB96" s="99">
        <v>100</v>
      </c>
      <c r="AC96" s="99">
        <v>99.944488398014499</v>
      </c>
      <c r="AD96" s="99">
        <v>100</v>
      </c>
      <c r="AE96" s="99">
        <v>88.943358678624705</v>
      </c>
      <c r="AF96" s="99">
        <v>99.586238181460402</v>
      </c>
      <c r="AG96" s="99">
        <v>100</v>
      </c>
      <c r="AH96" s="99">
        <v>100</v>
      </c>
      <c r="AI96" s="99">
        <v>99.967621267984001</v>
      </c>
      <c r="AJ96" s="99">
        <v>100</v>
      </c>
      <c r="AK96" s="99">
        <v>100</v>
      </c>
      <c r="AL96" s="99">
        <v>100</v>
      </c>
      <c r="AM96" s="99">
        <v>100</v>
      </c>
      <c r="AN96" s="99">
        <v>100</v>
      </c>
    </row>
    <row r="97" spans="1:40" s="30" customFormat="1" ht="15.6">
      <c r="A97"/>
      <c r="B97" s="29"/>
      <c r="C97" s="44" t="s">
        <v>876</v>
      </c>
      <c r="D97" s="39" t="s">
        <v>26</v>
      </c>
      <c r="E97" s="39" t="s">
        <v>429</v>
      </c>
      <c r="F97" t="s">
        <v>702</v>
      </c>
      <c r="G97" s="41">
        <f>VLOOKUP(F97,'(3) Demographie &amp; Departements'!$G$8:$J$526,4,0)</f>
        <v>19597.293264116382</v>
      </c>
      <c r="H97" s="96">
        <f t="shared" si="4"/>
        <v>9014.7549014935357</v>
      </c>
      <c r="I97" s="130">
        <f t="shared" si="5"/>
        <v>0.95</v>
      </c>
      <c r="J97" s="42">
        <f t="shared" si="6"/>
        <v>0.85</v>
      </c>
      <c r="K97" s="131">
        <f t="shared" si="7"/>
        <v>0.75</v>
      </c>
      <c r="L97" s="42"/>
      <c r="M97" s="42"/>
      <c r="N97" s="39" t="s">
        <v>26</v>
      </c>
      <c r="O97" s="39" t="s">
        <v>429</v>
      </c>
      <c r="P97" t="s">
        <v>702</v>
      </c>
      <c r="Q97" s="99">
        <v>100</v>
      </c>
      <c r="R97" s="99">
        <v>100</v>
      </c>
      <c r="S97" s="99">
        <v>100</v>
      </c>
      <c r="T97" s="99">
        <v>100</v>
      </c>
      <c r="U97" s="99">
        <v>100</v>
      </c>
      <c r="V97" s="99">
        <v>100</v>
      </c>
      <c r="W97" s="99">
        <v>100</v>
      </c>
      <c r="X97" s="99">
        <v>100</v>
      </c>
      <c r="Y97" s="99">
        <v>100</v>
      </c>
      <c r="Z97" s="99">
        <v>100</v>
      </c>
      <c r="AA97" s="99">
        <v>100</v>
      </c>
      <c r="AB97" s="99">
        <v>100</v>
      </c>
      <c r="AC97" s="99">
        <v>100</v>
      </c>
      <c r="AD97" s="99">
        <v>100</v>
      </c>
      <c r="AE97" s="99">
        <v>97.791203598075697</v>
      </c>
      <c r="AF97" s="99">
        <v>100</v>
      </c>
      <c r="AG97" s="99">
        <v>100</v>
      </c>
      <c r="AH97" s="99">
        <v>100</v>
      </c>
      <c r="AI97" s="99">
        <v>99.988681442269893</v>
      </c>
      <c r="AJ97" s="99">
        <v>100</v>
      </c>
      <c r="AK97" s="99">
        <v>100</v>
      </c>
      <c r="AL97" s="99">
        <v>100</v>
      </c>
      <c r="AM97" s="99">
        <v>100</v>
      </c>
      <c r="AN97" s="99">
        <v>99.041725698837297</v>
      </c>
    </row>
    <row r="98" spans="1:40" s="30" customFormat="1" ht="15.6">
      <c r="A98"/>
      <c r="B98" s="29"/>
      <c r="C98" s="44" t="s">
        <v>876</v>
      </c>
      <c r="D98" s="39" t="s">
        <v>26</v>
      </c>
      <c r="E98" s="39" t="s">
        <v>576</v>
      </c>
      <c r="F98" t="s">
        <v>703</v>
      </c>
      <c r="G98" s="41">
        <f>VLOOKUP(F98,'(3) Demographie &amp; Departements'!$G$8:$J$526,4,0)</f>
        <v>5950.6532178510279</v>
      </c>
      <c r="H98" s="96">
        <f t="shared" si="4"/>
        <v>2737.3004802114729</v>
      </c>
      <c r="I98" s="130">
        <f t="shared" si="5"/>
        <v>0.95</v>
      </c>
      <c r="J98" s="42">
        <f t="shared" si="6"/>
        <v>0.85</v>
      </c>
      <c r="K98" s="131">
        <f t="shared" si="7"/>
        <v>0.75</v>
      </c>
      <c r="L98" s="42"/>
      <c r="M98" s="42"/>
      <c r="N98" s="39" t="s">
        <v>26</v>
      </c>
      <c r="O98" s="39" t="s">
        <v>576</v>
      </c>
      <c r="P98" t="s">
        <v>703</v>
      </c>
      <c r="Q98" s="99">
        <v>100</v>
      </c>
      <c r="R98" s="99">
        <v>100</v>
      </c>
      <c r="S98" s="99">
        <v>100</v>
      </c>
      <c r="T98" s="99">
        <v>92.957182980377794</v>
      </c>
      <c r="U98" s="99">
        <v>100</v>
      </c>
      <c r="V98" s="99">
        <v>100</v>
      </c>
      <c r="W98" s="99">
        <v>100</v>
      </c>
      <c r="X98" s="99">
        <v>100</v>
      </c>
      <c r="Y98" s="99">
        <v>100</v>
      </c>
      <c r="Z98" s="99">
        <v>100</v>
      </c>
      <c r="AA98" s="99">
        <v>100</v>
      </c>
      <c r="AB98" s="99">
        <v>100</v>
      </c>
      <c r="AC98" s="99">
        <v>98.8863108924795</v>
      </c>
      <c r="AD98" s="99">
        <v>100</v>
      </c>
      <c r="AE98" s="99">
        <v>86.724852290769505</v>
      </c>
      <c r="AF98" s="99">
        <v>100</v>
      </c>
      <c r="AG98" s="99">
        <v>100</v>
      </c>
      <c r="AH98" s="99">
        <v>100</v>
      </c>
      <c r="AI98" s="99">
        <v>100</v>
      </c>
      <c r="AJ98" s="99">
        <v>100</v>
      </c>
      <c r="AK98" s="99">
        <v>100</v>
      </c>
      <c r="AL98" s="99">
        <v>100</v>
      </c>
      <c r="AM98" s="99">
        <v>100</v>
      </c>
      <c r="AN98" s="99">
        <v>100</v>
      </c>
    </row>
    <row r="99" spans="1:40" s="30" customFormat="1" ht="15.6">
      <c r="A99"/>
      <c r="B99" s="29"/>
      <c r="C99" s="44" t="s">
        <v>876</v>
      </c>
      <c r="D99" s="39" t="s">
        <v>26</v>
      </c>
      <c r="E99" s="39" t="s">
        <v>251</v>
      </c>
      <c r="F99" t="s">
        <v>704</v>
      </c>
      <c r="G99" s="41">
        <f>VLOOKUP(F99,'(3) Demographie &amp; Departements'!$G$8:$J$526,4,0)</f>
        <v>43875.334906784374</v>
      </c>
      <c r="H99" s="96">
        <f t="shared" si="4"/>
        <v>20182.654057120813</v>
      </c>
      <c r="I99" s="130">
        <f t="shared" si="5"/>
        <v>0.95</v>
      </c>
      <c r="J99" s="42">
        <f t="shared" si="6"/>
        <v>0.85</v>
      </c>
      <c r="K99" s="131">
        <f t="shared" si="7"/>
        <v>0.75</v>
      </c>
      <c r="L99" s="42"/>
      <c r="M99" s="42"/>
      <c r="N99" s="39" t="s">
        <v>26</v>
      </c>
      <c r="O99" s="39" t="s">
        <v>251</v>
      </c>
      <c r="P99" t="s">
        <v>704</v>
      </c>
      <c r="Q99" s="99">
        <v>100</v>
      </c>
      <c r="R99" s="99">
        <v>99.822457742484204</v>
      </c>
      <c r="S99" s="99">
        <v>100</v>
      </c>
      <c r="T99" s="99">
        <v>98.001740215418295</v>
      </c>
      <c r="U99" s="99">
        <v>84.649825362484194</v>
      </c>
      <c r="V99" s="99">
        <v>99.990146362941204</v>
      </c>
      <c r="W99" s="99">
        <v>91.363484301639502</v>
      </c>
      <c r="X99" s="99">
        <v>100</v>
      </c>
      <c r="Y99" s="99">
        <v>100</v>
      </c>
      <c r="Z99" s="99">
        <v>99.969310743212404</v>
      </c>
      <c r="AA99" s="99">
        <v>100</v>
      </c>
      <c r="AB99" s="99">
        <v>99.248502980088404</v>
      </c>
      <c r="AC99" s="99">
        <v>100</v>
      </c>
      <c r="AD99" s="99">
        <v>100</v>
      </c>
      <c r="AE99" s="99">
        <v>80.4152079614001</v>
      </c>
      <c r="AF99" s="99">
        <v>87.0873305616701</v>
      </c>
      <c r="AG99" s="99">
        <v>100</v>
      </c>
      <c r="AH99" s="99">
        <v>99.488182920877307</v>
      </c>
      <c r="AI99" s="99">
        <v>98.655536375835197</v>
      </c>
      <c r="AJ99" s="99">
        <v>100</v>
      </c>
      <c r="AK99" s="99">
        <v>98.065610707296898</v>
      </c>
      <c r="AL99" s="99">
        <v>96.274272518045507</v>
      </c>
      <c r="AM99" s="99">
        <v>100</v>
      </c>
      <c r="AN99" s="99">
        <v>83.639765479085696</v>
      </c>
    </row>
    <row r="100" spans="1:40" s="30" customFormat="1" ht="15.6">
      <c r="A100"/>
      <c r="B100" s="29"/>
      <c r="C100" s="44" t="s">
        <v>876</v>
      </c>
      <c r="D100" s="39" t="s">
        <v>26</v>
      </c>
      <c r="E100" s="39" t="s">
        <v>221</v>
      </c>
      <c r="F100" t="s">
        <v>705</v>
      </c>
      <c r="G100" s="41">
        <f>VLOOKUP(F100,'(3) Demographie &amp; Departements'!$G$8:$J$526,4,0)</f>
        <v>18339.105993831457</v>
      </c>
      <c r="H100" s="96">
        <f t="shared" si="4"/>
        <v>8435.9887571624713</v>
      </c>
      <c r="I100" s="130">
        <f t="shared" si="5"/>
        <v>0.95</v>
      </c>
      <c r="J100" s="42">
        <f t="shared" si="6"/>
        <v>0.85</v>
      </c>
      <c r="K100" s="131">
        <f t="shared" si="7"/>
        <v>0.75</v>
      </c>
      <c r="L100" s="42"/>
      <c r="M100" s="42"/>
      <c r="N100" s="39" t="s">
        <v>26</v>
      </c>
      <c r="O100" s="39" t="s">
        <v>221</v>
      </c>
      <c r="P100" t="s">
        <v>705</v>
      </c>
      <c r="Q100" s="99">
        <v>100</v>
      </c>
      <c r="R100" s="99">
        <v>100</v>
      </c>
      <c r="S100" s="99">
        <v>100</v>
      </c>
      <c r="T100" s="99">
        <v>100</v>
      </c>
      <c r="U100" s="99">
        <v>97.009014493658299</v>
      </c>
      <c r="V100" s="99">
        <v>100</v>
      </c>
      <c r="W100" s="99">
        <v>89.034784749740496</v>
      </c>
      <c r="X100" s="99">
        <v>100</v>
      </c>
      <c r="Y100" s="99">
        <v>99.180577897092604</v>
      </c>
      <c r="Z100" s="99">
        <v>100</v>
      </c>
      <c r="AA100" s="99">
        <v>100</v>
      </c>
      <c r="AB100" s="99">
        <v>100</v>
      </c>
      <c r="AC100" s="99">
        <v>100</v>
      </c>
      <c r="AD100" s="99">
        <v>100</v>
      </c>
      <c r="AE100" s="99">
        <v>88.709969077537494</v>
      </c>
      <c r="AF100" s="99">
        <v>100</v>
      </c>
      <c r="AG100" s="99">
        <v>100</v>
      </c>
      <c r="AH100" s="99">
        <v>100</v>
      </c>
      <c r="AI100" s="99">
        <v>100</v>
      </c>
      <c r="AJ100" s="99">
        <v>100</v>
      </c>
      <c r="AK100" s="99">
        <v>100</v>
      </c>
      <c r="AL100" s="99">
        <v>100</v>
      </c>
      <c r="AM100" s="99">
        <v>100</v>
      </c>
      <c r="AN100" s="99">
        <v>95.328774923779307</v>
      </c>
    </row>
    <row r="101" spans="1:40" s="30" customFormat="1" ht="15.6">
      <c r="A101"/>
      <c r="B101" s="29"/>
      <c r="C101" s="44" t="s">
        <v>876</v>
      </c>
      <c r="D101" s="39" t="s">
        <v>26</v>
      </c>
      <c r="E101" s="39" t="s">
        <v>513</v>
      </c>
      <c r="F101" t="s">
        <v>706</v>
      </c>
      <c r="G101" s="41">
        <f>VLOOKUP(F101,'(3) Demographie &amp; Departements'!$G$8:$J$526,4,0)</f>
        <v>69385.808703655232</v>
      </c>
      <c r="H101" s="96">
        <f t="shared" si="4"/>
        <v>31917.472003681407</v>
      </c>
      <c r="I101" s="130">
        <f t="shared" si="5"/>
        <v>0.95</v>
      </c>
      <c r="J101" s="42">
        <f t="shared" si="6"/>
        <v>0.85</v>
      </c>
      <c r="K101" s="131">
        <f t="shared" si="7"/>
        <v>0.75</v>
      </c>
      <c r="L101" s="42"/>
      <c r="M101" s="42"/>
      <c r="N101" s="39" t="s">
        <v>26</v>
      </c>
      <c r="O101" s="39" t="s">
        <v>513</v>
      </c>
      <c r="P101" t="s">
        <v>706</v>
      </c>
      <c r="Q101" s="99">
        <v>100</v>
      </c>
      <c r="R101" s="99">
        <v>99.9625893939006</v>
      </c>
      <c r="S101" s="99">
        <v>99.548010433149003</v>
      </c>
      <c r="T101" s="99">
        <v>100</v>
      </c>
      <c r="U101" s="99">
        <v>99.915198643222595</v>
      </c>
      <c r="V101" s="99">
        <v>99.823548237993094</v>
      </c>
      <c r="W101" s="99">
        <v>93.201054158546597</v>
      </c>
      <c r="X101" s="99">
        <v>100</v>
      </c>
      <c r="Y101" s="99">
        <v>99.711323393231396</v>
      </c>
      <c r="Z101" s="99">
        <v>99.890537045966695</v>
      </c>
      <c r="AA101" s="99">
        <v>99.856197775760705</v>
      </c>
      <c r="AB101" s="99">
        <v>99.997191809014495</v>
      </c>
      <c r="AC101" s="99">
        <v>100</v>
      </c>
      <c r="AD101" s="99">
        <v>100</v>
      </c>
      <c r="AE101" s="99">
        <v>93.263426964328005</v>
      </c>
      <c r="AF101" s="99">
        <v>99.953185039831297</v>
      </c>
      <c r="AG101" s="99">
        <v>99.970036705025194</v>
      </c>
      <c r="AH101" s="99">
        <v>97.754461001083996</v>
      </c>
      <c r="AI101" s="99">
        <v>99.9729454792148</v>
      </c>
      <c r="AJ101" s="99">
        <v>99.881538663596899</v>
      </c>
      <c r="AK101" s="99">
        <v>99.749738980673698</v>
      </c>
      <c r="AL101" s="99">
        <v>100</v>
      </c>
      <c r="AM101" s="99">
        <v>100</v>
      </c>
      <c r="AN101" s="99">
        <v>98.577279927396106</v>
      </c>
    </row>
    <row r="102" spans="1:40" s="30" customFormat="1" ht="15.6">
      <c r="A102"/>
      <c r="B102" s="29"/>
      <c r="C102" s="44" t="s">
        <v>876</v>
      </c>
      <c r="D102" s="39" t="s">
        <v>26</v>
      </c>
      <c r="E102" s="39" t="s">
        <v>240</v>
      </c>
      <c r="F102" t="s">
        <v>707</v>
      </c>
      <c r="G102" s="41">
        <f>VLOOKUP(F102,'(3) Demographie &amp; Departements'!$G$8:$J$526,4,0)</f>
        <v>12289.797571472131</v>
      </c>
      <c r="H102" s="96">
        <f t="shared" si="4"/>
        <v>5653.3068828771802</v>
      </c>
      <c r="I102" s="130">
        <f t="shared" si="5"/>
        <v>0.95</v>
      </c>
      <c r="J102" s="42">
        <f t="shared" si="6"/>
        <v>0.85</v>
      </c>
      <c r="K102" s="131">
        <f t="shared" si="7"/>
        <v>0.75</v>
      </c>
      <c r="L102" s="42"/>
      <c r="M102" s="42"/>
      <c r="N102" s="39" t="s">
        <v>26</v>
      </c>
      <c r="O102" s="39" t="s">
        <v>240</v>
      </c>
      <c r="P102" t="s">
        <v>707</v>
      </c>
      <c r="Q102" s="99">
        <v>100</v>
      </c>
      <c r="R102" s="99">
        <v>100</v>
      </c>
      <c r="S102" s="99">
        <v>100</v>
      </c>
      <c r="T102" s="99">
        <v>98.532431196154306</v>
      </c>
      <c r="U102" s="99">
        <v>97.912338382628505</v>
      </c>
      <c r="V102" s="99">
        <v>100</v>
      </c>
      <c r="W102" s="99">
        <v>95.697975407452304</v>
      </c>
      <c r="X102" s="99">
        <v>100</v>
      </c>
      <c r="Y102" s="99">
        <v>100</v>
      </c>
      <c r="Z102" s="99">
        <v>100</v>
      </c>
      <c r="AA102" s="99">
        <v>100</v>
      </c>
      <c r="AB102" s="99">
        <v>100</v>
      </c>
      <c r="AC102" s="99">
        <v>98.312230931722297</v>
      </c>
      <c r="AD102" s="99">
        <v>100</v>
      </c>
      <c r="AE102" s="99">
        <v>90.780124940622201</v>
      </c>
      <c r="AF102" s="99">
        <v>99.567676849835493</v>
      </c>
      <c r="AG102" s="99">
        <v>99.938817797951501</v>
      </c>
      <c r="AH102" s="99">
        <v>98.833220841959204</v>
      </c>
      <c r="AI102" s="99">
        <v>100</v>
      </c>
      <c r="AJ102" s="99">
        <v>100</v>
      </c>
      <c r="AK102" s="99">
        <v>100</v>
      </c>
      <c r="AL102" s="99">
        <v>100</v>
      </c>
      <c r="AM102" s="99">
        <v>100</v>
      </c>
      <c r="AN102" s="99">
        <v>98.394807981697795</v>
      </c>
    </row>
    <row r="103" spans="1:40" s="30" customFormat="1" ht="15.6">
      <c r="A103"/>
      <c r="B103" s="29"/>
      <c r="C103" s="44" t="s">
        <v>876</v>
      </c>
      <c r="D103" s="39" t="s">
        <v>26</v>
      </c>
      <c r="E103" s="39" t="s">
        <v>594</v>
      </c>
      <c r="F103" t="s">
        <v>708</v>
      </c>
      <c r="G103" s="41">
        <f>VLOOKUP(F103,'(3) Demographie &amp; Departements'!$G$8:$J$526,4,0)</f>
        <v>26917.943956954281</v>
      </c>
      <c r="H103" s="96">
        <f t="shared" si="4"/>
        <v>12382.254220198969</v>
      </c>
      <c r="I103" s="130">
        <f t="shared" si="5"/>
        <v>0.95</v>
      </c>
      <c r="J103" s="42">
        <f t="shared" si="6"/>
        <v>0.85</v>
      </c>
      <c r="K103" s="131">
        <f t="shared" si="7"/>
        <v>0.75</v>
      </c>
      <c r="L103" s="42"/>
      <c r="M103" s="42"/>
      <c r="N103" s="39" t="s">
        <v>26</v>
      </c>
      <c r="O103" s="39" t="s">
        <v>594</v>
      </c>
      <c r="P103" t="s">
        <v>708</v>
      </c>
      <c r="Q103" s="99">
        <v>99.670633643063496</v>
      </c>
      <c r="R103" s="99">
        <v>100</v>
      </c>
      <c r="S103" s="99">
        <v>98.646230749831105</v>
      </c>
      <c r="T103" s="99">
        <v>83.734063508576895</v>
      </c>
      <c r="U103" s="99">
        <v>75.202448356242797</v>
      </c>
      <c r="V103" s="99">
        <v>100</v>
      </c>
      <c r="W103" s="99">
        <v>84.999885980592694</v>
      </c>
      <c r="X103" s="99">
        <v>100</v>
      </c>
      <c r="Y103" s="99">
        <v>98.964315224197193</v>
      </c>
      <c r="Z103" s="99">
        <v>100</v>
      </c>
      <c r="AA103" s="99">
        <v>100</v>
      </c>
      <c r="AB103" s="99">
        <v>97.323197828064195</v>
      </c>
      <c r="AC103" s="99">
        <v>84.731697064545898</v>
      </c>
      <c r="AD103" s="99">
        <v>95.729610229400606</v>
      </c>
      <c r="AE103" s="99">
        <v>64.582496329109304</v>
      </c>
      <c r="AF103" s="99">
        <v>82.506626160609997</v>
      </c>
      <c r="AG103" s="99">
        <v>99.751356743191394</v>
      </c>
      <c r="AH103" s="99">
        <v>93.033007505138102</v>
      </c>
      <c r="AI103" s="99">
        <v>97.039371172694402</v>
      </c>
      <c r="AJ103" s="99">
        <v>99.926528569983304</v>
      </c>
      <c r="AK103" s="99">
        <v>99.721973793613898</v>
      </c>
      <c r="AL103" s="99">
        <v>99.527714737989101</v>
      </c>
      <c r="AM103" s="99">
        <v>99.535577128078799</v>
      </c>
      <c r="AN103" s="99">
        <v>85.200395655981595</v>
      </c>
    </row>
    <row r="104" spans="1:40" s="30" customFormat="1" ht="15.6">
      <c r="A104"/>
      <c r="B104" s="29"/>
      <c r="C104" s="44" t="s">
        <v>876</v>
      </c>
      <c r="D104" s="39" t="s">
        <v>26</v>
      </c>
      <c r="E104" s="39" t="s">
        <v>576</v>
      </c>
      <c r="F104" t="s">
        <v>709</v>
      </c>
      <c r="G104" s="41">
        <f>VLOOKUP(F104,'(3) Demographie &amp; Departements'!$G$8:$J$526,4,0)</f>
        <v>12402.928063545161</v>
      </c>
      <c r="H104" s="96">
        <f t="shared" si="4"/>
        <v>5705.3469092307741</v>
      </c>
      <c r="I104" s="130">
        <f t="shared" si="5"/>
        <v>0.95</v>
      </c>
      <c r="J104" s="42">
        <f t="shared" si="6"/>
        <v>0.85</v>
      </c>
      <c r="K104" s="131">
        <f t="shared" si="7"/>
        <v>0.75</v>
      </c>
      <c r="L104" s="42"/>
      <c r="M104" s="42"/>
      <c r="N104" s="39" t="s">
        <v>26</v>
      </c>
      <c r="O104" s="39" t="s">
        <v>576</v>
      </c>
      <c r="P104" t="s">
        <v>709</v>
      </c>
      <c r="Q104" s="99">
        <v>100</v>
      </c>
      <c r="R104" s="99">
        <v>100</v>
      </c>
      <c r="S104" s="99">
        <v>100</v>
      </c>
      <c r="T104" s="99">
        <v>93.431867185658007</v>
      </c>
      <c r="U104" s="99">
        <v>98.232747109032999</v>
      </c>
      <c r="V104" s="99">
        <v>100</v>
      </c>
      <c r="W104" s="99">
        <v>97.552170219600697</v>
      </c>
      <c r="X104" s="99">
        <v>100</v>
      </c>
      <c r="Y104" s="99">
        <v>100</v>
      </c>
      <c r="Z104" s="99">
        <v>100</v>
      </c>
      <c r="AA104" s="99">
        <v>100</v>
      </c>
      <c r="AB104" s="99">
        <v>100</v>
      </c>
      <c r="AC104" s="99">
        <v>84.658022864750507</v>
      </c>
      <c r="AD104" s="99">
        <v>100</v>
      </c>
      <c r="AE104" s="99">
        <v>67.519892094133795</v>
      </c>
      <c r="AF104" s="99">
        <v>98.417089935700005</v>
      </c>
      <c r="AG104" s="99">
        <v>100</v>
      </c>
      <c r="AH104" s="99">
        <v>99.1014888698124</v>
      </c>
      <c r="AI104" s="99">
        <v>100</v>
      </c>
      <c r="AJ104" s="99">
        <v>100</v>
      </c>
      <c r="AK104" s="99">
        <v>100</v>
      </c>
      <c r="AL104" s="99">
        <v>100</v>
      </c>
      <c r="AM104" s="99">
        <v>100</v>
      </c>
      <c r="AN104" s="99">
        <v>99.805774787149005</v>
      </c>
    </row>
    <row r="105" spans="1:40" s="30" customFormat="1" ht="15.6">
      <c r="A105"/>
      <c r="B105" s="29"/>
      <c r="C105" s="44" t="s">
        <v>876</v>
      </c>
      <c r="D105" s="39" t="s">
        <v>26</v>
      </c>
      <c r="E105" s="39" t="s">
        <v>576</v>
      </c>
      <c r="F105" t="s">
        <v>710</v>
      </c>
      <c r="G105" s="41">
        <f>VLOOKUP(F105,'(3) Demographie &amp; Departements'!$G$8:$J$526,4,0)</f>
        <v>34796.701522497366</v>
      </c>
      <c r="H105" s="96">
        <f t="shared" si="4"/>
        <v>16006.482700348788</v>
      </c>
      <c r="I105" s="130">
        <f t="shared" si="5"/>
        <v>0.95</v>
      </c>
      <c r="J105" s="42">
        <f t="shared" si="6"/>
        <v>0.85</v>
      </c>
      <c r="K105" s="131">
        <f t="shared" si="7"/>
        <v>0.75</v>
      </c>
      <c r="L105" s="42"/>
      <c r="M105" s="42"/>
      <c r="N105" s="39" t="s">
        <v>26</v>
      </c>
      <c r="O105" s="39" t="s">
        <v>576</v>
      </c>
      <c r="P105" t="s">
        <v>710</v>
      </c>
      <c r="Q105" s="99">
        <v>100</v>
      </c>
      <c r="R105" s="99">
        <v>100</v>
      </c>
      <c r="S105" s="99">
        <v>100</v>
      </c>
      <c r="T105" s="99">
        <v>98.214345187963403</v>
      </c>
      <c r="U105" s="99">
        <v>98.829458745815401</v>
      </c>
      <c r="V105" s="99">
        <v>100</v>
      </c>
      <c r="W105" s="99">
        <v>99.165999922084396</v>
      </c>
      <c r="X105" s="99">
        <v>100</v>
      </c>
      <c r="Y105" s="99">
        <v>100</v>
      </c>
      <c r="Z105" s="99">
        <v>100</v>
      </c>
      <c r="AA105" s="99">
        <v>100</v>
      </c>
      <c r="AB105" s="99">
        <v>99.995215743946005</v>
      </c>
      <c r="AC105" s="99">
        <v>92.260400464975802</v>
      </c>
      <c r="AD105" s="99">
        <v>100</v>
      </c>
      <c r="AE105" s="99">
        <v>74.556457025459196</v>
      </c>
      <c r="AF105" s="99">
        <v>99.925212891981104</v>
      </c>
      <c r="AG105" s="99">
        <v>99.976269811428907</v>
      </c>
      <c r="AH105" s="99">
        <v>99.7793879605033</v>
      </c>
      <c r="AI105" s="99">
        <v>100</v>
      </c>
      <c r="AJ105" s="99">
        <v>100</v>
      </c>
      <c r="AK105" s="99">
        <v>98.836736308142505</v>
      </c>
      <c r="AL105" s="99">
        <v>100</v>
      </c>
      <c r="AM105" s="99">
        <v>100</v>
      </c>
      <c r="AN105" s="99">
        <v>99.285179787743203</v>
      </c>
    </row>
    <row r="106" spans="1:40" s="30" customFormat="1" ht="15.6">
      <c r="A106"/>
      <c r="B106" s="29"/>
      <c r="C106" s="44" t="s">
        <v>876</v>
      </c>
      <c r="D106" s="39" t="s">
        <v>26</v>
      </c>
      <c r="E106" s="39" t="s">
        <v>576</v>
      </c>
      <c r="F106" t="s">
        <v>711</v>
      </c>
      <c r="G106" s="41">
        <f>VLOOKUP(F106,'(3) Demographie &amp; Departements'!$G$8:$J$526,4,0)</f>
        <v>26908.555279238644</v>
      </c>
      <c r="H106" s="96">
        <f t="shared" si="4"/>
        <v>12377.935428449777</v>
      </c>
      <c r="I106" s="130">
        <f t="shared" si="5"/>
        <v>0.95</v>
      </c>
      <c r="J106" s="42">
        <f t="shared" si="6"/>
        <v>0.85</v>
      </c>
      <c r="K106" s="131">
        <f t="shared" si="7"/>
        <v>0.75</v>
      </c>
      <c r="L106" s="42"/>
      <c r="M106" s="42"/>
      <c r="N106" s="39" t="s">
        <v>26</v>
      </c>
      <c r="O106" s="39" t="s">
        <v>576</v>
      </c>
      <c r="P106" t="s">
        <v>711</v>
      </c>
      <c r="Q106" s="99">
        <v>100</v>
      </c>
      <c r="R106" s="99">
        <v>100</v>
      </c>
      <c r="S106" s="99">
        <v>100</v>
      </c>
      <c r="T106" s="99">
        <v>89.799864245089395</v>
      </c>
      <c r="U106" s="99">
        <v>95.756188926913097</v>
      </c>
      <c r="V106" s="99">
        <v>100</v>
      </c>
      <c r="W106" s="99">
        <v>97.080293913037394</v>
      </c>
      <c r="X106" s="99">
        <v>100</v>
      </c>
      <c r="Y106" s="99">
        <v>100</v>
      </c>
      <c r="Z106" s="99">
        <v>100</v>
      </c>
      <c r="AA106" s="99">
        <v>100</v>
      </c>
      <c r="AB106" s="99">
        <v>100</v>
      </c>
      <c r="AC106" s="99">
        <v>89.260681112356494</v>
      </c>
      <c r="AD106" s="99">
        <v>100</v>
      </c>
      <c r="AE106" s="99">
        <v>74.973878390558696</v>
      </c>
      <c r="AF106" s="99">
        <v>98.691971424349902</v>
      </c>
      <c r="AG106" s="99">
        <v>100</v>
      </c>
      <c r="AH106" s="99">
        <v>97.704974366283693</v>
      </c>
      <c r="AI106" s="99">
        <v>100</v>
      </c>
      <c r="AJ106" s="99">
        <v>100</v>
      </c>
      <c r="AK106" s="99">
        <v>100</v>
      </c>
      <c r="AL106" s="99">
        <v>100</v>
      </c>
      <c r="AM106" s="99">
        <v>100</v>
      </c>
      <c r="AN106" s="99">
        <v>99.140280229647303</v>
      </c>
    </row>
    <row r="107" spans="1:40" s="30" customFormat="1" ht="15.6">
      <c r="A107"/>
      <c r="B107" s="29"/>
      <c r="C107" s="44" t="s">
        <v>876</v>
      </c>
      <c r="D107" s="39" t="s">
        <v>26</v>
      </c>
      <c r="E107" s="39" t="s">
        <v>576</v>
      </c>
      <c r="F107" t="s">
        <v>712</v>
      </c>
      <c r="G107" s="41">
        <f>VLOOKUP(F107,'(3) Demographie &amp; Departements'!$G$8:$J$526,4,0)</f>
        <v>35143.013946797881</v>
      </c>
      <c r="H107" s="96">
        <f t="shared" si="4"/>
        <v>16165.786415527025</v>
      </c>
      <c r="I107" s="130">
        <f t="shared" si="5"/>
        <v>0.95</v>
      </c>
      <c r="J107" s="42">
        <f t="shared" si="6"/>
        <v>0.85</v>
      </c>
      <c r="K107" s="131">
        <f t="shared" si="7"/>
        <v>0.75</v>
      </c>
      <c r="L107" s="42"/>
      <c r="M107" s="42"/>
      <c r="N107" s="39" t="s">
        <v>26</v>
      </c>
      <c r="O107" s="39" t="s">
        <v>576</v>
      </c>
      <c r="P107" t="s">
        <v>712</v>
      </c>
      <c r="Q107" s="99">
        <v>100</v>
      </c>
      <c r="R107" s="99">
        <v>99.832978514442402</v>
      </c>
      <c r="S107" s="99">
        <v>99.395045606672795</v>
      </c>
      <c r="T107" s="99">
        <v>91.313252681336706</v>
      </c>
      <c r="U107" s="99">
        <v>92.931868412088505</v>
      </c>
      <c r="V107" s="99">
        <v>100</v>
      </c>
      <c r="W107" s="99">
        <v>87.198728578414006</v>
      </c>
      <c r="X107" s="99">
        <v>99.973817848849393</v>
      </c>
      <c r="Y107" s="99">
        <v>100</v>
      </c>
      <c r="Z107" s="99">
        <v>100</v>
      </c>
      <c r="AA107" s="99">
        <v>100</v>
      </c>
      <c r="AB107" s="99">
        <v>93.442879258399699</v>
      </c>
      <c r="AC107" s="99">
        <v>72.528778153073006</v>
      </c>
      <c r="AD107" s="99">
        <v>100</v>
      </c>
      <c r="AE107" s="99">
        <v>79.134131489278502</v>
      </c>
      <c r="AF107" s="99">
        <v>98.531008322572703</v>
      </c>
      <c r="AG107" s="99">
        <v>97.503090738049394</v>
      </c>
      <c r="AH107" s="99">
        <v>92.654667709563199</v>
      </c>
      <c r="AI107" s="99">
        <v>100</v>
      </c>
      <c r="AJ107" s="99">
        <v>100</v>
      </c>
      <c r="AK107" s="99">
        <v>97.308670014546095</v>
      </c>
      <c r="AL107" s="99">
        <v>100</v>
      </c>
      <c r="AM107" s="99">
        <v>99.534401290191397</v>
      </c>
      <c r="AN107" s="99">
        <v>87.660489819072296</v>
      </c>
    </row>
    <row r="108" spans="1:40" s="30" customFormat="1" ht="15.6">
      <c r="A108"/>
      <c r="B108" s="29"/>
      <c r="C108" s="44" t="s">
        <v>876</v>
      </c>
      <c r="D108" s="39" t="s">
        <v>26</v>
      </c>
      <c r="E108" s="39" t="s">
        <v>601</v>
      </c>
      <c r="F108" t="s">
        <v>713</v>
      </c>
      <c r="G108" s="41">
        <f>VLOOKUP(F108,'(3) Demographie &amp; Departements'!$G$8:$J$526,4,0)</f>
        <v>69596.733516062115</v>
      </c>
      <c r="H108" s="96">
        <f t="shared" si="4"/>
        <v>32014.497417388575</v>
      </c>
      <c r="I108" s="130">
        <f t="shared" si="5"/>
        <v>0.95</v>
      </c>
      <c r="J108" s="42">
        <f t="shared" si="6"/>
        <v>0.85</v>
      </c>
      <c r="K108" s="131">
        <f t="shared" si="7"/>
        <v>0.75</v>
      </c>
      <c r="L108" s="42"/>
      <c r="M108" s="42"/>
      <c r="N108" s="39" t="s">
        <v>26</v>
      </c>
      <c r="O108" s="39" t="s">
        <v>601</v>
      </c>
      <c r="P108" t="s">
        <v>713</v>
      </c>
      <c r="Q108" s="99">
        <v>100</v>
      </c>
      <c r="R108" s="99">
        <v>100</v>
      </c>
      <c r="S108" s="99">
        <v>100</v>
      </c>
      <c r="T108" s="99">
        <v>88.325674880883895</v>
      </c>
      <c r="U108" s="99">
        <v>95.227827095427898</v>
      </c>
      <c r="V108" s="99">
        <v>100</v>
      </c>
      <c r="W108" s="99">
        <v>97.560765599950898</v>
      </c>
      <c r="X108" s="99">
        <v>100</v>
      </c>
      <c r="Y108" s="99">
        <v>100</v>
      </c>
      <c r="Z108" s="99">
        <v>100</v>
      </c>
      <c r="AA108" s="99">
        <v>100</v>
      </c>
      <c r="AB108" s="99">
        <v>100</v>
      </c>
      <c r="AC108" s="99">
        <v>87.8676385299961</v>
      </c>
      <c r="AD108" s="99">
        <v>100</v>
      </c>
      <c r="AE108" s="99">
        <v>82.948375869824901</v>
      </c>
      <c r="AF108" s="99">
        <v>97.343679150977096</v>
      </c>
      <c r="AG108" s="99">
        <v>99.972156808576599</v>
      </c>
      <c r="AH108" s="99">
        <v>99.071315968085202</v>
      </c>
      <c r="AI108" s="99">
        <v>100</v>
      </c>
      <c r="AJ108" s="99">
        <v>100</v>
      </c>
      <c r="AK108" s="99">
        <v>100</v>
      </c>
      <c r="AL108" s="99">
        <v>100</v>
      </c>
      <c r="AM108" s="99">
        <v>100</v>
      </c>
      <c r="AN108" s="99">
        <v>100</v>
      </c>
    </row>
    <row r="109" spans="1:40" s="30" customFormat="1" ht="15.6">
      <c r="A109"/>
      <c r="B109" s="29"/>
      <c r="C109" s="44" t="s">
        <v>876</v>
      </c>
      <c r="D109" s="39" t="s">
        <v>26</v>
      </c>
      <c r="E109" s="39" t="s">
        <v>588</v>
      </c>
      <c r="F109" t="s">
        <v>714</v>
      </c>
      <c r="G109" s="41">
        <f>VLOOKUP(F109,'(3) Demographie &amp; Departements'!$G$8:$J$526,4,0)</f>
        <v>35940.423013715066</v>
      </c>
      <c r="H109" s="96">
        <f t="shared" si="4"/>
        <v>16532.594586308933</v>
      </c>
      <c r="I109" s="130">
        <f t="shared" si="5"/>
        <v>0.95</v>
      </c>
      <c r="J109" s="42">
        <f t="shared" si="6"/>
        <v>0.85</v>
      </c>
      <c r="K109" s="131">
        <f t="shared" si="7"/>
        <v>0.75</v>
      </c>
      <c r="L109" s="42"/>
      <c r="M109" s="42"/>
      <c r="N109" s="39" t="s">
        <v>26</v>
      </c>
      <c r="O109" s="39" t="s">
        <v>588</v>
      </c>
      <c r="P109" t="s">
        <v>714</v>
      </c>
      <c r="Q109" s="99">
        <v>100</v>
      </c>
      <c r="R109" s="99">
        <v>100</v>
      </c>
      <c r="S109" s="99">
        <v>100</v>
      </c>
      <c r="T109" s="99">
        <v>92.979543771571599</v>
      </c>
      <c r="U109" s="99">
        <v>99.401009136758802</v>
      </c>
      <c r="V109" s="99">
        <v>100</v>
      </c>
      <c r="W109" s="99">
        <v>99.493527212929294</v>
      </c>
      <c r="X109" s="99">
        <v>100</v>
      </c>
      <c r="Y109" s="99">
        <v>100</v>
      </c>
      <c r="Z109" s="99">
        <v>100</v>
      </c>
      <c r="AA109" s="99">
        <v>100</v>
      </c>
      <c r="AB109" s="99">
        <v>100</v>
      </c>
      <c r="AC109" s="99">
        <v>97.636669597961898</v>
      </c>
      <c r="AD109" s="99">
        <v>100</v>
      </c>
      <c r="AE109" s="99">
        <v>94.202233961365806</v>
      </c>
      <c r="AF109" s="99">
        <v>99.171224037751202</v>
      </c>
      <c r="AG109" s="99">
        <v>100</v>
      </c>
      <c r="AH109" s="99">
        <v>99.516453123098202</v>
      </c>
      <c r="AI109" s="99">
        <v>100</v>
      </c>
      <c r="AJ109" s="99">
        <v>100</v>
      </c>
      <c r="AK109" s="99">
        <v>100</v>
      </c>
      <c r="AL109" s="99">
        <v>100</v>
      </c>
      <c r="AM109" s="99">
        <v>100</v>
      </c>
      <c r="AN109" s="99">
        <v>100</v>
      </c>
    </row>
    <row r="110" spans="1:40" s="30" customFormat="1" ht="15.6">
      <c r="A110"/>
      <c r="B110" s="29"/>
      <c r="C110" s="44" t="s">
        <v>876</v>
      </c>
      <c r="D110" s="39" t="s">
        <v>26</v>
      </c>
      <c r="E110" s="39" t="s">
        <v>576</v>
      </c>
      <c r="F110" t="s">
        <v>715</v>
      </c>
      <c r="G110" s="41">
        <f>VLOOKUP(F110,'(3) Demographie &amp; Departements'!$G$8:$J$526,4,0)</f>
        <v>27917.446840614648</v>
      </c>
      <c r="H110" s="96">
        <f t="shared" si="4"/>
        <v>12842.025546682738</v>
      </c>
      <c r="I110" s="130">
        <f t="shared" si="5"/>
        <v>0.95</v>
      </c>
      <c r="J110" s="42">
        <f t="shared" si="6"/>
        <v>0.85</v>
      </c>
      <c r="K110" s="131">
        <f t="shared" si="7"/>
        <v>0.75</v>
      </c>
      <c r="L110" s="42"/>
      <c r="M110" s="42"/>
      <c r="N110" s="39" t="s">
        <v>26</v>
      </c>
      <c r="O110" s="39" t="s">
        <v>576</v>
      </c>
      <c r="P110" t="s">
        <v>715</v>
      </c>
      <c r="Q110" s="99">
        <v>100</v>
      </c>
      <c r="R110" s="99">
        <v>100</v>
      </c>
      <c r="S110" s="99">
        <v>99.707600893278993</v>
      </c>
      <c r="T110" s="99">
        <v>84.639739201520399</v>
      </c>
      <c r="U110" s="99">
        <v>79.593193309245905</v>
      </c>
      <c r="V110" s="99">
        <v>100</v>
      </c>
      <c r="W110" s="99">
        <v>87.613128824742702</v>
      </c>
      <c r="X110" s="99">
        <v>100</v>
      </c>
      <c r="Y110" s="99">
        <v>99.931892536494104</v>
      </c>
      <c r="Z110" s="99">
        <v>100</v>
      </c>
      <c r="AA110" s="99">
        <v>100</v>
      </c>
      <c r="AB110" s="99">
        <v>99.519514817732897</v>
      </c>
      <c r="AC110" s="99">
        <v>81.459212445648305</v>
      </c>
      <c r="AD110" s="99">
        <v>99.2245452217946</v>
      </c>
      <c r="AE110" s="99">
        <v>66.358323178678404</v>
      </c>
      <c r="AF110" s="99">
        <v>86.215831264730895</v>
      </c>
      <c r="AG110" s="99">
        <v>99.988948062029607</v>
      </c>
      <c r="AH110" s="99">
        <v>94.188916518307494</v>
      </c>
      <c r="AI110" s="99">
        <v>99.327860775574507</v>
      </c>
      <c r="AJ110" s="99">
        <v>99.855949134512002</v>
      </c>
      <c r="AK110" s="99">
        <v>99.6229643430582</v>
      </c>
      <c r="AL110" s="99">
        <v>99.833956026246099</v>
      </c>
      <c r="AM110" s="99">
        <v>99.724869486694004</v>
      </c>
      <c r="AN110" s="99">
        <v>86.090993712777504</v>
      </c>
    </row>
    <row r="111" spans="1:40" s="30" customFormat="1" ht="15.6">
      <c r="A111"/>
      <c r="B111" s="29"/>
      <c r="C111" s="44" t="s">
        <v>876</v>
      </c>
      <c r="D111" s="39" t="s">
        <v>26</v>
      </c>
      <c r="E111" s="39" t="s">
        <v>601</v>
      </c>
      <c r="F111" t="s">
        <v>716</v>
      </c>
      <c r="G111" s="41">
        <f>VLOOKUP(F111,'(3) Demographie &amp; Departements'!$G$8:$J$526,4,0)</f>
        <v>16740.346514078687</v>
      </c>
      <c r="H111" s="96">
        <f t="shared" si="4"/>
        <v>7700.5593964761965</v>
      </c>
      <c r="I111" s="130">
        <f t="shared" si="5"/>
        <v>0.95</v>
      </c>
      <c r="J111" s="42">
        <f t="shared" si="6"/>
        <v>0.85</v>
      </c>
      <c r="K111" s="131">
        <f t="shared" si="7"/>
        <v>0.75</v>
      </c>
      <c r="L111" s="42"/>
      <c r="M111" s="42"/>
      <c r="N111" s="39" t="s">
        <v>26</v>
      </c>
      <c r="O111" s="39" t="s">
        <v>601</v>
      </c>
      <c r="P111" t="s">
        <v>716</v>
      </c>
      <c r="Q111" s="99">
        <v>100</v>
      </c>
      <c r="R111" s="99">
        <v>100</v>
      </c>
      <c r="S111" s="99">
        <v>100</v>
      </c>
      <c r="T111" s="99">
        <v>85.856439540574996</v>
      </c>
      <c r="U111" s="99">
        <v>86.971209072115897</v>
      </c>
      <c r="V111" s="99">
        <v>100</v>
      </c>
      <c r="W111" s="99">
        <v>88.913020659300102</v>
      </c>
      <c r="X111" s="99">
        <v>100</v>
      </c>
      <c r="Y111" s="99">
        <v>100</v>
      </c>
      <c r="Z111" s="99">
        <v>100</v>
      </c>
      <c r="AA111" s="99">
        <v>100</v>
      </c>
      <c r="AB111" s="99">
        <v>100</v>
      </c>
      <c r="AC111" s="99">
        <v>84.822561903268095</v>
      </c>
      <c r="AD111" s="99">
        <v>97.824271668508302</v>
      </c>
      <c r="AE111" s="99">
        <v>74.2684295015586</v>
      </c>
      <c r="AF111" s="99">
        <v>88.787318961885404</v>
      </c>
      <c r="AG111" s="99">
        <v>99.979563496403003</v>
      </c>
      <c r="AH111" s="99">
        <v>95.628071783555995</v>
      </c>
      <c r="AI111" s="99">
        <v>100</v>
      </c>
      <c r="AJ111" s="99">
        <v>100</v>
      </c>
      <c r="AK111" s="99">
        <v>99.564857778280697</v>
      </c>
      <c r="AL111" s="99">
        <v>100</v>
      </c>
      <c r="AM111" s="99">
        <v>100</v>
      </c>
      <c r="AN111" s="99">
        <v>98.046279389614298</v>
      </c>
    </row>
    <row r="112" spans="1:40" s="30" customFormat="1" ht="15.6">
      <c r="A112"/>
      <c r="B112" s="29"/>
      <c r="C112" s="44" t="s">
        <v>876</v>
      </c>
      <c r="D112" s="39" t="s">
        <v>26</v>
      </c>
      <c r="E112" s="39" t="s">
        <v>230</v>
      </c>
      <c r="F112" t="s">
        <v>717</v>
      </c>
      <c r="G112" s="41">
        <f>VLOOKUP(F112,'(3) Demographie &amp; Departements'!$G$8:$J$526,4,0)</f>
        <v>65251.287488748763</v>
      </c>
      <c r="H112" s="96">
        <f t="shared" si="4"/>
        <v>30015.592244824431</v>
      </c>
      <c r="I112" s="130">
        <f t="shared" si="5"/>
        <v>0.95</v>
      </c>
      <c r="J112" s="42">
        <f t="shared" si="6"/>
        <v>0.85</v>
      </c>
      <c r="K112" s="131">
        <f t="shared" si="7"/>
        <v>0.75</v>
      </c>
      <c r="L112" s="42"/>
      <c r="M112" s="42"/>
      <c r="N112" s="39" t="s">
        <v>26</v>
      </c>
      <c r="O112" s="39" t="s">
        <v>230</v>
      </c>
      <c r="P112" t="s">
        <v>717</v>
      </c>
      <c r="Q112" s="99">
        <v>100</v>
      </c>
      <c r="R112" s="99">
        <v>100</v>
      </c>
      <c r="S112" s="99">
        <v>100</v>
      </c>
      <c r="T112" s="99">
        <v>100</v>
      </c>
      <c r="U112" s="99">
        <v>100</v>
      </c>
      <c r="V112" s="99">
        <v>100</v>
      </c>
      <c r="W112" s="99">
        <v>95.490205389178499</v>
      </c>
      <c r="X112" s="99">
        <v>100</v>
      </c>
      <c r="Y112" s="99">
        <v>100</v>
      </c>
      <c r="Z112" s="99">
        <v>100</v>
      </c>
      <c r="AA112" s="99">
        <v>99.985357655211104</v>
      </c>
      <c r="AB112" s="99">
        <v>100</v>
      </c>
      <c r="AC112" s="99">
        <v>100</v>
      </c>
      <c r="AD112" s="99">
        <v>100</v>
      </c>
      <c r="AE112" s="99">
        <v>93.987634870617299</v>
      </c>
      <c r="AF112" s="99">
        <v>100</v>
      </c>
      <c r="AG112" s="99">
        <v>100</v>
      </c>
      <c r="AH112" s="99">
        <v>100</v>
      </c>
      <c r="AI112" s="99">
        <v>100</v>
      </c>
      <c r="AJ112" s="99">
        <v>100</v>
      </c>
      <c r="AK112" s="99">
        <v>100</v>
      </c>
      <c r="AL112" s="99">
        <v>100</v>
      </c>
      <c r="AM112" s="99">
        <v>100</v>
      </c>
      <c r="AN112" s="99">
        <v>99.050387027248902</v>
      </c>
    </row>
    <row r="113" spans="1:40" s="30" customFormat="1" ht="15.6">
      <c r="A113"/>
      <c r="B113" s="29"/>
      <c r="C113" s="44" t="s">
        <v>876</v>
      </c>
      <c r="D113" s="39" t="s">
        <v>26</v>
      </c>
      <c r="E113" s="39" t="s">
        <v>278</v>
      </c>
      <c r="F113" t="s">
        <v>718</v>
      </c>
      <c r="G113" s="41">
        <f>VLOOKUP(F113,'(3) Demographie &amp; Departements'!$G$8:$J$526,4,0)</f>
        <v>32554.438996791272</v>
      </c>
      <c r="H113" s="96">
        <f t="shared" si="4"/>
        <v>14975.041938523986</v>
      </c>
      <c r="I113" s="130">
        <f t="shared" si="5"/>
        <v>0.95</v>
      </c>
      <c r="J113" s="42">
        <f t="shared" si="6"/>
        <v>0.85</v>
      </c>
      <c r="K113" s="131">
        <f t="shared" si="7"/>
        <v>0.75</v>
      </c>
      <c r="L113" s="42"/>
      <c r="M113" s="42"/>
      <c r="N113" s="39" t="s">
        <v>26</v>
      </c>
      <c r="O113" s="39" t="s">
        <v>278</v>
      </c>
      <c r="P113" t="s">
        <v>718</v>
      </c>
      <c r="Q113" s="99">
        <v>100</v>
      </c>
      <c r="R113" s="99">
        <v>100</v>
      </c>
      <c r="S113" s="99">
        <v>100</v>
      </c>
      <c r="T113" s="99">
        <v>100</v>
      </c>
      <c r="U113" s="99">
        <v>100</v>
      </c>
      <c r="V113" s="99">
        <v>100</v>
      </c>
      <c r="W113" s="99">
        <v>99.771413940121505</v>
      </c>
      <c r="X113" s="99">
        <v>100</v>
      </c>
      <c r="Y113" s="99">
        <v>100</v>
      </c>
      <c r="Z113" s="99">
        <v>100</v>
      </c>
      <c r="AA113" s="99">
        <v>100</v>
      </c>
      <c r="AB113" s="99">
        <v>100</v>
      </c>
      <c r="AC113" s="99">
        <v>100</v>
      </c>
      <c r="AD113" s="99">
        <v>100</v>
      </c>
      <c r="AE113" s="99">
        <v>100</v>
      </c>
      <c r="AF113" s="99">
        <v>100</v>
      </c>
      <c r="AG113" s="99">
        <v>100</v>
      </c>
      <c r="AH113" s="99">
        <v>100</v>
      </c>
      <c r="AI113" s="99">
        <v>100</v>
      </c>
      <c r="AJ113" s="99">
        <v>100</v>
      </c>
      <c r="AK113" s="99">
        <v>100</v>
      </c>
      <c r="AL113" s="99">
        <v>100</v>
      </c>
      <c r="AM113" s="99">
        <v>100</v>
      </c>
      <c r="AN113" s="99">
        <v>99.124581844960801</v>
      </c>
    </row>
    <row r="114" spans="1:40" s="30" customFormat="1" ht="15.6">
      <c r="A114"/>
      <c r="B114" s="29"/>
      <c r="C114" s="44" t="s">
        <v>876</v>
      </c>
      <c r="D114" s="39" t="s">
        <v>26</v>
      </c>
      <c r="E114" s="39" t="s">
        <v>429</v>
      </c>
      <c r="F114" t="s">
        <v>719</v>
      </c>
      <c r="G114" s="41">
        <f>VLOOKUP(F114,'(3) Demographie &amp; Departements'!$G$8:$J$526,4,0)</f>
        <v>22238.632949590952</v>
      </c>
      <c r="H114" s="96">
        <f t="shared" si="4"/>
        <v>10229.771156811839</v>
      </c>
      <c r="I114" s="130">
        <f t="shared" si="5"/>
        <v>0.95</v>
      </c>
      <c r="J114" s="42">
        <f t="shared" si="6"/>
        <v>0.85</v>
      </c>
      <c r="K114" s="131">
        <f t="shared" si="7"/>
        <v>0.75</v>
      </c>
      <c r="L114" s="42"/>
      <c r="M114" s="42"/>
      <c r="N114" s="39" t="s">
        <v>26</v>
      </c>
      <c r="O114" s="39" t="s">
        <v>429</v>
      </c>
      <c r="P114" t="s">
        <v>719</v>
      </c>
      <c r="Q114" s="99">
        <v>99.832167966529795</v>
      </c>
      <c r="R114" s="99">
        <v>99.729130728500607</v>
      </c>
      <c r="S114" s="99">
        <v>99.502236558816705</v>
      </c>
      <c r="T114" s="99">
        <v>99.661071493427997</v>
      </c>
      <c r="U114" s="99">
        <v>99.2585776022961</v>
      </c>
      <c r="V114" s="99">
        <v>99.772150942587103</v>
      </c>
      <c r="W114" s="99">
        <v>98.274944456567994</v>
      </c>
      <c r="X114" s="99">
        <v>99.876333452128193</v>
      </c>
      <c r="Y114" s="99">
        <v>98.568805914261404</v>
      </c>
      <c r="Z114" s="99">
        <v>99.210268686998106</v>
      </c>
      <c r="AA114" s="99">
        <v>98.660661702452899</v>
      </c>
      <c r="AB114" s="99">
        <v>100</v>
      </c>
      <c r="AC114" s="99">
        <v>99.713009214261405</v>
      </c>
      <c r="AD114" s="99">
        <v>99.931670271692994</v>
      </c>
      <c r="AE114" s="99">
        <v>93.010684351830307</v>
      </c>
      <c r="AF114" s="99">
        <v>99.371818124895</v>
      </c>
      <c r="AG114" s="99">
        <v>99.703269102388305</v>
      </c>
      <c r="AH114" s="99">
        <v>98.817457774884204</v>
      </c>
      <c r="AI114" s="99">
        <v>98.629803937624004</v>
      </c>
      <c r="AJ114" s="99">
        <v>99.766957971879506</v>
      </c>
      <c r="AK114" s="99">
        <v>99.882264674801604</v>
      </c>
      <c r="AL114" s="99">
        <v>99.4813933785518</v>
      </c>
      <c r="AM114" s="99">
        <v>100</v>
      </c>
      <c r="AN114" s="99">
        <v>97.629612990027596</v>
      </c>
    </row>
    <row r="115" spans="1:40" s="30" customFormat="1" ht="15.6">
      <c r="A115"/>
      <c r="B115" s="29"/>
      <c r="C115" s="44" t="s">
        <v>876</v>
      </c>
      <c r="D115" s="39" t="s">
        <v>26</v>
      </c>
      <c r="E115" s="39" t="s">
        <v>221</v>
      </c>
      <c r="F115" t="s">
        <v>226</v>
      </c>
      <c r="G115" s="41">
        <f>VLOOKUP(F115,'(3) Demographie &amp; Departements'!$G$8:$J$526,4,0)</f>
        <v>12353.284230431929</v>
      </c>
      <c r="H115" s="96">
        <f t="shared" si="4"/>
        <v>5682.5107459986875</v>
      </c>
      <c r="I115" s="130">
        <f t="shared" si="5"/>
        <v>0.95</v>
      </c>
      <c r="J115" s="42">
        <f t="shared" si="6"/>
        <v>0.85</v>
      </c>
      <c r="K115" s="131">
        <f t="shared" si="7"/>
        <v>0.75</v>
      </c>
      <c r="L115" s="42"/>
      <c r="M115" s="42"/>
      <c r="N115" s="39" t="s">
        <v>26</v>
      </c>
      <c r="O115" s="39" t="s">
        <v>221</v>
      </c>
      <c r="P115" t="s">
        <v>226</v>
      </c>
      <c r="Q115" s="99">
        <v>100</v>
      </c>
      <c r="R115" s="99">
        <v>99.433240854546597</v>
      </c>
      <c r="S115" s="99">
        <v>99.788466705878903</v>
      </c>
      <c r="T115" s="99">
        <v>99.539416274245696</v>
      </c>
      <c r="U115" s="99">
        <v>94.409166922483806</v>
      </c>
      <c r="V115" s="99">
        <v>99.012878984319897</v>
      </c>
      <c r="W115" s="99">
        <v>85.272565258455003</v>
      </c>
      <c r="X115" s="99">
        <v>100</v>
      </c>
      <c r="Y115" s="99">
        <v>95.614787100248705</v>
      </c>
      <c r="Z115" s="99">
        <v>99.209883869905298</v>
      </c>
      <c r="AA115" s="99">
        <v>97.285959474165395</v>
      </c>
      <c r="AB115" s="99">
        <v>100</v>
      </c>
      <c r="AC115" s="99">
        <v>99.1783480905343</v>
      </c>
      <c r="AD115" s="99">
        <v>99.879451860697003</v>
      </c>
      <c r="AE115" s="99">
        <v>82.563754043197704</v>
      </c>
      <c r="AF115" s="99">
        <v>99.506944243769993</v>
      </c>
      <c r="AG115" s="99">
        <v>100</v>
      </c>
      <c r="AH115" s="99">
        <v>99.797034965094298</v>
      </c>
      <c r="AI115" s="99">
        <v>100</v>
      </c>
      <c r="AJ115" s="99">
        <v>100</v>
      </c>
      <c r="AK115" s="99">
        <v>99.455365328506602</v>
      </c>
      <c r="AL115" s="99">
        <v>99.743313414875303</v>
      </c>
      <c r="AM115" s="99">
        <v>100</v>
      </c>
      <c r="AN115" s="99">
        <v>88.510547131614103</v>
      </c>
    </row>
    <row r="116" spans="1:40" s="30" customFormat="1" ht="15.6">
      <c r="A116"/>
      <c r="B116" s="29"/>
      <c r="C116" s="44" t="s">
        <v>876</v>
      </c>
      <c r="D116" s="39" t="s">
        <v>26</v>
      </c>
      <c r="E116" s="39" t="s">
        <v>588</v>
      </c>
      <c r="F116" t="s">
        <v>720</v>
      </c>
      <c r="G116" s="41">
        <f>VLOOKUP(F116,'(3) Demographie &amp; Departements'!$G$8:$J$526,4,0)</f>
        <v>25409.390667077758</v>
      </c>
      <c r="H116" s="96">
        <f t="shared" si="4"/>
        <v>11688.319706855769</v>
      </c>
      <c r="I116" s="130">
        <f t="shared" si="5"/>
        <v>0.95</v>
      </c>
      <c r="J116" s="42">
        <f t="shared" si="6"/>
        <v>0.85</v>
      </c>
      <c r="K116" s="131">
        <f t="shared" si="7"/>
        <v>0.75</v>
      </c>
      <c r="L116" s="42"/>
      <c r="M116" s="42"/>
      <c r="N116" s="39" t="s">
        <v>26</v>
      </c>
      <c r="O116" s="39" t="s">
        <v>588</v>
      </c>
      <c r="P116" t="s">
        <v>720</v>
      </c>
      <c r="Q116" s="99">
        <v>100</v>
      </c>
      <c r="R116" s="99">
        <v>100</v>
      </c>
      <c r="S116" s="99">
        <v>100</v>
      </c>
      <c r="T116" s="99">
        <v>93.178858440570494</v>
      </c>
      <c r="U116" s="99">
        <v>100</v>
      </c>
      <c r="V116" s="99">
        <v>100</v>
      </c>
      <c r="W116" s="99">
        <v>100</v>
      </c>
      <c r="X116" s="99">
        <v>100</v>
      </c>
      <c r="Y116" s="99">
        <v>100</v>
      </c>
      <c r="Z116" s="99">
        <v>100</v>
      </c>
      <c r="AA116" s="99">
        <v>100</v>
      </c>
      <c r="AB116" s="99">
        <v>100</v>
      </c>
      <c r="AC116" s="99">
        <v>98.959542455470299</v>
      </c>
      <c r="AD116" s="99">
        <v>100</v>
      </c>
      <c r="AE116" s="99">
        <v>99.981945901991395</v>
      </c>
      <c r="AF116" s="99">
        <v>99.662194514192905</v>
      </c>
      <c r="AG116" s="99">
        <v>100</v>
      </c>
      <c r="AH116" s="99">
        <v>100</v>
      </c>
      <c r="AI116" s="99">
        <v>100</v>
      </c>
      <c r="AJ116" s="99">
        <v>100</v>
      </c>
      <c r="AK116" s="99">
        <v>100</v>
      </c>
      <c r="AL116" s="99">
        <v>100</v>
      </c>
      <c r="AM116" s="99">
        <v>100</v>
      </c>
      <c r="AN116" s="99">
        <v>100</v>
      </c>
    </row>
    <row r="117" spans="1:40" s="30" customFormat="1" ht="15.6">
      <c r="A117"/>
      <c r="B117" s="29"/>
      <c r="C117" s="44" t="s">
        <v>876</v>
      </c>
      <c r="D117" s="39" t="s">
        <v>26</v>
      </c>
      <c r="E117" s="39" t="s">
        <v>527</v>
      </c>
      <c r="F117" t="s">
        <v>721</v>
      </c>
      <c r="G117" s="41">
        <f>VLOOKUP(F117,'(3) Demographie &amp; Departements'!$G$8:$J$526,4,0)</f>
        <v>15035.158234613638</v>
      </c>
      <c r="H117" s="96">
        <f t="shared" si="4"/>
        <v>6916.1727879222735</v>
      </c>
      <c r="I117" s="130">
        <f t="shared" si="5"/>
        <v>0.95</v>
      </c>
      <c r="J117" s="42">
        <f t="shared" si="6"/>
        <v>0.85</v>
      </c>
      <c r="K117" s="131">
        <f t="shared" si="7"/>
        <v>0.75</v>
      </c>
      <c r="L117" s="42"/>
      <c r="M117" s="42"/>
      <c r="N117" s="39" t="s">
        <v>26</v>
      </c>
      <c r="O117" s="39" t="s">
        <v>527</v>
      </c>
      <c r="P117" t="s">
        <v>721</v>
      </c>
      <c r="Q117" s="99">
        <v>100</v>
      </c>
      <c r="R117" s="99">
        <v>100</v>
      </c>
      <c r="S117" s="99">
        <v>99.301747072143002</v>
      </c>
      <c r="T117" s="99">
        <v>99.4785359056456</v>
      </c>
      <c r="U117" s="99">
        <v>100</v>
      </c>
      <c r="V117" s="99">
        <v>100</v>
      </c>
      <c r="W117" s="99">
        <v>85.958915582912795</v>
      </c>
      <c r="X117" s="99">
        <v>100</v>
      </c>
      <c r="Y117" s="99">
        <v>100</v>
      </c>
      <c r="Z117" s="99">
        <v>100</v>
      </c>
      <c r="AA117" s="99">
        <v>99.589115714335605</v>
      </c>
      <c r="AB117" s="99">
        <v>100</v>
      </c>
      <c r="AC117" s="99">
        <v>95.674185568468999</v>
      </c>
      <c r="AD117" s="99">
        <v>94.052734653416906</v>
      </c>
      <c r="AE117" s="99">
        <v>78.874017212497094</v>
      </c>
      <c r="AF117" s="99">
        <v>92.786059868923999</v>
      </c>
      <c r="AG117" s="99">
        <v>99.717466494689901</v>
      </c>
      <c r="AH117" s="99">
        <v>98.345256249417105</v>
      </c>
      <c r="AI117" s="99">
        <v>94.729142348767894</v>
      </c>
      <c r="AJ117" s="99">
        <v>95.987158082895206</v>
      </c>
      <c r="AK117" s="99">
        <v>99.330196479390693</v>
      </c>
      <c r="AL117" s="99">
        <v>99.979971310266393</v>
      </c>
      <c r="AM117" s="99">
        <v>100</v>
      </c>
      <c r="AN117" s="99">
        <v>79.328908818340096</v>
      </c>
    </row>
    <row r="118" spans="1:40" s="30" customFormat="1" ht="15.6">
      <c r="A118"/>
      <c r="B118" s="29"/>
      <c r="C118" s="44" t="s">
        <v>876</v>
      </c>
      <c r="D118" s="39" t="s">
        <v>26</v>
      </c>
      <c r="E118" s="39" t="s">
        <v>235</v>
      </c>
      <c r="F118" t="s">
        <v>722</v>
      </c>
      <c r="G118" s="41">
        <f>VLOOKUP(F118,'(3) Demographie &amp; Departements'!$G$8:$J$526,4,0)</f>
        <v>88580.06303401386</v>
      </c>
      <c r="H118" s="96">
        <f t="shared" si="4"/>
        <v>40746.828995646378</v>
      </c>
      <c r="I118" s="130">
        <f t="shared" si="5"/>
        <v>0.95</v>
      </c>
      <c r="J118" s="42">
        <f t="shared" si="6"/>
        <v>0.85</v>
      </c>
      <c r="K118" s="131">
        <f t="shared" si="7"/>
        <v>0.75</v>
      </c>
      <c r="L118" s="42"/>
      <c r="M118" s="42"/>
      <c r="N118" s="39" t="s">
        <v>26</v>
      </c>
      <c r="O118" s="39" t="s">
        <v>235</v>
      </c>
      <c r="P118" t="s">
        <v>722</v>
      </c>
      <c r="Q118" s="99">
        <v>100</v>
      </c>
      <c r="R118" s="99">
        <v>100</v>
      </c>
      <c r="S118" s="99">
        <v>100</v>
      </c>
      <c r="T118" s="99">
        <v>100</v>
      </c>
      <c r="U118" s="99">
        <v>100</v>
      </c>
      <c r="V118" s="99">
        <v>100</v>
      </c>
      <c r="W118" s="99">
        <v>100</v>
      </c>
      <c r="X118" s="99">
        <v>100</v>
      </c>
      <c r="Y118" s="99">
        <v>100</v>
      </c>
      <c r="Z118" s="99">
        <v>100</v>
      </c>
      <c r="AA118" s="99">
        <v>100</v>
      </c>
      <c r="AB118" s="99">
        <v>100</v>
      </c>
      <c r="AC118" s="99">
        <v>100</v>
      </c>
      <c r="AD118" s="99">
        <v>100</v>
      </c>
      <c r="AE118" s="99">
        <v>99.381081824378697</v>
      </c>
      <c r="AF118" s="99">
        <v>100</v>
      </c>
      <c r="AG118" s="99">
        <v>100</v>
      </c>
      <c r="AH118" s="99">
        <v>100</v>
      </c>
      <c r="AI118" s="99">
        <v>100</v>
      </c>
      <c r="AJ118" s="99">
        <v>100</v>
      </c>
      <c r="AK118" s="99">
        <v>100</v>
      </c>
      <c r="AL118" s="99">
        <v>100</v>
      </c>
      <c r="AM118" s="99">
        <v>100</v>
      </c>
      <c r="AN118" s="99">
        <v>100</v>
      </c>
    </row>
    <row r="119" spans="1:40" s="30" customFormat="1" ht="15.6">
      <c r="A119"/>
      <c r="B119" s="29"/>
      <c r="C119" s="44" t="s">
        <v>876</v>
      </c>
      <c r="D119" s="39" t="s">
        <v>26</v>
      </c>
      <c r="E119" s="39" t="s">
        <v>513</v>
      </c>
      <c r="F119" t="s">
        <v>723</v>
      </c>
      <c r="G119" s="41">
        <f>VLOOKUP(F119,'(3) Demographie &amp; Departements'!$G$8:$J$526,4,0)</f>
        <v>4040.7821654120794</v>
      </c>
      <c r="H119" s="96">
        <f t="shared" si="4"/>
        <v>1858.7597960895566</v>
      </c>
      <c r="I119" s="130">
        <f t="shared" si="5"/>
        <v>0.95</v>
      </c>
      <c r="J119" s="42">
        <f t="shared" si="6"/>
        <v>0.85</v>
      </c>
      <c r="K119" s="131">
        <f t="shared" si="7"/>
        <v>0.75</v>
      </c>
      <c r="L119" s="42"/>
      <c r="M119" s="42"/>
      <c r="N119" s="39" t="s">
        <v>26</v>
      </c>
      <c r="O119" s="39" t="s">
        <v>513</v>
      </c>
      <c r="P119" t="s">
        <v>723</v>
      </c>
      <c r="Q119" s="99">
        <v>100</v>
      </c>
      <c r="R119" s="99">
        <v>100</v>
      </c>
      <c r="S119" s="99">
        <v>100</v>
      </c>
      <c r="T119" s="99">
        <v>100</v>
      </c>
      <c r="U119" s="99">
        <v>100</v>
      </c>
      <c r="V119" s="99">
        <v>100</v>
      </c>
      <c r="W119" s="99">
        <v>94.819580991095506</v>
      </c>
      <c r="X119" s="99">
        <v>100</v>
      </c>
      <c r="Y119" s="99">
        <v>100</v>
      </c>
      <c r="Z119" s="99">
        <v>100</v>
      </c>
      <c r="AA119" s="99">
        <v>100</v>
      </c>
      <c r="AB119" s="99">
        <v>100</v>
      </c>
      <c r="AC119" s="99">
        <v>100</v>
      </c>
      <c r="AD119" s="99">
        <v>100</v>
      </c>
      <c r="AE119" s="99">
        <v>99.042112804779606</v>
      </c>
      <c r="AF119" s="99">
        <v>100</v>
      </c>
      <c r="AG119" s="99">
        <v>100</v>
      </c>
      <c r="AH119" s="99">
        <v>97.853078311866497</v>
      </c>
      <c r="AI119" s="99">
        <v>100</v>
      </c>
      <c r="AJ119" s="99">
        <v>100</v>
      </c>
      <c r="AK119" s="99">
        <v>100</v>
      </c>
      <c r="AL119" s="99">
        <v>100</v>
      </c>
      <c r="AM119" s="99">
        <v>100</v>
      </c>
      <c r="AN119" s="99">
        <v>100</v>
      </c>
    </row>
    <row r="120" spans="1:40" s="30" customFormat="1" ht="15.6">
      <c r="A120"/>
      <c r="B120" s="29"/>
      <c r="C120" s="44" t="s">
        <v>876</v>
      </c>
      <c r="D120" s="39" t="s">
        <v>26</v>
      </c>
      <c r="E120" s="39" t="s">
        <v>598</v>
      </c>
      <c r="F120" t="s">
        <v>724</v>
      </c>
      <c r="G120" s="41">
        <f>VLOOKUP(F120,'(3) Demographie &amp; Departements'!$G$8:$J$526,4,0)</f>
        <v>46026.295218696272</v>
      </c>
      <c r="H120" s="96">
        <f t="shared" si="4"/>
        <v>21172.095800600287</v>
      </c>
      <c r="I120" s="130">
        <f t="shared" si="5"/>
        <v>0.95</v>
      </c>
      <c r="J120" s="42">
        <f t="shared" si="6"/>
        <v>0.85</v>
      </c>
      <c r="K120" s="131">
        <f t="shared" si="7"/>
        <v>0.75</v>
      </c>
      <c r="L120" s="42"/>
      <c r="M120" s="42"/>
      <c r="N120" s="39" t="s">
        <v>26</v>
      </c>
      <c r="O120" s="39" t="s">
        <v>598</v>
      </c>
      <c r="P120" t="s">
        <v>724</v>
      </c>
      <c r="Q120" s="99">
        <v>100</v>
      </c>
      <c r="R120" s="99">
        <v>100</v>
      </c>
      <c r="S120" s="99">
        <v>100</v>
      </c>
      <c r="T120" s="99">
        <v>88.717117495014705</v>
      </c>
      <c r="U120" s="99">
        <v>99.954190120241705</v>
      </c>
      <c r="V120" s="99">
        <v>100</v>
      </c>
      <c r="W120" s="99">
        <v>99.625492542303704</v>
      </c>
      <c r="X120" s="99">
        <v>100</v>
      </c>
      <c r="Y120" s="99">
        <v>100</v>
      </c>
      <c r="Z120" s="99">
        <v>100</v>
      </c>
      <c r="AA120" s="99">
        <v>100</v>
      </c>
      <c r="AB120" s="99">
        <v>100</v>
      </c>
      <c r="AC120" s="99">
        <v>89.668436214188006</v>
      </c>
      <c r="AD120" s="99">
        <v>100</v>
      </c>
      <c r="AE120" s="99">
        <v>88.593767855340104</v>
      </c>
      <c r="AF120" s="99">
        <v>99.577200900849206</v>
      </c>
      <c r="AG120" s="99">
        <v>99.637075037615702</v>
      </c>
      <c r="AH120" s="99">
        <v>99.828074997906299</v>
      </c>
      <c r="AI120" s="99">
        <v>100</v>
      </c>
      <c r="AJ120" s="99">
        <v>100</v>
      </c>
      <c r="AK120" s="99">
        <v>100</v>
      </c>
      <c r="AL120" s="99">
        <v>100</v>
      </c>
      <c r="AM120" s="99">
        <v>100</v>
      </c>
      <c r="AN120" s="99">
        <v>100</v>
      </c>
    </row>
    <row r="121" spans="1:40" s="30" customFormat="1" ht="15.6">
      <c r="A121"/>
      <c r="B121" s="29"/>
      <c r="C121" s="44" t="s">
        <v>876</v>
      </c>
      <c r="D121" s="39" t="s">
        <v>26</v>
      </c>
      <c r="E121" s="39" t="s">
        <v>441</v>
      </c>
      <c r="F121" t="s">
        <v>725</v>
      </c>
      <c r="G121" s="41">
        <f>VLOOKUP(F121,'(3) Demographie &amp; Departements'!$G$8:$J$526,4,0)</f>
        <v>25212.615883183738</v>
      </c>
      <c r="H121" s="96">
        <f t="shared" si="4"/>
        <v>11597.803306264521</v>
      </c>
      <c r="I121" s="130">
        <f t="shared" si="5"/>
        <v>0.95</v>
      </c>
      <c r="J121" s="42">
        <f t="shared" si="6"/>
        <v>0.85</v>
      </c>
      <c r="K121" s="131">
        <f t="shared" si="7"/>
        <v>0.75</v>
      </c>
      <c r="L121" s="42"/>
      <c r="M121" s="42"/>
      <c r="N121" s="39" t="s">
        <v>26</v>
      </c>
      <c r="O121" s="39" t="s">
        <v>441</v>
      </c>
      <c r="P121" t="s">
        <v>725</v>
      </c>
      <c r="Q121" s="99">
        <v>100</v>
      </c>
      <c r="R121" s="99">
        <v>100</v>
      </c>
      <c r="S121" s="99">
        <v>100</v>
      </c>
      <c r="T121" s="99">
        <v>98.517573919567397</v>
      </c>
      <c r="U121" s="99">
        <v>100</v>
      </c>
      <c r="V121" s="99">
        <v>100</v>
      </c>
      <c r="W121" s="99">
        <v>92.601711749471704</v>
      </c>
      <c r="X121" s="99">
        <v>98.438469882486302</v>
      </c>
      <c r="Y121" s="99">
        <v>100</v>
      </c>
      <c r="Z121" s="99">
        <v>100</v>
      </c>
      <c r="AA121" s="99">
        <v>99.600921782447202</v>
      </c>
      <c r="AB121" s="99">
        <v>100</v>
      </c>
      <c r="AC121" s="99">
        <v>100</v>
      </c>
      <c r="AD121" s="99">
        <v>100</v>
      </c>
      <c r="AE121" s="99">
        <v>92.661003265736596</v>
      </c>
      <c r="AF121" s="99">
        <v>91.553744994715899</v>
      </c>
      <c r="AG121" s="99">
        <v>100</v>
      </c>
      <c r="AH121" s="99">
        <v>100</v>
      </c>
      <c r="AI121" s="99">
        <v>90.575143169368104</v>
      </c>
      <c r="AJ121" s="99">
        <v>100</v>
      </c>
      <c r="AK121" s="99">
        <v>100</v>
      </c>
      <c r="AL121" s="99">
        <v>100</v>
      </c>
      <c r="AM121" s="99">
        <v>100</v>
      </c>
      <c r="AN121" s="99">
        <v>96.960475316656499</v>
      </c>
    </row>
    <row r="122" spans="1:40" s="30" customFormat="1" ht="15.6">
      <c r="A122"/>
      <c r="B122" s="29"/>
      <c r="C122" s="44" t="s">
        <v>876</v>
      </c>
      <c r="D122" s="39" t="s">
        <v>26</v>
      </c>
      <c r="E122" s="39" t="s">
        <v>576</v>
      </c>
      <c r="F122" t="s">
        <v>726</v>
      </c>
      <c r="G122" s="41">
        <f>VLOOKUP(F122,'(3) Demographie &amp; Departements'!$G$8:$J$526,4,0)</f>
        <v>8828.8774717094111</v>
      </c>
      <c r="H122" s="96">
        <f t="shared" si="4"/>
        <v>4061.2836369863294</v>
      </c>
      <c r="I122" s="130">
        <f t="shared" si="5"/>
        <v>0.95</v>
      </c>
      <c r="J122" s="42">
        <f t="shared" si="6"/>
        <v>0.85</v>
      </c>
      <c r="K122" s="131">
        <f t="shared" si="7"/>
        <v>0.75</v>
      </c>
      <c r="L122" s="42"/>
      <c r="M122" s="42"/>
      <c r="N122" s="39" t="s">
        <v>26</v>
      </c>
      <c r="O122" s="39" t="s">
        <v>576</v>
      </c>
      <c r="P122" t="s">
        <v>726</v>
      </c>
      <c r="Q122" s="99">
        <v>100</v>
      </c>
      <c r="R122" s="99">
        <v>100</v>
      </c>
      <c r="S122" s="99">
        <v>100</v>
      </c>
      <c r="T122" s="99">
        <v>95.312869533176197</v>
      </c>
      <c r="U122" s="99">
        <v>97.252748125962498</v>
      </c>
      <c r="V122" s="99">
        <v>100</v>
      </c>
      <c r="W122" s="99">
        <v>97.358798069915395</v>
      </c>
      <c r="X122" s="99">
        <v>100</v>
      </c>
      <c r="Y122" s="99">
        <v>100</v>
      </c>
      <c r="Z122" s="99">
        <v>100</v>
      </c>
      <c r="AA122" s="99">
        <v>100</v>
      </c>
      <c r="AB122" s="99">
        <v>100</v>
      </c>
      <c r="AC122" s="99">
        <v>83.556227289783706</v>
      </c>
      <c r="AD122" s="99">
        <v>100</v>
      </c>
      <c r="AE122" s="99">
        <v>71.883870375030497</v>
      </c>
      <c r="AF122" s="99">
        <v>98.848888065270202</v>
      </c>
      <c r="AG122" s="99">
        <v>100</v>
      </c>
      <c r="AH122" s="99">
        <v>97.005348797848796</v>
      </c>
      <c r="AI122" s="99">
        <v>100</v>
      </c>
      <c r="AJ122" s="99">
        <v>100</v>
      </c>
      <c r="AK122" s="99">
        <v>100</v>
      </c>
      <c r="AL122" s="99">
        <v>100</v>
      </c>
      <c r="AM122" s="99">
        <v>100</v>
      </c>
      <c r="AN122" s="99">
        <v>98.997149351812695</v>
      </c>
    </row>
    <row r="123" spans="1:40" s="30" customFormat="1" ht="15.6">
      <c r="A123"/>
      <c r="B123" s="29"/>
      <c r="C123" s="44" t="s">
        <v>876</v>
      </c>
      <c r="D123" s="39" t="s">
        <v>26</v>
      </c>
      <c r="E123" s="39" t="s">
        <v>230</v>
      </c>
      <c r="F123" t="s">
        <v>727</v>
      </c>
      <c r="G123" s="41">
        <f>VLOOKUP(F123,'(3) Demographie &amp; Departements'!$G$8:$J$526,4,0)</f>
        <v>13020.447089944581</v>
      </c>
      <c r="H123" s="96">
        <f t="shared" si="4"/>
        <v>5989.405661374507</v>
      </c>
      <c r="I123" s="130">
        <f t="shared" si="5"/>
        <v>0.95</v>
      </c>
      <c r="J123" s="42">
        <f t="shared" si="6"/>
        <v>0.85</v>
      </c>
      <c r="K123" s="131">
        <f t="shared" si="7"/>
        <v>0.75</v>
      </c>
      <c r="L123" s="42"/>
      <c r="M123" s="42"/>
      <c r="N123" s="39" t="s">
        <v>26</v>
      </c>
      <c r="O123" s="39" t="s">
        <v>230</v>
      </c>
      <c r="P123" t="s">
        <v>727</v>
      </c>
      <c r="Q123" s="99">
        <v>100</v>
      </c>
      <c r="R123" s="99">
        <v>100</v>
      </c>
      <c r="S123" s="99">
        <v>100</v>
      </c>
      <c r="T123" s="99">
        <v>100</v>
      </c>
      <c r="U123" s="99">
        <v>100</v>
      </c>
      <c r="V123" s="99">
        <v>100</v>
      </c>
      <c r="W123" s="99">
        <v>100</v>
      </c>
      <c r="X123" s="99">
        <v>100</v>
      </c>
      <c r="Y123" s="99">
        <v>100</v>
      </c>
      <c r="Z123" s="99">
        <v>100</v>
      </c>
      <c r="AA123" s="99">
        <v>100</v>
      </c>
      <c r="AB123" s="99">
        <v>100</v>
      </c>
      <c r="AC123" s="99">
        <v>100</v>
      </c>
      <c r="AD123" s="99">
        <v>100</v>
      </c>
      <c r="AE123" s="99">
        <v>99.391317237908893</v>
      </c>
      <c r="AF123" s="99">
        <v>100</v>
      </c>
      <c r="AG123" s="99">
        <v>100</v>
      </c>
      <c r="AH123" s="99">
        <v>100</v>
      </c>
      <c r="AI123" s="99">
        <v>100</v>
      </c>
      <c r="AJ123" s="99">
        <v>100</v>
      </c>
      <c r="AK123" s="99">
        <v>100</v>
      </c>
      <c r="AL123" s="99">
        <v>100</v>
      </c>
      <c r="AM123" s="99">
        <v>100</v>
      </c>
      <c r="AN123" s="99">
        <v>100</v>
      </c>
    </row>
    <row r="124" spans="1:40" s="30" customFormat="1" ht="15.6">
      <c r="A124"/>
      <c r="B124" s="29"/>
      <c r="C124" s="44" t="s">
        <v>876</v>
      </c>
      <c r="D124" s="39" t="s">
        <v>26</v>
      </c>
      <c r="E124" s="39" t="s">
        <v>99</v>
      </c>
      <c r="F124" t="s">
        <v>728</v>
      </c>
      <c r="G124" s="41">
        <f>VLOOKUP(F124,'(3) Demographie &amp; Departements'!$G$8:$J$526,4,0)</f>
        <v>340233.75314334303</v>
      </c>
      <c r="H124" s="96">
        <f t="shared" si="4"/>
        <v>156507.52644593781</v>
      </c>
      <c r="I124" s="130">
        <f t="shared" si="5"/>
        <v>0.95</v>
      </c>
      <c r="J124" s="42">
        <f t="shared" si="6"/>
        <v>0.85</v>
      </c>
      <c r="K124" s="131">
        <f t="shared" si="7"/>
        <v>0.75</v>
      </c>
      <c r="L124" s="42"/>
      <c r="M124" s="42"/>
      <c r="N124" s="39" t="s">
        <v>26</v>
      </c>
      <c r="O124" s="39" t="s">
        <v>99</v>
      </c>
      <c r="P124" t="s">
        <v>728</v>
      </c>
      <c r="Q124" s="99">
        <v>100</v>
      </c>
      <c r="R124" s="99">
        <v>100</v>
      </c>
      <c r="S124" s="99">
        <v>100</v>
      </c>
      <c r="T124" s="99">
        <v>100</v>
      </c>
      <c r="U124" s="99">
        <v>100</v>
      </c>
      <c r="V124" s="99">
        <v>100</v>
      </c>
      <c r="W124" s="99">
        <v>99.689387465633004</v>
      </c>
      <c r="X124" s="99">
        <v>100</v>
      </c>
      <c r="Y124" s="99">
        <v>100</v>
      </c>
      <c r="Z124" s="99">
        <v>100</v>
      </c>
      <c r="AA124" s="99">
        <v>100</v>
      </c>
      <c r="AB124" s="99">
        <v>100</v>
      </c>
      <c r="AC124" s="99">
        <v>100</v>
      </c>
      <c r="AD124" s="99">
        <v>100</v>
      </c>
      <c r="AE124" s="99">
        <v>99.928441104567895</v>
      </c>
      <c r="AF124" s="99">
        <v>100</v>
      </c>
      <c r="AG124" s="99">
        <v>100</v>
      </c>
      <c r="AH124" s="99">
        <v>100</v>
      </c>
      <c r="AI124" s="99">
        <v>100</v>
      </c>
      <c r="AJ124" s="99">
        <v>100</v>
      </c>
      <c r="AK124" s="99">
        <v>100</v>
      </c>
      <c r="AL124" s="99">
        <v>100</v>
      </c>
      <c r="AM124" s="99">
        <v>100</v>
      </c>
      <c r="AN124" s="99">
        <v>100</v>
      </c>
    </row>
    <row r="125" spans="1:40" s="30" customFormat="1" ht="15.6">
      <c r="A125"/>
      <c r="B125" s="29"/>
      <c r="C125" s="44" t="s">
        <v>876</v>
      </c>
      <c r="D125" s="39" t="s">
        <v>26</v>
      </c>
      <c r="E125" s="39" t="s">
        <v>594</v>
      </c>
      <c r="F125" t="s">
        <v>729</v>
      </c>
      <c r="G125" s="41">
        <f>VLOOKUP(F125,'(3) Demographie &amp; Departements'!$G$8:$J$526,4,0)</f>
        <v>22369.356980152003</v>
      </c>
      <c r="H125" s="96">
        <f t="shared" si="4"/>
        <v>10289.904210869921</v>
      </c>
      <c r="I125" s="130">
        <f t="shared" si="5"/>
        <v>0.95</v>
      </c>
      <c r="J125" s="42">
        <f t="shared" si="6"/>
        <v>0.85</v>
      </c>
      <c r="K125" s="131">
        <f t="shared" si="7"/>
        <v>0.75</v>
      </c>
      <c r="L125" s="42"/>
      <c r="M125" s="42"/>
      <c r="N125" s="39" t="s">
        <v>26</v>
      </c>
      <c r="O125" s="39" t="s">
        <v>594</v>
      </c>
      <c r="P125" t="s">
        <v>729</v>
      </c>
      <c r="Q125" s="99">
        <v>98.198193466449197</v>
      </c>
      <c r="R125" s="99">
        <v>98.664076836226698</v>
      </c>
      <c r="S125" s="99">
        <v>95.241270910764399</v>
      </c>
      <c r="T125" s="99">
        <v>79.367462081577401</v>
      </c>
      <c r="U125" s="99">
        <v>72.029382596114999</v>
      </c>
      <c r="V125" s="99">
        <v>99.986231603709598</v>
      </c>
      <c r="W125" s="99">
        <v>80.758072400020595</v>
      </c>
      <c r="X125" s="99">
        <v>99.967226551561694</v>
      </c>
      <c r="Y125" s="99">
        <v>94.923913351515395</v>
      </c>
      <c r="Z125" s="99">
        <v>99.769607698210294</v>
      </c>
      <c r="AA125" s="99">
        <v>99.528939485831899</v>
      </c>
      <c r="AB125" s="99">
        <v>91.278951447480793</v>
      </c>
      <c r="AC125" s="99">
        <v>86.557911836800201</v>
      </c>
      <c r="AD125" s="99">
        <v>94.934168891817805</v>
      </c>
      <c r="AE125" s="99">
        <v>63.297249938124303</v>
      </c>
      <c r="AF125" s="99">
        <v>77.178376828357599</v>
      </c>
      <c r="AG125" s="99">
        <v>99.718076898345501</v>
      </c>
      <c r="AH125" s="99">
        <v>90.293792687295095</v>
      </c>
      <c r="AI125" s="99">
        <v>88.067932415851303</v>
      </c>
      <c r="AJ125" s="99">
        <v>98.828481390748806</v>
      </c>
      <c r="AK125" s="99">
        <v>97.548000173220302</v>
      </c>
      <c r="AL125" s="99">
        <v>96.406063072097794</v>
      </c>
      <c r="AM125" s="99">
        <v>99.434332719907502</v>
      </c>
      <c r="AN125" s="99">
        <v>81.447819296962805</v>
      </c>
    </row>
    <row r="126" spans="1:40" s="30" customFormat="1" ht="15.6">
      <c r="A126"/>
      <c r="B126" s="29"/>
      <c r="C126" s="44" t="s">
        <v>876</v>
      </c>
      <c r="D126" s="39" t="s">
        <v>26</v>
      </c>
      <c r="E126" s="39" t="s">
        <v>427</v>
      </c>
      <c r="F126" t="s">
        <v>730</v>
      </c>
      <c r="G126" s="41">
        <f>VLOOKUP(F126,'(3) Demographie &amp; Departements'!$G$8:$J$526,4,0)</f>
        <v>50525.330775262497</v>
      </c>
      <c r="H126" s="96">
        <f t="shared" si="4"/>
        <v>23241.652156620748</v>
      </c>
      <c r="I126" s="130">
        <f t="shared" si="5"/>
        <v>0.95</v>
      </c>
      <c r="J126" s="42">
        <f t="shared" si="6"/>
        <v>0.85</v>
      </c>
      <c r="K126" s="131">
        <f t="shared" si="7"/>
        <v>0.75</v>
      </c>
      <c r="L126" s="42"/>
      <c r="M126" s="42"/>
      <c r="N126" s="39" t="s">
        <v>26</v>
      </c>
      <c r="O126" s="39" t="s">
        <v>427</v>
      </c>
      <c r="P126" t="s">
        <v>730</v>
      </c>
      <c r="Q126" s="99">
        <v>100</v>
      </c>
      <c r="R126" s="99">
        <v>100</v>
      </c>
      <c r="S126" s="99">
        <v>100</v>
      </c>
      <c r="T126" s="99">
        <v>100</v>
      </c>
      <c r="U126" s="99">
        <v>100</v>
      </c>
      <c r="V126" s="99">
        <v>100</v>
      </c>
      <c r="W126" s="99">
        <v>100</v>
      </c>
      <c r="X126" s="99">
        <v>100</v>
      </c>
      <c r="Y126" s="99">
        <v>100</v>
      </c>
      <c r="Z126" s="99">
        <v>100</v>
      </c>
      <c r="AA126" s="99">
        <v>100</v>
      </c>
      <c r="AB126" s="99">
        <v>100</v>
      </c>
      <c r="AC126" s="99">
        <v>100</v>
      </c>
      <c r="AD126" s="99">
        <v>100</v>
      </c>
      <c r="AE126" s="99">
        <v>100</v>
      </c>
      <c r="AF126" s="99">
        <v>100</v>
      </c>
      <c r="AG126" s="99">
        <v>100</v>
      </c>
      <c r="AH126" s="99">
        <v>100</v>
      </c>
      <c r="AI126" s="99">
        <v>100</v>
      </c>
      <c r="AJ126" s="99">
        <v>100</v>
      </c>
      <c r="AK126" s="99">
        <v>100</v>
      </c>
      <c r="AL126" s="99">
        <v>100</v>
      </c>
      <c r="AM126" s="99">
        <v>100</v>
      </c>
      <c r="AN126" s="99">
        <v>100</v>
      </c>
    </row>
    <row r="127" spans="1:40" s="30" customFormat="1" ht="15.6">
      <c r="A127"/>
      <c r="B127" s="29"/>
      <c r="C127" s="44" t="s">
        <v>876</v>
      </c>
      <c r="D127" s="39" t="s">
        <v>26</v>
      </c>
      <c r="E127" s="39" t="s">
        <v>441</v>
      </c>
      <c r="F127" t="s">
        <v>731</v>
      </c>
      <c r="G127" s="41">
        <f>VLOOKUP(F127,'(3) Demographie &amp; Departements'!$G$8:$J$526,4,0)</f>
        <v>44381.462860069376</v>
      </c>
      <c r="H127" s="96">
        <f t="shared" si="4"/>
        <v>20415.472915631915</v>
      </c>
      <c r="I127" s="130">
        <f t="shared" si="5"/>
        <v>0.95</v>
      </c>
      <c r="J127" s="42">
        <f t="shared" si="6"/>
        <v>0.85</v>
      </c>
      <c r="K127" s="131">
        <f t="shared" si="7"/>
        <v>0.75</v>
      </c>
      <c r="L127" s="42"/>
      <c r="M127" s="42"/>
      <c r="N127" s="39" t="s">
        <v>26</v>
      </c>
      <c r="O127" s="39" t="s">
        <v>441</v>
      </c>
      <c r="P127" t="s">
        <v>731</v>
      </c>
      <c r="Q127" s="99">
        <v>100</v>
      </c>
      <c r="R127" s="99">
        <v>100</v>
      </c>
      <c r="S127" s="99">
        <v>100</v>
      </c>
      <c r="T127" s="99">
        <v>100</v>
      </c>
      <c r="U127" s="99">
        <v>100</v>
      </c>
      <c r="V127" s="99">
        <v>100</v>
      </c>
      <c r="W127" s="99">
        <v>99.591734416215999</v>
      </c>
      <c r="X127" s="99">
        <v>100</v>
      </c>
      <c r="Y127" s="99">
        <v>100</v>
      </c>
      <c r="Z127" s="99">
        <v>100</v>
      </c>
      <c r="AA127" s="99">
        <v>100</v>
      </c>
      <c r="AB127" s="99">
        <v>100</v>
      </c>
      <c r="AC127" s="99">
        <v>100</v>
      </c>
      <c r="AD127" s="99">
        <v>100</v>
      </c>
      <c r="AE127" s="99">
        <v>97.436560043435193</v>
      </c>
      <c r="AF127" s="99">
        <v>96.294825323081398</v>
      </c>
      <c r="AG127" s="99">
        <v>100</v>
      </c>
      <c r="AH127" s="99">
        <v>100</v>
      </c>
      <c r="AI127" s="99">
        <v>97.1284704107496</v>
      </c>
      <c r="AJ127" s="99">
        <v>100</v>
      </c>
      <c r="AK127" s="99">
        <v>100</v>
      </c>
      <c r="AL127" s="99">
        <v>100</v>
      </c>
      <c r="AM127" s="99">
        <v>100</v>
      </c>
      <c r="AN127" s="99">
        <v>98.420708384092293</v>
      </c>
    </row>
    <row r="128" spans="1:40" s="30" customFormat="1" ht="15.6">
      <c r="A128"/>
      <c r="B128" s="29"/>
      <c r="C128" s="44" t="s">
        <v>876</v>
      </c>
      <c r="D128" s="39" t="s">
        <v>26</v>
      </c>
      <c r="E128" s="39" t="s">
        <v>441</v>
      </c>
      <c r="F128" t="s">
        <v>732</v>
      </c>
      <c r="G128" s="41">
        <f>VLOOKUP(F128,'(3) Demographie &amp; Departements'!$G$8:$J$526,4,0)</f>
        <v>78613.233328888833</v>
      </c>
      <c r="H128" s="96">
        <f t="shared" si="4"/>
        <v>36162.087331288865</v>
      </c>
      <c r="I128" s="130">
        <f t="shared" si="5"/>
        <v>0.95</v>
      </c>
      <c r="J128" s="42">
        <f t="shared" si="6"/>
        <v>0.85</v>
      </c>
      <c r="K128" s="131">
        <f t="shared" si="7"/>
        <v>0.75</v>
      </c>
      <c r="L128" s="42"/>
      <c r="M128" s="42"/>
      <c r="N128" s="39" t="s">
        <v>26</v>
      </c>
      <c r="O128" s="39" t="s">
        <v>441</v>
      </c>
      <c r="P128" t="s">
        <v>732</v>
      </c>
      <c r="Q128" s="99">
        <v>100</v>
      </c>
      <c r="R128" s="99">
        <v>100</v>
      </c>
      <c r="S128" s="99">
        <v>100</v>
      </c>
      <c r="T128" s="99">
        <v>100</v>
      </c>
      <c r="U128" s="99">
        <v>100</v>
      </c>
      <c r="V128" s="99">
        <v>100</v>
      </c>
      <c r="W128" s="99">
        <v>99.316578452447303</v>
      </c>
      <c r="X128" s="99">
        <v>100</v>
      </c>
      <c r="Y128" s="99">
        <v>100</v>
      </c>
      <c r="Z128" s="99">
        <v>100</v>
      </c>
      <c r="AA128" s="99">
        <v>100</v>
      </c>
      <c r="AB128" s="99">
        <v>100</v>
      </c>
      <c r="AC128" s="99">
        <v>100</v>
      </c>
      <c r="AD128" s="99">
        <v>100</v>
      </c>
      <c r="AE128" s="99">
        <v>93.326612998890297</v>
      </c>
      <c r="AF128" s="99">
        <v>98.303287500063007</v>
      </c>
      <c r="AG128" s="99">
        <v>100</v>
      </c>
      <c r="AH128" s="99">
        <v>100</v>
      </c>
      <c r="AI128" s="99">
        <v>98.010499161727907</v>
      </c>
      <c r="AJ128" s="99">
        <v>100</v>
      </c>
      <c r="AK128" s="99">
        <v>100</v>
      </c>
      <c r="AL128" s="99">
        <v>100</v>
      </c>
      <c r="AM128" s="99">
        <v>100</v>
      </c>
      <c r="AN128" s="99">
        <v>99.139410608293304</v>
      </c>
    </row>
    <row r="129" spans="1:40" s="30" customFormat="1" ht="15.6">
      <c r="A129"/>
      <c r="B129" s="29"/>
      <c r="C129" s="44" t="s">
        <v>876</v>
      </c>
      <c r="D129" s="39" t="s">
        <v>27</v>
      </c>
      <c r="E129" s="39" t="s">
        <v>530</v>
      </c>
      <c r="F129" t="s">
        <v>733</v>
      </c>
      <c r="G129" s="41">
        <f>VLOOKUP(F129,'(3) Demographie &amp; Departements'!$G$8:$J$526,4,0)</f>
        <v>13486.10607369762</v>
      </c>
      <c r="H129" s="96">
        <f t="shared" si="4"/>
        <v>6203.6087939009049</v>
      </c>
      <c r="I129" s="130">
        <f t="shared" si="5"/>
        <v>0.95</v>
      </c>
      <c r="J129" s="42">
        <f t="shared" si="6"/>
        <v>0.85</v>
      </c>
      <c r="K129" s="131">
        <f t="shared" si="7"/>
        <v>0.75</v>
      </c>
      <c r="L129" s="42"/>
      <c r="M129" s="42"/>
      <c r="N129" s="39" t="s">
        <v>27</v>
      </c>
      <c r="O129" s="39" t="s">
        <v>530</v>
      </c>
      <c r="P129" t="s">
        <v>733</v>
      </c>
      <c r="Q129" s="99">
        <v>86.093086805961093</v>
      </c>
      <c r="R129" s="99">
        <v>99.593071282919894</v>
      </c>
      <c r="S129" s="99">
        <v>91.116972402379105</v>
      </c>
      <c r="T129" s="99">
        <v>79.858924798379903</v>
      </c>
      <c r="U129" s="99">
        <v>88.956994168187407</v>
      </c>
      <c r="V129" s="99">
        <v>99.372788456648493</v>
      </c>
      <c r="W129" s="99">
        <v>82.125813467235702</v>
      </c>
      <c r="X129" s="99">
        <v>100</v>
      </c>
      <c r="Y129" s="99">
        <v>99.294347048063898</v>
      </c>
      <c r="Z129" s="99">
        <v>81.888028350848501</v>
      </c>
      <c r="AA129" s="99">
        <v>99.796472243800295</v>
      </c>
      <c r="AB129" s="99">
        <v>100</v>
      </c>
      <c r="AC129" s="99">
        <v>90.845612702277194</v>
      </c>
      <c r="AD129" s="99">
        <v>77.030048102604297</v>
      </c>
      <c r="AE129" s="99">
        <v>80.437716935227499</v>
      </c>
      <c r="AF129" s="99">
        <v>75.005995601982804</v>
      </c>
      <c r="AG129" s="99">
        <v>82.771001621801304</v>
      </c>
      <c r="AH129" s="99">
        <v>85.267303463372599</v>
      </c>
      <c r="AI129" s="99">
        <v>82.600073331137693</v>
      </c>
      <c r="AJ129" s="99">
        <v>77.401515269623999</v>
      </c>
      <c r="AK129" s="99">
        <v>90.593644860692606</v>
      </c>
      <c r="AL129" s="99">
        <v>98.350607970677203</v>
      </c>
      <c r="AM129" s="99">
        <v>96.506868294438306</v>
      </c>
      <c r="AN129" s="99">
        <v>81.234573813264404</v>
      </c>
    </row>
    <row r="130" spans="1:40" s="30" customFormat="1" ht="15.6">
      <c r="A130"/>
      <c r="B130" s="29"/>
      <c r="C130" s="44" t="s">
        <v>876</v>
      </c>
      <c r="D130" s="39" t="s">
        <v>27</v>
      </c>
      <c r="E130" s="39" t="s">
        <v>530</v>
      </c>
      <c r="F130" t="s">
        <v>734</v>
      </c>
      <c r="G130" s="41">
        <f>VLOOKUP(F130,'(3) Demographie &amp; Departements'!$G$8:$J$526,4,0)</f>
        <v>27498.419948309398</v>
      </c>
      <c r="H130" s="96">
        <f t="shared" si="4"/>
        <v>12649.273176222323</v>
      </c>
      <c r="I130" s="130">
        <f t="shared" si="5"/>
        <v>0.95</v>
      </c>
      <c r="J130" s="42">
        <f t="shared" si="6"/>
        <v>0.85</v>
      </c>
      <c r="K130" s="131">
        <f t="shared" si="7"/>
        <v>0.75</v>
      </c>
      <c r="L130" s="42"/>
      <c r="M130" s="42"/>
      <c r="N130" s="39" t="s">
        <v>27</v>
      </c>
      <c r="O130" s="39" t="s">
        <v>530</v>
      </c>
      <c r="P130" t="s">
        <v>734</v>
      </c>
      <c r="Q130" s="99">
        <v>99.756484761888899</v>
      </c>
      <c r="R130" s="99">
        <v>100</v>
      </c>
      <c r="S130" s="99">
        <v>97.607579600254297</v>
      </c>
      <c r="T130" s="99">
        <v>87.172450399530106</v>
      </c>
      <c r="U130" s="99">
        <v>96.056237613174801</v>
      </c>
      <c r="V130" s="99">
        <v>100</v>
      </c>
      <c r="W130" s="99">
        <v>95.723765596060503</v>
      </c>
      <c r="X130" s="99">
        <v>100</v>
      </c>
      <c r="Y130" s="99">
        <v>100</v>
      </c>
      <c r="Z130" s="99">
        <v>90.418442447047099</v>
      </c>
      <c r="AA130" s="99">
        <v>100</v>
      </c>
      <c r="AB130" s="99">
        <v>100</v>
      </c>
      <c r="AC130" s="99">
        <v>100</v>
      </c>
      <c r="AD130" s="99">
        <v>83.205321221023098</v>
      </c>
      <c r="AE130" s="99">
        <v>87.126032403528797</v>
      </c>
      <c r="AF130" s="99">
        <v>96.545051165541096</v>
      </c>
      <c r="AG130" s="99">
        <v>88.887769146987097</v>
      </c>
      <c r="AH130" s="99">
        <v>95.420074507460896</v>
      </c>
      <c r="AI130" s="99">
        <v>89.241147700857297</v>
      </c>
      <c r="AJ130" s="99">
        <v>89.456951925707997</v>
      </c>
      <c r="AK130" s="99">
        <v>95.370335227139094</v>
      </c>
      <c r="AL130" s="99">
        <v>98.554088885572398</v>
      </c>
      <c r="AM130" s="99">
        <v>99.972139024996693</v>
      </c>
      <c r="AN130" s="99">
        <v>99.151416812340798</v>
      </c>
    </row>
    <row r="131" spans="1:40" s="30" customFormat="1" ht="15.6">
      <c r="A131"/>
      <c r="B131" s="29"/>
      <c r="C131" s="44" t="s">
        <v>876</v>
      </c>
      <c r="D131" s="39" t="s">
        <v>27</v>
      </c>
      <c r="E131" s="39" t="s">
        <v>468</v>
      </c>
      <c r="F131" t="s">
        <v>735</v>
      </c>
      <c r="G131" s="41">
        <f>VLOOKUP(F131,'(3) Demographie &amp; Departements'!$G$8:$J$526,4,0)</f>
        <v>6299.5471870903057</v>
      </c>
      <c r="H131" s="96">
        <f t="shared" si="4"/>
        <v>2897.7917060615409</v>
      </c>
      <c r="I131" s="130">
        <f t="shared" si="5"/>
        <v>0.95</v>
      </c>
      <c r="J131" s="42">
        <f t="shared" si="6"/>
        <v>0.85</v>
      </c>
      <c r="K131" s="131">
        <f t="shared" si="7"/>
        <v>0.75</v>
      </c>
      <c r="L131" s="42"/>
      <c r="M131" s="42"/>
      <c r="N131" s="39" t="s">
        <v>27</v>
      </c>
      <c r="O131" s="39" t="s">
        <v>468</v>
      </c>
      <c r="P131" t="s">
        <v>735</v>
      </c>
      <c r="Q131" s="99">
        <v>100</v>
      </c>
      <c r="R131" s="99">
        <v>100</v>
      </c>
      <c r="S131" s="99">
        <v>100</v>
      </c>
      <c r="T131" s="99">
        <v>100</v>
      </c>
      <c r="U131" s="99">
        <v>100</v>
      </c>
      <c r="V131" s="99">
        <v>100</v>
      </c>
      <c r="W131" s="99">
        <v>100</v>
      </c>
      <c r="X131" s="99">
        <v>100</v>
      </c>
      <c r="Y131" s="99">
        <v>100</v>
      </c>
      <c r="Z131" s="99">
        <v>100</v>
      </c>
      <c r="AA131" s="99">
        <v>100</v>
      </c>
      <c r="AB131" s="99">
        <v>100</v>
      </c>
      <c r="AC131" s="99">
        <v>100</v>
      </c>
      <c r="AD131" s="99">
        <v>93.883719990001495</v>
      </c>
      <c r="AE131" s="99">
        <v>100</v>
      </c>
      <c r="AF131" s="99">
        <v>100</v>
      </c>
      <c r="AG131" s="99">
        <v>100</v>
      </c>
      <c r="AH131" s="99">
        <v>100</v>
      </c>
      <c r="AI131" s="99">
        <v>98.863268494285705</v>
      </c>
      <c r="AJ131" s="99">
        <v>96.951453257123006</v>
      </c>
      <c r="AK131" s="99">
        <v>100</v>
      </c>
      <c r="AL131" s="99">
        <v>100</v>
      </c>
      <c r="AM131" s="99">
        <v>100</v>
      </c>
      <c r="AN131" s="99">
        <v>100</v>
      </c>
    </row>
    <row r="132" spans="1:40" s="30" customFormat="1" ht="15.6">
      <c r="A132"/>
      <c r="B132" s="29"/>
      <c r="C132" s="44" t="s">
        <v>876</v>
      </c>
      <c r="D132" s="39" t="s">
        <v>27</v>
      </c>
      <c r="E132" s="39" t="s">
        <v>172</v>
      </c>
      <c r="F132" t="s">
        <v>736</v>
      </c>
      <c r="G132" s="41">
        <f>VLOOKUP(F132,'(3) Demographie &amp; Departements'!$G$8:$J$526,4,0)</f>
        <v>28372.856558353804</v>
      </c>
      <c r="H132" s="96">
        <f t="shared" si="4"/>
        <v>13051.51401684275</v>
      </c>
      <c r="I132" s="130">
        <f t="shared" si="5"/>
        <v>0.95</v>
      </c>
      <c r="J132" s="42">
        <f t="shared" si="6"/>
        <v>0.85</v>
      </c>
      <c r="K132" s="131">
        <f t="shared" si="7"/>
        <v>0.75</v>
      </c>
      <c r="L132" s="42"/>
      <c r="M132" s="42"/>
      <c r="N132" s="39" t="s">
        <v>27</v>
      </c>
      <c r="O132" s="39" t="s">
        <v>172</v>
      </c>
      <c r="P132" t="s">
        <v>736</v>
      </c>
      <c r="Q132" s="99">
        <v>100</v>
      </c>
      <c r="R132" s="99">
        <v>100</v>
      </c>
      <c r="S132" s="99">
        <v>100</v>
      </c>
      <c r="T132" s="99">
        <v>100</v>
      </c>
      <c r="U132" s="99">
        <v>100</v>
      </c>
      <c r="V132" s="99">
        <v>100</v>
      </c>
      <c r="W132" s="99">
        <v>100</v>
      </c>
      <c r="X132" s="99">
        <v>100</v>
      </c>
      <c r="Y132" s="99">
        <v>100</v>
      </c>
      <c r="Z132" s="99">
        <v>100</v>
      </c>
      <c r="AA132" s="99">
        <v>100</v>
      </c>
      <c r="AB132" s="99">
        <v>100</v>
      </c>
      <c r="AC132" s="99">
        <v>100</v>
      </c>
      <c r="AD132" s="99">
        <v>99.960440871147796</v>
      </c>
      <c r="AE132" s="99">
        <v>100</v>
      </c>
      <c r="AF132" s="99">
        <v>100</v>
      </c>
      <c r="AG132" s="99">
        <v>100</v>
      </c>
      <c r="AH132" s="99">
        <v>100</v>
      </c>
      <c r="AI132" s="99">
        <v>100</v>
      </c>
      <c r="AJ132" s="99">
        <v>100</v>
      </c>
      <c r="AK132" s="99">
        <v>100</v>
      </c>
      <c r="AL132" s="99">
        <v>100</v>
      </c>
      <c r="AM132" s="99">
        <v>100</v>
      </c>
      <c r="AN132" s="99">
        <v>100</v>
      </c>
    </row>
    <row r="133" spans="1:40" s="30" customFormat="1" ht="15.6">
      <c r="A133"/>
      <c r="B133" s="29"/>
      <c r="C133" s="44" t="s">
        <v>876</v>
      </c>
      <c r="D133" s="39" t="s">
        <v>27</v>
      </c>
      <c r="E133" s="39" t="s">
        <v>517</v>
      </c>
      <c r="F133" t="s">
        <v>737</v>
      </c>
      <c r="G133" s="41">
        <f>VLOOKUP(F133,'(3) Demographie &amp; Departements'!$G$8:$J$526,4,0)</f>
        <v>21487.295769206346</v>
      </c>
      <c r="H133" s="96">
        <f t="shared" si="4"/>
        <v>9884.1560538349204</v>
      </c>
      <c r="I133" s="130">
        <f t="shared" si="5"/>
        <v>0.95</v>
      </c>
      <c r="J133" s="42">
        <f t="shared" si="6"/>
        <v>0.85</v>
      </c>
      <c r="K133" s="131">
        <f t="shared" si="7"/>
        <v>0.75</v>
      </c>
      <c r="L133" s="42"/>
      <c r="M133" s="42"/>
      <c r="N133" s="39" t="s">
        <v>27</v>
      </c>
      <c r="O133" s="39" t="s">
        <v>517</v>
      </c>
      <c r="P133" t="s">
        <v>737</v>
      </c>
      <c r="Q133" s="99">
        <v>75.3353545090078</v>
      </c>
      <c r="R133" s="99">
        <v>95.974238217917403</v>
      </c>
      <c r="S133" s="99">
        <v>84.180898793768804</v>
      </c>
      <c r="T133" s="99">
        <v>78.176690980570598</v>
      </c>
      <c r="U133" s="99">
        <v>70.177174932211003</v>
      </c>
      <c r="V133" s="99">
        <v>89.442593166775097</v>
      </c>
      <c r="W133" s="99">
        <v>88.2311771732126</v>
      </c>
      <c r="X133" s="99">
        <v>100</v>
      </c>
      <c r="Y133" s="99">
        <v>90.128263539994705</v>
      </c>
      <c r="Z133" s="99">
        <v>99.117739172365205</v>
      </c>
      <c r="AA133" s="99">
        <v>98.340678850493006</v>
      </c>
      <c r="AB133" s="99">
        <v>93.840900040818795</v>
      </c>
      <c r="AC133" s="99">
        <v>75.587086776583604</v>
      </c>
      <c r="AD133" s="99">
        <v>75.320719348445394</v>
      </c>
      <c r="AE133" s="99">
        <v>72.017462943718598</v>
      </c>
      <c r="AF133" s="99">
        <v>59.919866029162399</v>
      </c>
      <c r="AG133" s="99">
        <v>98.327521369616093</v>
      </c>
      <c r="AH133" s="99">
        <v>87.430962679365607</v>
      </c>
      <c r="AI133" s="99">
        <v>89.668273637471998</v>
      </c>
      <c r="AJ133" s="99">
        <v>75.954542588260793</v>
      </c>
      <c r="AK133" s="99">
        <v>100</v>
      </c>
      <c r="AL133" s="99">
        <v>97.860000029998105</v>
      </c>
      <c r="AM133" s="99">
        <v>95.856027895658997</v>
      </c>
      <c r="AN133" s="99">
        <v>84.694607885417</v>
      </c>
    </row>
    <row r="134" spans="1:40" s="30" customFormat="1" ht="15.6">
      <c r="A134"/>
      <c r="B134" s="29"/>
      <c r="C134" s="44" t="s">
        <v>876</v>
      </c>
      <c r="D134" s="39" t="s">
        <v>27</v>
      </c>
      <c r="E134" s="39" t="s">
        <v>484</v>
      </c>
      <c r="F134" t="s">
        <v>738</v>
      </c>
      <c r="G134" s="41">
        <f>VLOOKUP(F134,'(3) Demographie &amp; Departements'!$G$8:$J$526,4,0)</f>
        <v>16715</v>
      </c>
      <c r="H134" s="96">
        <f t="shared" si="4"/>
        <v>7688.9000000000005</v>
      </c>
      <c r="I134" s="130">
        <f t="shared" si="5"/>
        <v>0.95</v>
      </c>
      <c r="J134" s="42">
        <f t="shared" si="6"/>
        <v>0.85</v>
      </c>
      <c r="K134" s="131">
        <f t="shared" si="7"/>
        <v>0.75</v>
      </c>
      <c r="L134" s="42"/>
      <c r="M134" s="42"/>
      <c r="N134" s="39" t="s">
        <v>27</v>
      </c>
      <c r="O134" s="39" t="s">
        <v>484</v>
      </c>
      <c r="P134" t="s">
        <v>738</v>
      </c>
      <c r="Q134" s="99">
        <v>100</v>
      </c>
      <c r="R134" s="99">
        <v>100</v>
      </c>
      <c r="S134" s="99">
        <v>100</v>
      </c>
      <c r="T134" s="99">
        <v>97.9762315767166</v>
      </c>
      <c r="U134" s="99">
        <v>100</v>
      </c>
      <c r="V134" s="99">
        <v>100</v>
      </c>
      <c r="W134" s="99">
        <v>100</v>
      </c>
      <c r="X134" s="99">
        <v>100</v>
      </c>
      <c r="Y134" s="99">
        <v>100</v>
      </c>
      <c r="Z134" s="99">
        <v>100</v>
      </c>
      <c r="AA134" s="99">
        <v>100</v>
      </c>
      <c r="AB134" s="99">
        <v>100</v>
      </c>
      <c r="AC134" s="99">
        <v>100</v>
      </c>
      <c r="AD134" s="99">
        <v>94.301772394477297</v>
      </c>
      <c r="AE134" s="99">
        <v>99.441917514116497</v>
      </c>
      <c r="AF134" s="99">
        <v>99.950080764355206</v>
      </c>
      <c r="AG134" s="99">
        <v>100</v>
      </c>
      <c r="AH134" s="99">
        <v>100</v>
      </c>
      <c r="AI134" s="99">
        <v>100</v>
      </c>
      <c r="AJ134" s="99">
        <v>99.326433095837103</v>
      </c>
      <c r="AK134" s="99">
        <v>100</v>
      </c>
      <c r="AL134" s="99">
        <v>100</v>
      </c>
      <c r="AM134" s="99">
        <v>100</v>
      </c>
      <c r="AN134" s="99">
        <v>100</v>
      </c>
    </row>
    <row r="135" spans="1:40" s="30" customFormat="1" ht="15.6">
      <c r="A135"/>
      <c r="B135" s="29"/>
      <c r="C135" s="44" t="s">
        <v>876</v>
      </c>
      <c r="D135" s="39" t="s">
        <v>27</v>
      </c>
      <c r="E135" s="39" t="s">
        <v>417</v>
      </c>
      <c r="F135" t="s">
        <v>739</v>
      </c>
      <c r="G135" s="41">
        <f>VLOOKUP(F135,'(3) Demographie &amp; Departements'!$G$8:$J$526,4,0)</f>
        <v>67047.917644813395</v>
      </c>
      <c r="H135" s="96">
        <f t="shared" si="4"/>
        <v>30842.042116614164</v>
      </c>
      <c r="I135" s="130">
        <f t="shared" si="5"/>
        <v>0.95</v>
      </c>
      <c r="J135" s="42">
        <f t="shared" si="6"/>
        <v>0.85</v>
      </c>
      <c r="K135" s="131">
        <f t="shared" si="7"/>
        <v>0.75</v>
      </c>
      <c r="L135" s="42"/>
      <c r="M135" s="42"/>
      <c r="N135" s="39" t="s">
        <v>27</v>
      </c>
      <c r="O135" s="39" t="s">
        <v>417</v>
      </c>
      <c r="P135" t="s">
        <v>739</v>
      </c>
      <c r="Q135" s="99">
        <v>82.3770623063606</v>
      </c>
      <c r="R135" s="99">
        <v>100</v>
      </c>
      <c r="S135" s="99">
        <v>100</v>
      </c>
      <c r="T135" s="99">
        <v>84.574452420760494</v>
      </c>
      <c r="U135" s="99">
        <v>91.240808068019703</v>
      </c>
      <c r="V135" s="99">
        <v>98.678902858926193</v>
      </c>
      <c r="W135" s="99">
        <v>85.618165077446093</v>
      </c>
      <c r="X135" s="99">
        <v>100</v>
      </c>
      <c r="Y135" s="99">
        <v>95.550978820197997</v>
      </c>
      <c r="Z135" s="99">
        <v>88.086946751354802</v>
      </c>
      <c r="AA135" s="99">
        <v>84.419806060648796</v>
      </c>
      <c r="AB135" s="99">
        <v>98.250248338105493</v>
      </c>
      <c r="AC135" s="99">
        <v>88.244843072945102</v>
      </c>
      <c r="AD135" s="99">
        <v>82.858110824774897</v>
      </c>
      <c r="AE135" s="99">
        <v>86.885996690469696</v>
      </c>
      <c r="AF135" s="99">
        <v>78.001388432625006</v>
      </c>
      <c r="AG135" s="99">
        <v>86.424112039452595</v>
      </c>
      <c r="AH135" s="99">
        <v>100</v>
      </c>
      <c r="AI135" s="99">
        <v>91.842669831532604</v>
      </c>
      <c r="AJ135" s="99">
        <v>82.712324502994704</v>
      </c>
      <c r="AK135" s="99">
        <v>100</v>
      </c>
      <c r="AL135" s="99">
        <v>89.716908757241001</v>
      </c>
      <c r="AM135" s="99">
        <v>100</v>
      </c>
      <c r="AN135" s="99">
        <v>96.232716685357701</v>
      </c>
    </row>
    <row r="136" spans="1:40" s="30" customFormat="1" ht="15.6">
      <c r="A136"/>
      <c r="B136" s="29"/>
      <c r="C136" s="44" t="s">
        <v>876</v>
      </c>
      <c r="D136" s="39" t="s">
        <v>27</v>
      </c>
      <c r="E136" s="39" t="s">
        <v>331</v>
      </c>
      <c r="F136" t="s">
        <v>740</v>
      </c>
      <c r="G136" s="41">
        <f>VLOOKUP(F136,'(3) Demographie &amp; Departements'!$G$8:$J$526,4,0)</f>
        <v>71470.470281392772</v>
      </c>
      <c r="H136" s="96">
        <f t="shared" ref="H136:H199" si="8">$H$3*G136</f>
        <v>32876.416329440675</v>
      </c>
      <c r="I136" s="130">
        <f t="shared" si="5"/>
        <v>0.95</v>
      </c>
      <c r="J136" s="42">
        <f t="shared" si="6"/>
        <v>0.85</v>
      </c>
      <c r="K136" s="131">
        <f t="shared" si="7"/>
        <v>0.75</v>
      </c>
      <c r="L136" s="42"/>
      <c r="M136" s="42"/>
      <c r="N136" s="39" t="s">
        <v>27</v>
      </c>
      <c r="O136" s="39" t="s">
        <v>331</v>
      </c>
      <c r="P136" t="s">
        <v>740</v>
      </c>
      <c r="Q136" s="99">
        <v>100</v>
      </c>
      <c r="R136" s="99">
        <v>100</v>
      </c>
      <c r="S136" s="99">
        <v>100</v>
      </c>
      <c r="T136" s="99">
        <v>100</v>
      </c>
      <c r="U136" s="99">
        <v>100</v>
      </c>
      <c r="V136" s="99">
        <v>100</v>
      </c>
      <c r="W136" s="99">
        <v>100</v>
      </c>
      <c r="X136" s="99">
        <v>100</v>
      </c>
      <c r="Y136" s="99">
        <v>100</v>
      </c>
      <c r="Z136" s="99">
        <v>100</v>
      </c>
      <c r="AA136" s="99">
        <v>100</v>
      </c>
      <c r="AB136" s="99">
        <v>100</v>
      </c>
      <c r="AC136" s="99">
        <v>100</v>
      </c>
      <c r="AD136" s="99">
        <v>100</v>
      </c>
      <c r="AE136" s="99">
        <v>100</v>
      </c>
      <c r="AF136" s="99">
        <v>100</v>
      </c>
      <c r="AG136" s="99">
        <v>100</v>
      </c>
      <c r="AH136" s="99">
        <v>100</v>
      </c>
      <c r="AI136" s="99">
        <v>100</v>
      </c>
      <c r="AJ136" s="99">
        <v>100</v>
      </c>
      <c r="AK136" s="99">
        <v>100</v>
      </c>
      <c r="AL136" s="99">
        <v>100</v>
      </c>
      <c r="AM136" s="99">
        <v>100</v>
      </c>
      <c r="AN136" s="99">
        <v>100</v>
      </c>
    </row>
    <row r="137" spans="1:40" s="30" customFormat="1" ht="15.6">
      <c r="A137"/>
      <c r="B137" s="29"/>
      <c r="C137" s="44" t="s">
        <v>876</v>
      </c>
      <c r="D137" s="39" t="s">
        <v>27</v>
      </c>
      <c r="E137" s="39" t="s">
        <v>475</v>
      </c>
      <c r="F137" t="s">
        <v>741</v>
      </c>
      <c r="G137" s="41">
        <f>VLOOKUP(F137,'(3) Demographie &amp; Departements'!$G$8:$J$526,4,0)</f>
        <v>28739.921489995984</v>
      </c>
      <c r="H137" s="96">
        <f t="shared" si="8"/>
        <v>13220.363885398154</v>
      </c>
      <c r="I137" s="130">
        <f t="shared" si="5"/>
        <v>0.95</v>
      </c>
      <c r="J137" s="42">
        <f t="shared" si="6"/>
        <v>0.85</v>
      </c>
      <c r="K137" s="131">
        <f t="shared" si="7"/>
        <v>0.75</v>
      </c>
      <c r="L137" s="42"/>
      <c r="M137" s="42"/>
      <c r="N137" s="39" t="s">
        <v>27</v>
      </c>
      <c r="O137" s="39" t="s">
        <v>475</v>
      </c>
      <c r="P137" t="s">
        <v>741</v>
      </c>
      <c r="Q137" s="99">
        <v>94.991114629675295</v>
      </c>
      <c r="R137" s="99">
        <v>99.775557367971402</v>
      </c>
      <c r="S137" s="99">
        <v>95.742387437893797</v>
      </c>
      <c r="T137" s="99">
        <v>82.382650971664106</v>
      </c>
      <c r="U137" s="99">
        <v>97.337923996293696</v>
      </c>
      <c r="V137" s="99">
        <v>95.4406369802646</v>
      </c>
      <c r="W137" s="99">
        <v>96.331422983071405</v>
      </c>
      <c r="X137" s="99">
        <v>100</v>
      </c>
      <c r="Y137" s="99">
        <v>97.963242583288306</v>
      </c>
      <c r="Z137" s="99">
        <v>99.742981049918001</v>
      </c>
      <c r="AA137" s="99">
        <v>99.985689252238998</v>
      </c>
      <c r="AB137" s="99">
        <v>99.013569490316499</v>
      </c>
      <c r="AC137" s="99">
        <v>88.784915542947502</v>
      </c>
      <c r="AD137" s="99">
        <v>91.879061616947396</v>
      </c>
      <c r="AE137" s="99">
        <v>97.755604357311</v>
      </c>
      <c r="AF137" s="99">
        <v>97.5139241514579</v>
      </c>
      <c r="AG137" s="99">
        <v>98.812961840440394</v>
      </c>
      <c r="AH137" s="99">
        <v>99.8792335957327</v>
      </c>
      <c r="AI137" s="99">
        <v>99.781620915791393</v>
      </c>
      <c r="AJ137" s="99">
        <v>91.196549918950097</v>
      </c>
      <c r="AK137" s="99">
        <v>100</v>
      </c>
      <c r="AL137" s="99">
        <v>99.813884309535396</v>
      </c>
      <c r="AM137" s="99">
        <v>99.861153872195402</v>
      </c>
      <c r="AN137" s="99">
        <v>90.980712369138899</v>
      </c>
    </row>
    <row r="138" spans="1:40" s="30" customFormat="1" ht="15.6">
      <c r="A138"/>
      <c r="B138" s="29"/>
      <c r="C138" s="44" t="s">
        <v>876</v>
      </c>
      <c r="D138" s="39" t="s">
        <v>27</v>
      </c>
      <c r="E138" s="39" t="s">
        <v>489</v>
      </c>
      <c r="F138" t="s">
        <v>742</v>
      </c>
      <c r="G138" s="41">
        <f>VLOOKUP(F138,'(3) Demographie &amp; Departements'!$G$8:$J$526,4,0)</f>
        <v>21344.60645584128</v>
      </c>
      <c r="H138" s="96">
        <f t="shared" si="8"/>
        <v>9818.5189696869893</v>
      </c>
      <c r="I138" s="130">
        <f t="shared" ref="I138:I201" si="9">I137</f>
        <v>0.95</v>
      </c>
      <c r="J138" s="42">
        <f t="shared" ref="J138:J201" si="10">J137</f>
        <v>0.85</v>
      </c>
      <c r="K138" s="131">
        <f t="shared" ref="K138:K201" si="11">K137</f>
        <v>0.75</v>
      </c>
      <c r="L138" s="42"/>
      <c r="M138" s="42"/>
      <c r="N138" s="39" t="s">
        <v>27</v>
      </c>
      <c r="O138" s="39" t="s">
        <v>489</v>
      </c>
      <c r="P138" t="s">
        <v>742</v>
      </c>
      <c r="Q138" s="99">
        <v>99.969646510207397</v>
      </c>
      <c r="R138" s="99">
        <v>100</v>
      </c>
      <c r="S138" s="99">
        <v>100</v>
      </c>
      <c r="T138" s="99">
        <v>99.0450415215916</v>
      </c>
      <c r="U138" s="99">
        <v>100</v>
      </c>
      <c r="V138" s="99">
        <v>100</v>
      </c>
      <c r="W138" s="99">
        <v>100</v>
      </c>
      <c r="X138" s="99">
        <v>100</v>
      </c>
      <c r="Y138" s="99">
        <v>100</v>
      </c>
      <c r="Z138" s="99">
        <v>100</v>
      </c>
      <c r="AA138" s="99">
        <v>100</v>
      </c>
      <c r="AB138" s="99">
        <v>100</v>
      </c>
      <c r="AC138" s="99">
        <v>100</v>
      </c>
      <c r="AD138" s="99">
        <v>97.987295941736605</v>
      </c>
      <c r="AE138" s="99">
        <v>100</v>
      </c>
      <c r="AF138" s="99">
        <v>99.807475988406694</v>
      </c>
      <c r="AG138" s="99">
        <v>100</v>
      </c>
      <c r="AH138" s="99">
        <v>100</v>
      </c>
      <c r="AI138" s="99">
        <v>99.796114374173001</v>
      </c>
      <c r="AJ138" s="99">
        <v>99.264299204420595</v>
      </c>
      <c r="AK138" s="99">
        <v>100</v>
      </c>
      <c r="AL138" s="99">
        <v>100</v>
      </c>
      <c r="AM138" s="99">
        <v>100</v>
      </c>
      <c r="AN138" s="99">
        <v>100</v>
      </c>
    </row>
    <row r="139" spans="1:40" s="30" customFormat="1" ht="15.6">
      <c r="A139"/>
      <c r="B139" s="29"/>
      <c r="C139" s="44" t="s">
        <v>876</v>
      </c>
      <c r="D139" s="39" t="s">
        <v>27</v>
      </c>
      <c r="E139" s="39" t="s">
        <v>542</v>
      </c>
      <c r="F139" t="s">
        <v>544</v>
      </c>
      <c r="G139" s="41">
        <f>VLOOKUP(F139,'(3) Demographie &amp; Departements'!$G$8:$J$526,4,0)</f>
        <v>25063.298473708237</v>
      </c>
      <c r="H139" s="96">
        <f t="shared" si="8"/>
        <v>11529.11729790579</v>
      </c>
      <c r="I139" s="130">
        <f t="shared" si="9"/>
        <v>0.95</v>
      </c>
      <c r="J139" s="42">
        <f t="shared" si="10"/>
        <v>0.85</v>
      </c>
      <c r="K139" s="131">
        <f t="shared" si="11"/>
        <v>0.75</v>
      </c>
      <c r="L139" s="42"/>
      <c r="M139" s="42"/>
      <c r="N139" s="39" t="s">
        <v>27</v>
      </c>
      <c r="O139" s="39" t="s">
        <v>542</v>
      </c>
      <c r="P139" t="s">
        <v>544</v>
      </c>
      <c r="Q139" s="99">
        <v>95.331405204501706</v>
      </c>
      <c r="R139" s="99">
        <v>100</v>
      </c>
      <c r="S139" s="99">
        <v>99.9976933980561</v>
      </c>
      <c r="T139" s="99">
        <v>93.1641637392744</v>
      </c>
      <c r="U139" s="99">
        <v>99.646512614469302</v>
      </c>
      <c r="V139" s="99">
        <v>99.982115937012594</v>
      </c>
      <c r="W139" s="99">
        <v>89.650824744273294</v>
      </c>
      <c r="X139" s="99">
        <v>100</v>
      </c>
      <c r="Y139" s="99">
        <v>98.699589030425003</v>
      </c>
      <c r="Z139" s="99">
        <v>92.438701529363399</v>
      </c>
      <c r="AA139" s="99">
        <v>91.0426540943878</v>
      </c>
      <c r="AB139" s="99">
        <v>100</v>
      </c>
      <c r="AC139" s="99">
        <v>98.741817060184104</v>
      </c>
      <c r="AD139" s="99">
        <v>91.182842444770799</v>
      </c>
      <c r="AE139" s="99">
        <v>89.757581521216295</v>
      </c>
      <c r="AF139" s="99">
        <v>83.049057783111195</v>
      </c>
      <c r="AG139" s="99">
        <v>93.329842516919996</v>
      </c>
      <c r="AH139" s="99">
        <v>100</v>
      </c>
      <c r="AI139" s="99">
        <v>95.358593160787706</v>
      </c>
      <c r="AJ139" s="99">
        <v>93.855766925688101</v>
      </c>
      <c r="AK139" s="99">
        <v>100</v>
      </c>
      <c r="AL139" s="99">
        <v>100</v>
      </c>
      <c r="AM139" s="99">
        <v>100</v>
      </c>
      <c r="AN139" s="99">
        <v>96.146060432112805</v>
      </c>
    </row>
    <row r="140" spans="1:40" s="30" customFormat="1" ht="15.6">
      <c r="A140"/>
      <c r="B140" s="29"/>
      <c r="C140" s="44" t="s">
        <v>876</v>
      </c>
      <c r="D140" s="39" t="s">
        <v>27</v>
      </c>
      <c r="E140" s="39" t="s">
        <v>613</v>
      </c>
      <c r="F140" t="s">
        <v>743</v>
      </c>
      <c r="G140" s="41">
        <f>VLOOKUP(F140,'(3) Demographie &amp; Departements'!$G$8:$J$526,4,0)</f>
        <v>10544.123585914551</v>
      </c>
      <c r="H140" s="96">
        <f t="shared" si="8"/>
        <v>4850.2968495206933</v>
      </c>
      <c r="I140" s="130">
        <f t="shared" si="9"/>
        <v>0.95</v>
      </c>
      <c r="J140" s="42">
        <f t="shared" si="10"/>
        <v>0.85</v>
      </c>
      <c r="K140" s="131">
        <f t="shared" si="11"/>
        <v>0.75</v>
      </c>
      <c r="L140" s="42"/>
      <c r="M140" s="42"/>
      <c r="N140" s="39" t="s">
        <v>27</v>
      </c>
      <c r="O140" s="39" t="s">
        <v>613</v>
      </c>
      <c r="P140" t="s">
        <v>743</v>
      </c>
      <c r="Q140" s="99">
        <v>85.205778052771606</v>
      </c>
      <c r="R140" s="99">
        <v>100</v>
      </c>
      <c r="S140" s="99">
        <v>87.899877311767796</v>
      </c>
      <c r="T140" s="99">
        <v>83.485113838790596</v>
      </c>
      <c r="U140" s="99">
        <v>84.141881700263298</v>
      </c>
      <c r="V140" s="99">
        <v>93.506238078864797</v>
      </c>
      <c r="W140" s="99">
        <v>85.983576603508197</v>
      </c>
      <c r="X140" s="99">
        <v>100</v>
      </c>
      <c r="Y140" s="99">
        <v>97.397164531341303</v>
      </c>
      <c r="Z140" s="99">
        <v>97.581553963195702</v>
      </c>
      <c r="AA140" s="99">
        <v>100</v>
      </c>
      <c r="AB140" s="99">
        <v>100</v>
      </c>
      <c r="AC140" s="99">
        <v>75.205109587629096</v>
      </c>
      <c r="AD140" s="99">
        <v>89.427724295223499</v>
      </c>
      <c r="AE140" s="99">
        <v>73.788982553687305</v>
      </c>
      <c r="AF140" s="99">
        <v>88.668273247051602</v>
      </c>
      <c r="AG140" s="99">
        <v>81.525574121522695</v>
      </c>
      <c r="AH140" s="99">
        <v>76.412200140794795</v>
      </c>
      <c r="AI140" s="99">
        <v>100</v>
      </c>
      <c r="AJ140" s="99">
        <v>82.365784290387595</v>
      </c>
      <c r="AK140" s="99">
        <v>100</v>
      </c>
      <c r="AL140" s="99">
        <v>99.542080330580703</v>
      </c>
      <c r="AM140" s="99">
        <v>100</v>
      </c>
      <c r="AN140" s="99">
        <v>67.060761686363307</v>
      </c>
    </row>
    <row r="141" spans="1:40" s="30" customFormat="1" ht="15.6">
      <c r="A141"/>
      <c r="B141" s="29"/>
      <c r="C141" s="44" t="s">
        <v>876</v>
      </c>
      <c r="D141" s="39" t="s">
        <v>27</v>
      </c>
      <c r="E141" s="39" t="s">
        <v>517</v>
      </c>
      <c r="F141" t="s">
        <v>744</v>
      </c>
      <c r="G141" s="41">
        <f>VLOOKUP(F141,'(3) Demographie &amp; Departements'!$G$8:$J$526,4,0)</f>
        <v>27695.914055903791</v>
      </c>
      <c r="H141" s="96">
        <f t="shared" si="8"/>
        <v>12740.120465715745</v>
      </c>
      <c r="I141" s="130">
        <f t="shared" si="9"/>
        <v>0.95</v>
      </c>
      <c r="J141" s="42">
        <f t="shared" si="10"/>
        <v>0.85</v>
      </c>
      <c r="K141" s="131">
        <f t="shared" si="11"/>
        <v>0.75</v>
      </c>
      <c r="L141" s="42"/>
      <c r="M141" s="42"/>
      <c r="N141" s="39" t="s">
        <v>27</v>
      </c>
      <c r="O141" s="39" t="s">
        <v>517</v>
      </c>
      <c r="P141" t="s">
        <v>744</v>
      </c>
      <c r="Q141" s="99">
        <v>85.620925962509403</v>
      </c>
      <c r="R141" s="99">
        <v>99.676487961431704</v>
      </c>
      <c r="S141" s="99">
        <v>94.282982246953495</v>
      </c>
      <c r="T141" s="99">
        <v>82.524006897691905</v>
      </c>
      <c r="U141" s="99">
        <v>85.396611683655095</v>
      </c>
      <c r="V141" s="99">
        <v>92.475023735047799</v>
      </c>
      <c r="W141" s="99">
        <v>92.915541839482501</v>
      </c>
      <c r="X141" s="99">
        <v>100</v>
      </c>
      <c r="Y141" s="99">
        <v>99.551736837252093</v>
      </c>
      <c r="Z141" s="99">
        <v>92.907637027597701</v>
      </c>
      <c r="AA141" s="99">
        <v>97.735583716101104</v>
      </c>
      <c r="AB141" s="99">
        <v>98.309169204546805</v>
      </c>
      <c r="AC141" s="99">
        <v>83.8895840500779</v>
      </c>
      <c r="AD141" s="99">
        <v>78.050837535304396</v>
      </c>
      <c r="AE141" s="99">
        <v>82.022967405167705</v>
      </c>
      <c r="AF141" s="99">
        <v>66.266255251070206</v>
      </c>
      <c r="AG141" s="99">
        <v>93.173923763352306</v>
      </c>
      <c r="AH141" s="99">
        <v>92.266926993935897</v>
      </c>
      <c r="AI141" s="99">
        <v>96.8530732996106</v>
      </c>
      <c r="AJ141" s="99">
        <v>84.320632128603194</v>
      </c>
      <c r="AK141" s="99">
        <v>99.772371687088494</v>
      </c>
      <c r="AL141" s="99">
        <v>99.947249762616806</v>
      </c>
      <c r="AM141" s="99">
        <v>100</v>
      </c>
      <c r="AN141" s="99">
        <v>81.137922542344398</v>
      </c>
    </row>
    <row r="142" spans="1:40" s="30" customFormat="1" ht="15.6">
      <c r="A142"/>
      <c r="B142" s="29"/>
      <c r="C142" s="44" t="s">
        <v>876</v>
      </c>
      <c r="D142" s="39" t="s">
        <v>27</v>
      </c>
      <c r="E142" s="39" t="s">
        <v>561</v>
      </c>
      <c r="F142" t="s">
        <v>745</v>
      </c>
      <c r="G142" s="41">
        <f>VLOOKUP(F142,'(3) Demographie &amp; Departements'!$G$8:$J$526,4,0)</f>
        <v>22893.74095389451</v>
      </c>
      <c r="H142" s="96">
        <f t="shared" si="8"/>
        <v>10531.120838791476</v>
      </c>
      <c r="I142" s="130">
        <f t="shared" si="9"/>
        <v>0.95</v>
      </c>
      <c r="J142" s="42">
        <f t="shared" si="10"/>
        <v>0.85</v>
      </c>
      <c r="K142" s="131">
        <f t="shared" si="11"/>
        <v>0.75</v>
      </c>
      <c r="L142" s="42"/>
      <c r="M142" s="42"/>
      <c r="N142" s="39" t="s">
        <v>27</v>
      </c>
      <c r="O142" s="39" t="s">
        <v>561</v>
      </c>
      <c r="P142" t="s">
        <v>745</v>
      </c>
      <c r="Q142" s="99">
        <v>100</v>
      </c>
      <c r="R142" s="99">
        <v>100</v>
      </c>
      <c r="S142" s="99">
        <v>100</v>
      </c>
      <c r="T142" s="99">
        <v>100</v>
      </c>
      <c r="U142" s="99">
        <v>100</v>
      </c>
      <c r="V142" s="99">
        <v>100</v>
      </c>
      <c r="W142" s="99">
        <v>100</v>
      </c>
      <c r="X142" s="99">
        <v>100</v>
      </c>
      <c r="Y142" s="99">
        <v>100</v>
      </c>
      <c r="Z142" s="99">
        <v>100</v>
      </c>
      <c r="AA142" s="99">
        <v>100</v>
      </c>
      <c r="AB142" s="99">
        <v>100</v>
      </c>
      <c r="AC142" s="99">
        <v>100</v>
      </c>
      <c r="AD142" s="99">
        <v>100</v>
      </c>
      <c r="AE142" s="99">
        <v>100</v>
      </c>
      <c r="AF142" s="99">
        <v>100</v>
      </c>
      <c r="AG142" s="99">
        <v>100</v>
      </c>
      <c r="AH142" s="99">
        <v>100</v>
      </c>
      <c r="AI142" s="99">
        <v>100</v>
      </c>
      <c r="AJ142" s="99">
        <v>100</v>
      </c>
      <c r="AK142" s="99">
        <v>100</v>
      </c>
      <c r="AL142" s="99">
        <v>100</v>
      </c>
      <c r="AM142" s="99">
        <v>100</v>
      </c>
      <c r="AN142" s="99">
        <v>100</v>
      </c>
    </row>
    <row r="143" spans="1:40" s="30" customFormat="1" ht="15.6">
      <c r="A143"/>
      <c r="B143" s="29"/>
      <c r="C143" s="44" t="s">
        <v>876</v>
      </c>
      <c r="D143" s="39" t="s">
        <v>27</v>
      </c>
      <c r="E143" s="39" t="s">
        <v>445</v>
      </c>
      <c r="F143" t="s">
        <v>746</v>
      </c>
      <c r="G143" s="41">
        <f>VLOOKUP(F143,'(3) Demographie &amp; Departements'!$G$8:$J$526,4,0)</f>
        <v>34308.229693456371</v>
      </c>
      <c r="H143" s="96">
        <f t="shared" si="8"/>
        <v>15781.785658989931</v>
      </c>
      <c r="I143" s="130">
        <f t="shared" si="9"/>
        <v>0.95</v>
      </c>
      <c r="J143" s="42">
        <f t="shared" si="10"/>
        <v>0.85</v>
      </c>
      <c r="K143" s="131">
        <f t="shared" si="11"/>
        <v>0.75</v>
      </c>
      <c r="L143" s="42"/>
      <c r="M143" s="42"/>
      <c r="N143" s="39" t="s">
        <v>27</v>
      </c>
      <c r="O143" s="39" t="s">
        <v>445</v>
      </c>
      <c r="P143" t="s">
        <v>746</v>
      </c>
      <c r="Q143" s="99">
        <v>98.404159245335194</v>
      </c>
      <c r="R143" s="99">
        <v>100</v>
      </c>
      <c r="S143" s="99">
        <v>100</v>
      </c>
      <c r="T143" s="99">
        <v>99.525860843474206</v>
      </c>
      <c r="U143" s="99">
        <v>99.933721966594206</v>
      </c>
      <c r="V143" s="99">
        <v>100</v>
      </c>
      <c r="W143" s="99">
        <v>96.844332004911493</v>
      </c>
      <c r="X143" s="99">
        <v>100</v>
      </c>
      <c r="Y143" s="99">
        <v>100</v>
      </c>
      <c r="Z143" s="99">
        <v>100</v>
      </c>
      <c r="AA143" s="99">
        <v>99.624490519463194</v>
      </c>
      <c r="AB143" s="99">
        <v>100</v>
      </c>
      <c r="AC143" s="99">
        <v>99.668362318032706</v>
      </c>
      <c r="AD143" s="99">
        <v>93.146369388809305</v>
      </c>
      <c r="AE143" s="99">
        <v>96.080800971016899</v>
      </c>
      <c r="AF143" s="99">
        <v>91.522490521029297</v>
      </c>
      <c r="AG143" s="99">
        <v>99.683120441531003</v>
      </c>
      <c r="AH143" s="99">
        <v>100</v>
      </c>
      <c r="AI143" s="99">
        <v>95.216642292221096</v>
      </c>
      <c r="AJ143" s="99">
        <v>97.082022675932294</v>
      </c>
      <c r="AK143" s="99">
        <v>100</v>
      </c>
      <c r="AL143" s="99">
        <v>100</v>
      </c>
      <c r="AM143" s="99">
        <v>100</v>
      </c>
      <c r="AN143" s="99">
        <v>99.403238193908905</v>
      </c>
    </row>
    <row r="144" spans="1:40" s="30" customFormat="1" ht="15.6">
      <c r="A144"/>
      <c r="B144" s="29"/>
      <c r="C144" s="44" t="s">
        <v>876</v>
      </c>
      <c r="D144" s="39" t="s">
        <v>27</v>
      </c>
      <c r="E144" s="39" t="s">
        <v>561</v>
      </c>
      <c r="F144" t="s">
        <v>747</v>
      </c>
      <c r="G144" s="41">
        <f>VLOOKUP(F144,'(3) Demographie &amp; Departements'!$G$8:$J$526,4,0)</f>
        <v>5202.0321975042043</v>
      </c>
      <c r="H144" s="96">
        <f t="shared" si="8"/>
        <v>2392.9348108519339</v>
      </c>
      <c r="I144" s="130">
        <f t="shared" si="9"/>
        <v>0.95</v>
      </c>
      <c r="J144" s="42">
        <f t="shared" si="10"/>
        <v>0.85</v>
      </c>
      <c r="K144" s="131">
        <f t="shared" si="11"/>
        <v>0.75</v>
      </c>
      <c r="L144" s="42"/>
      <c r="M144" s="42"/>
      <c r="N144" s="39" t="s">
        <v>27</v>
      </c>
      <c r="O144" s="39" t="s">
        <v>561</v>
      </c>
      <c r="P144" t="s">
        <v>747</v>
      </c>
      <c r="Q144" s="99">
        <v>100</v>
      </c>
      <c r="R144" s="99">
        <v>100</v>
      </c>
      <c r="S144" s="99">
        <v>100</v>
      </c>
      <c r="T144" s="99">
        <v>99.972644886346799</v>
      </c>
      <c r="U144" s="99">
        <v>100</v>
      </c>
      <c r="V144" s="99">
        <v>100</v>
      </c>
      <c r="W144" s="99">
        <v>100</v>
      </c>
      <c r="X144" s="99">
        <v>100</v>
      </c>
      <c r="Y144" s="99">
        <v>100</v>
      </c>
      <c r="Z144" s="99">
        <v>100</v>
      </c>
      <c r="AA144" s="99">
        <v>100</v>
      </c>
      <c r="AB144" s="99">
        <v>100</v>
      </c>
      <c r="AC144" s="99">
        <v>100</v>
      </c>
      <c r="AD144" s="99">
        <v>99.500299810031393</v>
      </c>
      <c r="AE144" s="99">
        <v>100</v>
      </c>
      <c r="AF144" s="99">
        <v>100</v>
      </c>
      <c r="AG144" s="99">
        <v>100</v>
      </c>
      <c r="AH144" s="99">
        <v>100</v>
      </c>
      <c r="AI144" s="99">
        <v>100</v>
      </c>
      <c r="AJ144" s="99">
        <v>100</v>
      </c>
      <c r="AK144" s="99">
        <v>100</v>
      </c>
      <c r="AL144" s="99">
        <v>100</v>
      </c>
      <c r="AM144" s="99">
        <v>100</v>
      </c>
      <c r="AN144" s="99">
        <v>100</v>
      </c>
    </row>
    <row r="145" spans="1:40" s="30" customFormat="1" ht="15.6">
      <c r="A145"/>
      <c r="B145" s="29"/>
      <c r="C145" s="44" t="s">
        <v>876</v>
      </c>
      <c r="D145" s="39" t="s">
        <v>26</v>
      </c>
      <c r="E145" s="39" t="s">
        <v>508</v>
      </c>
      <c r="F145" t="s">
        <v>652</v>
      </c>
      <c r="G145" s="41">
        <f>VLOOKUP(F145,'(3) Demographie &amp; Departements'!$G$8:$J$526,4,0)</f>
        <v>832370.94704761135</v>
      </c>
      <c r="H145" s="96">
        <f t="shared" si="8"/>
        <v>382890.63564190123</v>
      </c>
      <c r="I145" s="130">
        <f t="shared" si="9"/>
        <v>0.95</v>
      </c>
      <c r="J145" s="42">
        <f t="shared" si="10"/>
        <v>0.85</v>
      </c>
      <c r="K145" s="131">
        <f t="shared" si="11"/>
        <v>0.75</v>
      </c>
      <c r="L145" s="42"/>
      <c r="M145" s="42"/>
      <c r="N145" s="39" t="s">
        <v>26</v>
      </c>
      <c r="O145" s="39" t="s">
        <v>508</v>
      </c>
      <c r="P145" t="s">
        <v>652</v>
      </c>
      <c r="Q145" s="99">
        <v>78.668935171064206</v>
      </c>
      <c r="R145" s="99">
        <v>94.790445951880699</v>
      </c>
      <c r="S145" s="99">
        <v>83.0347752970481</v>
      </c>
      <c r="T145" s="99">
        <v>93.217633051233406</v>
      </c>
      <c r="U145" s="99">
        <v>69.413200947509594</v>
      </c>
      <c r="V145" s="99">
        <v>92.946487677023299</v>
      </c>
      <c r="W145" s="99">
        <v>91.984861274107104</v>
      </c>
      <c r="X145" s="99">
        <v>100</v>
      </c>
      <c r="Y145" s="99">
        <v>83.937739793813606</v>
      </c>
      <c r="Z145" s="99">
        <v>94.778513710293197</v>
      </c>
      <c r="AA145" s="99">
        <v>89.680787389107607</v>
      </c>
      <c r="AB145" s="99">
        <v>89.727059099709294</v>
      </c>
      <c r="AC145" s="99">
        <v>73.615927183104006</v>
      </c>
      <c r="AD145" s="99">
        <v>70.912355717104802</v>
      </c>
      <c r="AE145" s="99">
        <v>71.181377334132904</v>
      </c>
      <c r="AF145" s="99">
        <v>69.259981587057297</v>
      </c>
      <c r="AG145" s="99">
        <v>91.784252387325793</v>
      </c>
      <c r="AH145" s="99">
        <v>96.0296187519059</v>
      </c>
      <c r="AI145" s="99">
        <v>82.265667802492004</v>
      </c>
      <c r="AJ145" s="99">
        <v>72.453140177622501</v>
      </c>
      <c r="AK145" s="99">
        <v>100</v>
      </c>
      <c r="AL145" s="99">
        <v>100</v>
      </c>
      <c r="AM145" s="99">
        <v>96.079122757457299</v>
      </c>
      <c r="AN145" s="99">
        <v>84.620180151521396</v>
      </c>
    </row>
    <row r="146" spans="1:40" s="30" customFormat="1" ht="15.6">
      <c r="A146"/>
      <c r="B146" s="29"/>
      <c r="C146" s="44" t="s">
        <v>876</v>
      </c>
      <c r="D146" s="39" t="s">
        <v>27</v>
      </c>
      <c r="E146" s="39" t="s">
        <v>555</v>
      </c>
      <c r="F146" t="s">
        <v>748</v>
      </c>
      <c r="G146" s="41">
        <f>VLOOKUP(F146,'(3) Demographie &amp; Departements'!$G$8:$J$526,4,0)</f>
        <v>45494.152415742843</v>
      </c>
      <c r="H146" s="96">
        <f t="shared" si="8"/>
        <v>20927.31011124171</v>
      </c>
      <c r="I146" s="130">
        <f t="shared" si="9"/>
        <v>0.95</v>
      </c>
      <c r="J146" s="42">
        <f t="shared" si="10"/>
        <v>0.85</v>
      </c>
      <c r="K146" s="131">
        <f t="shared" si="11"/>
        <v>0.75</v>
      </c>
      <c r="L146" s="42"/>
      <c r="M146" s="42"/>
      <c r="N146" s="39" t="s">
        <v>27</v>
      </c>
      <c r="O146" s="39" t="s">
        <v>555</v>
      </c>
      <c r="P146" t="s">
        <v>748</v>
      </c>
      <c r="Q146" s="99">
        <v>80.952893053838494</v>
      </c>
      <c r="R146" s="99">
        <v>97.835187422578201</v>
      </c>
      <c r="S146" s="99">
        <v>76.727118743746601</v>
      </c>
      <c r="T146" s="99">
        <v>73.991441707796895</v>
      </c>
      <c r="U146" s="99">
        <v>84.884248997959105</v>
      </c>
      <c r="V146" s="99">
        <v>86.504163790233093</v>
      </c>
      <c r="W146" s="99">
        <v>77.004793919317095</v>
      </c>
      <c r="X146" s="99">
        <v>98.724287525850002</v>
      </c>
      <c r="Y146" s="99">
        <v>88.725096124136599</v>
      </c>
      <c r="Z146" s="99">
        <v>76.486337454815299</v>
      </c>
      <c r="AA146" s="99">
        <v>90.270120706671193</v>
      </c>
      <c r="AB146" s="99">
        <v>97.287779923787198</v>
      </c>
      <c r="AC146" s="99">
        <v>95.897617811019501</v>
      </c>
      <c r="AD146" s="99">
        <v>79.796842381164495</v>
      </c>
      <c r="AE146" s="99">
        <v>74.667676133009394</v>
      </c>
      <c r="AF146" s="99">
        <v>80.9766600680273</v>
      </c>
      <c r="AG146" s="99">
        <v>80.884784288427696</v>
      </c>
      <c r="AH146" s="99">
        <v>88.590286419552896</v>
      </c>
      <c r="AI146" s="99">
        <v>81.329988113779095</v>
      </c>
      <c r="AJ146" s="99">
        <v>85.7697566109251</v>
      </c>
      <c r="AK146" s="99">
        <v>88.332301170411398</v>
      </c>
      <c r="AL146" s="99">
        <v>99.781416988681997</v>
      </c>
      <c r="AM146" s="99">
        <v>99.837802396722694</v>
      </c>
      <c r="AN146" s="99">
        <v>86.1686858319338</v>
      </c>
    </row>
    <row r="147" spans="1:40" s="30" customFormat="1" ht="15.6">
      <c r="A147"/>
      <c r="B147" s="29"/>
      <c r="C147" s="44" t="s">
        <v>876</v>
      </c>
      <c r="D147" s="39" t="s">
        <v>27</v>
      </c>
      <c r="E147" s="39" t="s">
        <v>464</v>
      </c>
      <c r="F147" t="s">
        <v>749</v>
      </c>
      <c r="G147" s="41">
        <f>VLOOKUP(F147,'(3) Demographie &amp; Departements'!$G$8:$J$526,4,0)</f>
        <v>16369.009582496383</v>
      </c>
      <c r="H147" s="96">
        <f t="shared" si="8"/>
        <v>7529.7444079483366</v>
      </c>
      <c r="I147" s="130">
        <f t="shared" si="9"/>
        <v>0.95</v>
      </c>
      <c r="J147" s="42">
        <f t="shared" si="10"/>
        <v>0.85</v>
      </c>
      <c r="K147" s="131">
        <f t="shared" si="11"/>
        <v>0.75</v>
      </c>
      <c r="L147" s="42"/>
      <c r="M147" s="42"/>
      <c r="N147" s="39" t="s">
        <v>27</v>
      </c>
      <c r="O147" s="39" t="s">
        <v>464</v>
      </c>
      <c r="P147" t="s">
        <v>749</v>
      </c>
      <c r="Q147" s="99">
        <v>100</v>
      </c>
      <c r="R147" s="99">
        <v>100</v>
      </c>
      <c r="S147" s="99">
        <v>100</v>
      </c>
      <c r="T147" s="99">
        <v>93.927151434713096</v>
      </c>
      <c r="U147" s="99">
        <v>100</v>
      </c>
      <c r="V147" s="99">
        <v>100</v>
      </c>
      <c r="W147" s="99">
        <v>100</v>
      </c>
      <c r="X147" s="99">
        <v>100</v>
      </c>
      <c r="Y147" s="99">
        <v>100</v>
      </c>
      <c r="Z147" s="99">
        <v>100</v>
      </c>
      <c r="AA147" s="99">
        <v>100</v>
      </c>
      <c r="AB147" s="99">
        <v>100</v>
      </c>
      <c r="AC147" s="99">
        <v>100</v>
      </c>
      <c r="AD147" s="99">
        <v>93.939690585042399</v>
      </c>
      <c r="AE147" s="99">
        <v>95.691520327002706</v>
      </c>
      <c r="AF147" s="99">
        <v>99.004262019711405</v>
      </c>
      <c r="AG147" s="99">
        <v>100</v>
      </c>
      <c r="AH147" s="99">
        <v>100</v>
      </c>
      <c r="AI147" s="99">
        <v>100</v>
      </c>
      <c r="AJ147" s="99">
        <v>93.949217251492897</v>
      </c>
      <c r="AK147" s="99">
        <v>100</v>
      </c>
      <c r="AL147" s="99">
        <v>100</v>
      </c>
      <c r="AM147" s="99">
        <v>100</v>
      </c>
      <c r="AN147" s="99">
        <v>100</v>
      </c>
    </row>
    <row r="148" spans="1:40" s="30" customFormat="1" ht="15.6">
      <c r="A148"/>
      <c r="B148" s="29"/>
      <c r="C148" s="44" t="s">
        <v>876</v>
      </c>
      <c r="D148" s="39" t="s">
        <v>27</v>
      </c>
      <c r="E148" s="39" t="s">
        <v>172</v>
      </c>
      <c r="F148" t="s">
        <v>750</v>
      </c>
      <c r="G148" s="41">
        <f>VLOOKUP(F148,'(3) Demographie &amp; Departements'!$G$8:$J$526,4,0)</f>
        <v>10150.586196256778</v>
      </c>
      <c r="H148" s="96">
        <f t="shared" si="8"/>
        <v>4669.2696502781182</v>
      </c>
      <c r="I148" s="130">
        <f t="shared" si="9"/>
        <v>0.95</v>
      </c>
      <c r="J148" s="42">
        <f t="shared" si="10"/>
        <v>0.85</v>
      </c>
      <c r="K148" s="131">
        <f t="shared" si="11"/>
        <v>0.75</v>
      </c>
      <c r="L148" s="42"/>
      <c r="M148" s="42"/>
      <c r="N148" s="39" t="s">
        <v>27</v>
      </c>
      <c r="O148" s="39" t="s">
        <v>172</v>
      </c>
      <c r="P148" t="s">
        <v>750</v>
      </c>
      <c r="Q148" s="99">
        <v>100</v>
      </c>
      <c r="R148" s="99">
        <v>100</v>
      </c>
      <c r="S148" s="99">
        <v>100</v>
      </c>
      <c r="T148" s="99">
        <v>100</v>
      </c>
      <c r="U148" s="99">
        <v>100</v>
      </c>
      <c r="V148" s="99">
        <v>100</v>
      </c>
      <c r="W148" s="99">
        <v>100</v>
      </c>
      <c r="X148" s="99">
        <v>100</v>
      </c>
      <c r="Y148" s="99">
        <v>100</v>
      </c>
      <c r="Z148" s="99">
        <v>100</v>
      </c>
      <c r="AA148" s="99">
        <v>100</v>
      </c>
      <c r="AB148" s="99">
        <v>100</v>
      </c>
      <c r="AC148" s="99">
        <v>100</v>
      </c>
      <c r="AD148" s="99">
        <v>100</v>
      </c>
      <c r="AE148" s="99">
        <v>100</v>
      </c>
      <c r="AF148" s="99">
        <v>100</v>
      </c>
      <c r="AG148" s="99">
        <v>100</v>
      </c>
      <c r="AH148" s="99">
        <v>100</v>
      </c>
      <c r="AI148" s="99">
        <v>100</v>
      </c>
      <c r="AJ148" s="99">
        <v>100</v>
      </c>
      <c r="AK148" s="99">
        <v>100</v>
      </c>
      <c r="AL148" s="99">
        <v>100</v>
      </c>
      <c r="AM148" s="99">
        <v>100</v>
      </c>
      <c r="AN148" s="99">
        <v>100</v>
      </c>
    </row>
    <row r="149" spans="1:40" s="30" customFormat="1" ht="15.6">
      <c r="A149"/>
      <c r="B149" s="29"/>
      <c r="C149" s="44" t="s">
        <v>876</v>
      </c>
      <c r="D149" s="39" t="s">
        <v>27</v>
      </c>
      <c r="E149" s="39" t="s">
        <v>605</v>
      </c>
      <c r="F149" t="s">
        <v>751</v>
      </c>
      <c r="G149" s="41">
        <f>VLOOKUP(F149,'(3) Demographie &amp; Departements'!$G$8:$J$526,4,0)</f>
        <v>24550.074373649077</v>
      </c>
      <c r="H149" s="96">
        <f t="shared" si="8"/>
        <v>11293.034211878576</v>
      </c>
      <c r="I149" s="130">
        <f t="shared" si="9"/>
        <v>0.95</v>
      </c>
      <c r="J149" s="42">
        <f t="shared" si="10"/>
        <v>0.85</v>
      </c>
      <c r="K149" s="131">
        <f t="shared" si="11"/>
        <v>0.75</v>
      </c>
      <c r="L149" s="42"/>
      <c r="M149" s="42"/>
      <c r="N149" s="39" t="s">
        <v>27</v>
      </c>
      <c r="O149" s="39" t="s">
        <v>605</v>
      </c>
      <c r="P149" t="s">
        <v>751</v>
      </c>
      <c r="Q149" s="99">
        <v>83.810430427407297</v>
      </c>
      <c r="R149" s="99">
        <v>100</v>
      </c>
      <c r="S149" s="99">
        <v>96.005868245851602</v>
      </c>
      <c r="T149" s="99">
        <v>94.434175241307599</v>
      </c>
      <c r="U149" s="99">
        <v>91.532619932858793</v>
      </c>
      <c r="V149" s="99">
        <v>99.376579416488099</v>
      </c>
      <c r="W149" s="99">
        <v>87.605378089111795</v>
      </c>
      <c r="X149" s="99">
        <v>99.497767961323206</v>
      </c>
      <c r="Y149" s="99">
        <v>100</v>
      </c>
      <c r="Z149" s="99">
        <v>89.351118129858406</v>
      </c>
      <c r="AA149" s="99">
        <v>99.921645094700096</v>
      </c>
      <c r="AB149" s="99">
        <v>98.735457623985596</v>
      </c>
      <c r="AC149" s="99">
        <v>78.060410095759906</v>
      </c>
      <c r="AD149" s="99">
        <v>88.587958357786803</v>
      </c>
      <c r="AE149" s="99">
        <v>95.686550386951595</v>
      </c>
      <c r="AF149" s="99">
        <v>96.801120488684703</v>
      </c>
      <c r="AG149" s="99">
        <v>90.522189518701396</v>
      </c>
      <c r="AH149" s="99">
        <v>96.405235241233697</v>
      </c>
      <c r="AI149" s="99">
        <v>98.086249919620002</v>
      </c>
      <c r="AJ149" s="99">
        <v>95.204472216465405</v>
      </c>
      <c r="AK149" s="99">
        <v>100</v>
      </c>
      <c r="AL149" s="99">
        <v>97.850665089218396</v>
      </c>
      <c r="AM149" s="99">
        <v>99.912463024645305</v>
      </c>
      <c r="AN149" s="99">
        <v>85.200782430520206</v>
      </c>
    </row>
    <row r="150" spans="1:40" s="30" customFormat="1" ht="15.6">
      <c r="A150"/>
      <c r="B150" s="29"/>
      <c r="C150" s="44" t="s">
        <v>876</v>
      </c>
      <c r="D150" s="39" t="s">
        <v>27</v>
      </c>
      <c r="E150" s="39" t="s">
        <v>605</v>
      </c>
      <c r="F150" s="91" t="s">
        <v>752</v>
      </c>
      <c r="G150" s="41">
        <f>VLOOKUP(F150,'(3) Demographie &amp; Departements'!$G$8:$J$526,4,0)</f>
        <v>94882.942031823215</v>
      </c>
      <c r="H150" s="96">
        <f t="shared" si="8"/>
        <v>43646.153334638679</v>
      </c>
      <c r="I150" s="130">
        <f t="shared" si="9"/>
        <v>0.95</v>
      </c>
      <c r="J150" s="42">
        <f t="shared" si="10"/>
        <v>0.85</v>
      </c>
      <c r="K150" s="131">
        <f t="shared" si="11"/>
        <v>0.75</v>
      </c>
      <c r="L150" s="42"/>
      <c r="M150" s="42"/>
      <c r="N150" s="39" t="s">
        <v>27</v>
      </c>
      <c r="O150" s="39" t="s">
        <v>605</v>
      </c>
      <c r="P150" s="91" t="s">
        <v>752</v>
      </c>
      <c r="Q150" s="99">
        <v>86.965647433651</v>
      </c>
      <c r="R150" s="99">
        <v>100</v>
      </c>
      <c r="S150" s="99">
        <v>95.368364007884693</v>
      </c>
      <c r="T150" s="99">
        <v>96.9298653777753</v>
      </c>
      <c r="U150" s="99">
        <v>96.496636301731002</v>
      </c>
      <c r="V150" s="99">
        <v>99.409717002547296</v>
      </c>
      <c r="W150" s="99">
        <v>91.623300596544993</v>
      </c>
      <c r="X150" s="99">
        <v>99.999175037392305</v>
      </c>
      <c r="Y150" s="99">
        <v>100</v>
      </c>
      <c r="Z150" s="99">
        <v>94.223971942537602</v>
      </c>
      <c r="AA150" s="99">
        <v>99.991795736770896</v>
      </c>
      <c r="AB150" s="99">
        <v>98.646864376373102</v>
      </c>
      <c r="AC150" s="99">
        <v>78.501053163333907</v>
      </c>
      <c r="AD150" s="99">
        <v>92.129346434487303</v>
      </c>
      <c r="AE150" s="99">
        <v>91.021022053436795</v>
      </c>
      <c r="AF150" s="99">
        <v>99.392659898569406</v>
      </c>
      <c r="AG150" s="99">
        <v>86.177874848423002</v>
      </c>
      <c r="AH150" s="99">
        <v>96.216152704551106</v>
      </c>
      <c r="AI150" s="99">
        <v>99.931768906068896</v>
      </c>
      <c r="AJ150" s="99">
        <v>96.937024441925203</v>
      </c>
      <c r="AK150" s="99">
        <v>100</v>
      </c>
      <c r="AL150" s="99">
        <v>99.846831659914898</v>
      </c>
      <c r="AM150" s="99">
        <v>100</v>
      </c>
      <c r="AN150" s="99">
        <v>90.495190859115795</v>
      </c>
    </row>
    <row r="151" spans="1:40" s="30" customFormat="1" ht="15.6">
      <c r="A151"/>
      <c r="B151" s="29"/>
      <c r="C151" s="44" t="s">
        <v>876</v>
      </c>
      <c r="D151" s="39" t="s">
        <v>27</v>
      </c>
      <c r="E151" s="39" t="s">
        <v>484</v>
      </c>
      <c r="F151" t="s">
        <v>753</v>
      </c>
      <c r="G151" s="41">
        <f>VLOOKUP(F151,'(3) Demographie &amp; Departements'!$G$8:$J$526,4,0)</f>
        <v>92792.382517196194</v>
      </c>
      <c r="H151" s="96">
        <f t="shared" si="8"/>
        <v>42684.495957910251</v>
      </c>
      <c r="I151" s="130">
        <f t="shared" si="9"/>
        <v>0.95</v>
      </c>
      <c r="J151" s="42">
        <f t="shared" si="10"/>
        <v>0.85</v>
      </c>
      <c r="K151" s="131">
        <f t="shared" si="11"/>
        <v>0.75</v>
      </c>
      <c r="L151" s="42"/>
      <c r="M151" s="42"/>
      <c r="N151" s="39" t="s">
        <v>27</v>
      </c>
      <c r="O151" s="39" t="s">
        <v>484</v>
      </c>
      <c r="P151" t="s">
        <v>753</v>
      </c>
      <c r="Q151" s="99">
        <v>100</v>
      </c>
      <c r="R151" s="99">
        <v>100</v>
      </c>
      <c r="S151" s="99">
        <v>100</v>
      </c>
      <c r="T151" s="99">
        <v>100</v>
      </c>
      <c r="U151" s="99">
        <v>100</v>
      </c>
      <c r="V151" s="99">
        <v>100</v>
      </c>
      <c r="W151" s="99">
        <v>100</v>
      </c>
      <c r="X151" s="99">
        <v>100</v>
      </c>
      <c r="Y151" s="99">
        <v>100</v>
      </c>
      <c r="Z151" s="99">
        <v>100</v>
      </c>
      <c r="AA151" s="99">
        <v>100</v>
      </c>
      <c r="AB151" s="99">
        <v>100</v>
      </c>
      <c r="AC151" s="99">
        <v>100</v>
      </c>
      <c r="AD151" s="99">
        <v>98.200991070665097</v>
      </c>
      <c r="AE151" s="99">
        <v>99.577624629431199</v>
      </c>
      <c r="AF151" s="99">
        <v>100</v>
      </c>
      <c r="AG151" s="99">
        <v>100</v>
      </c>
      <c r="AH151" s="99">
        <v>100</v>
      </c>
      <c r="AI151" s="99">
        <v>100</v>
      </c>
      <c r="AJ151" s="99">
        <v>100</v>
      </c>
      <c r="AK151" s="99">
        <v>100</v>
      </c>
      <c r="AL151" s="99">
        <v>100</v>
      </c>
      <c r="AM151" s="99">
        <v>100</v>
      </c>
      <c r="AN151" s="99">
        <v>100</v>
      </c>
    </row>
    <row r="152" spans="1:40" s="30" customFormat="1" ht="15.6">
      <c r="A152"/>
      <c r="B152" s="29"/>
      <c r="C152" s="44" t="s">
        <v>876</v>
      </c>
      <c r="D152" s="39" t="s">
        <v>27</v>
      </c>
      <c r="E152" s="39" t="s">
        <v>494</v>
      </c>
      <c r="F152" t="s">
        <v>754</v>
      </c>
      <c r="G152" s="41">
        <f>VLOOKUP(F152,'(3) Demographie &amp; Departements'!$G$8:$J$526,4,0)</f>
        <v>5228.9670243760311</v>
      </c>
      <c r="H152" s="96">
        <f t="shared" si="8"/>
        <v>2405.3248312129745</v>
      </c>
      <c r="I152" s="130">
        <f t="shared" si="9"/>
        <v>0.95</v>
      </c>
      <c r="J152" s="42">
        <f t="shared" si="10"/>
        <v>0.85</v>
      </c>
      <c r="K152" s="131">
        <f t="shared" si="11"/>
        <v>0.75</v>
      </c>
      <c r="L152" s="42"/>
      <c r="M152" s="42"/>
      <c r="N152" s="39" t="s">
        <v>27</v>
      </c>
      <c r="O152" s="39" t="s">
        <v>494</v>
      </c>
      <c r="P152" t="s">
        <v>754</v>
      </c>
      <c r="Q152" s="99">
        <v>99.946486457734906</v>
      </c>
      <c r="R152" s="99">
        <v>100</v>
      </c>
      <c r="S152" s="99">
        <v>100</v>
      </c>
      <c r="T152" s="99">
        <v>97.116379361079296</v>
      </c>
      <c r="U152" s="99">
        <v>100</v>
      </c>
      <c r="V152" s="99">
        <v>100</v>
      </c>
      <c r="W152" s="99">
        <v>100</v>
      </c>
      <c r="X152" s="99">
        <v>100</v>
      </c>
      <c r="Y152" s="99">
        <v>100</v>
      </c>
      <c r="Z152" s="99">
        <v>100</v>
      </c>
      <c r="AA152" s="99">
        <v>100</v>
      </c>
      <c r="AB152" s="99">
        <v>100</v>
      </c>
      <c r="AC152" s="99">
        <v>99.9786605991643</v>
      </c>
      <c r="AD152" s="99">
        <v>97.515391818390697</v>
      </c>
      <c r="AE152" s="99">
        <v>99.893505743052799</v>
      </c>
      <c r="AF152" s="99">
        <v>99.224600779073398</v>
      </c>
      <c r="AG152" s="99">
        <v>100</v>
      </c>
      <c r="AH152" s="99">
        <v>100</v>
      </c>
      <c r="AI152" s="99">
        <v>99.429921738104198</v>
      </c>
      <c r="AJ152" s="99">
        <v>99.931446190632499</v>
      </c>
      <c r="AK152" s="99">
        <v>99.989960090028006</v>
      </c>
      <c r="AL152" s="99">
        <v>100</v>
      </c>
      <c r="AM152" s="99">
        <v>100</v>
      </c>
      <c r="AN152" s="99">
        <v>100</v>
      </c>
    </row>
    <row r="153" spans="1:40" s="30" customFormat="1" ht="15.6">
      <c r="A153"/>
      <c r="B153" s="29"/>
      <c r="C153" s="44" t="s">
        <v>876</v>
      </c>
      <c r="D153" s="39" t="s">
        <v>27</v>
      </c>
      <c r="E153" s="39" t="s">
        <v>517</v>
      </c>
      <c r="F153" t="s">
        <v>755</v>
      </c>
      <c r="G153" s="41">
        <f>VLOOKUP(F153,'(3) Demographie &amp; Departements'!$G$8:$J$526,4,0)</f>
        <v>78634.260875563836</v>
      </c>
      <c r="H153" s="96">
        <f t="shared" si="8"/>
        <v>36171.760002759365</v>
      </c>
      <c r="I153" s="130">
        <f t="shared" si="9"/>
        <v>0.95</v>
      </c>
      <c r="J153" s="42">
        <f t="shared" si="10"/>
        <v>0.85</v>
      </c>
      <c r="K153" s="131">
        <f t="shared" si="11"/>
        <v>0.75</v>
      </c>
      <c r="L153" s="42"/>
      <c r="M153" s="42"/>
      <c r="N153" s="39" t="s">
        <v>27</v>
      </c>
      <c r="O153" s="39" t="s">
        <v>517</v>
      </c>
      <c r="P153" t="s">
        <v>755</v>
      </c>
      <c r="Q153" s="99">
        <v>83.727113152564996</v>
      </c>
      <c r="R153" s="99">
        <v>97.673122758776501</v>
      </c>
      <c r="S153" s="99">
        <v>90.431497322709205</v>
      </c>
      <c r="T153" s="99">
        <v>53.1014530792757</v>
      </c>
      <c r="U153" s="99">
        <v>81.287944538105293</v>
      </c>
      <c r="V153" s="99">
        <v>89.505055931389805</v>
      </c>
      <c r="W153" s="99">
        <v>89.377006809245302</v>
      </c>
      <c r="X153" s="99">
        <v>100</v>
      </c>
      <c r="Y153" s="99">
        <v>96.161722444206703</v>
      </c>
      <c r="Z153" s="99">
        <v>96.175167227513299</v>
      </c>
      <c r="AA153" s="99">
        <v>98.149103354090201</v>
      </c>
      <c r="AB153" s="99">
        <v>94.875690159832999</v>
      </c>
      <c r="AC153" s="99">
        <v>76.988520812320999</v>
      </c>
      <c r="AD153" s="99">
        <v>77.495376053386096</v>
      </c>
      <c r="AE153" s="99">
        <v>80.387407203738405</v>
      </c>
      <c r="AF153" s="99">
        <v>69.104383221305397</v>
      </c>
      <c r="AG153" s="99">
        <v>96.193432653656899</v>
      </c>
      <c r="AH153" s="99">
        <v>92.116932021352298</v>
      </c>
      <c r="AI153" s="99">
        <v>94.610461031678</v>
      </c>
      <c r="AJ153" s="99">
        <v>80.742126884654397</v>
      </c>
      <c r="AK153" s="99">
        <v>99.893534251219705</v>
      </c>
      <c r="AL153" s="99">
        <v>98.2061111870606</v>
      </c>
      <c r="AM153" s="99">
        <v>98.657062167019006</v>
      </c>
      <c r="AN153" s="99">
        <v>79.176431160494005</v>
      </c>
    </row>
    <row r="154" spans="1:40" s="30" customFormat="1" ht="15.6">
      <c r="A154"/>
      <c r="B154" s="29"/>
      <c r="C154" s="44" t="s">
        <v>876</v>
      </c>
      <c r="D154" s="39" t="s">
        <v>27</v>
      </c>
      <c r="E154" s="39" t="s">
        <v>417</v>
      </c>
      <c r="F154" t="s">
        <v>756</v>
      </c>
      <c r="G154" s="41">
        <f>VLOOKUP(F154,'(3) Demographie &amp; Departements'!$G$8:$J$526,4,0)</f>
        <v>36745.794384736189</v>
      </c>
      <c r="H154" s="96">
        <f t="shared" si="8"/>
        <v>16903.065416978647</v>
      </c>
      <c r="I154" s="130">
        <f t="shared" si="9"/>
        <v>0.95</v>
      </c>
      <c r="J154" s="42">
        <f t="shared" si="10"/>
        <v>0.85</v>
      </c>
      <c r="K154" s="131">
        <f t="shared" si="11"/>
        <v>0.75</v>
      </c>
      <c r="L154" s="42"/>
      <c r="M154" s="42"/>
      <c r="N154" s="39" t="s">
        <v>27</v>
      </c>
      <c r="O154" s="39" t="s">
        <v>417</v>
      </c>
      <c r="P154" t="s">
        <v>756</v>
      </c>
      <c r="Q154" s="99">
        <v>86.932041094639501</v>
      </c>
      <c r="R154" s="99">
        <v>100</v>
      </c>
      <c r="S154" s="99">
        <v>100</v>
      </c>
      <c r="T154" s="99">
        <v>87.657237034889107</v>
      </c>
      <c r="U154" s="99">
        <v>90.077060352933401</v>
      </c>
      <c r="V154" s="99">
        <v>99.084401771812495</v>
      </c>
      <c r="W154" s="99">
        <v>93.673399750355401</v>
      </c>
      <c r="X154" s="99">
        <v>100</v>
      </c>
      <c r="Y154" s="99">
        <v>92.938230056503201</v>
      </c>
      <c r="Z154" s="99">
        <v>88.001056621670202</v>
      </c>
      <c r="AA154" s="99">
        <v>83.828166340128206</v>
      </c>
      <c r="AB154" s="99">
        <v>100</v>
      </c>
      <c r="AC154" s="99">
        <v>92.426059016906905</v>
      </c>
      <c r="AD154" s="99">
        <v>86.998526678173207</v>
      </c>
      <c r="AE154" s="99">
        <v>94.526279024146802</v>
      </c>
      <c r="AF154" s="99">
        <v>74.894451808454207</v>
      </c>
      <c r="AG154" s="99">
        <v>87.323972320043495</v>
      </c>
      <c r="AH154" s="99">
        <v>100</v>
      </c>
      <c r="AI154" s="99">
        <v>94.363947755587304</v>
      </c>
      <c r="AJ154" s="99">
        <v>81.472747889934396</v>
      </c>
      <c r="AK154" s="99">
        <v>100</v>
      </c>
      <c r="AL154" s="99">
        <v>98.592323014655904</v>
      </c>
      <c r="AM154" s="99">
        <v>100</v>
      </c>
      <c r="AN154" s="99">
        <v>100</v>
      </c>
    </row>
    <row r="155" spans="1:40" s="30" customFormat="1" ht="15.6">
      <c r="A155"/>
      <c r="B155" s="29"/>
      <c r="C155" s="44" t="s">
        <v>876</v>
      </c>
      <c r="D155" s="39" t="s">
        <v>27</v>
      </c>
      <c r="E155" s="39" t="s">
        <v>609</v>
      </c>
      <c r="F155" t="s">
        <v>757</v>
      </c>
      <c r="G155" s="41">
        <f>VLOOKUP(F155,'(3) Demographie &amp; Departements'!$G$8:$J$526,4,0)</f>
        <v>13501.712774117206</v>
      </c>
      <c r="H155" s="96">
        <f t="shared" si="8"/>
        <v>6210.7878760939147</v>
      </c>
      <c r="I155" s="130">
        <f t="shared" si="9"/>
        <v>0.95</v>
      </c>
      <c r="J155" s="42">
        <f t="shared" si="10"/>
        <v>0.85</v>
      </c>
      <c r="K155" s="131">
        <f t="shared" si="11"/>
        <v>0.75</v>
      </c>
      <c r="L155" s="42"/>
      <c r="M155" s="42"/>
      <c r="N155" s="39" t="s">
        <v>27</v>
      </c>
      <c r="O155" s="39" t="s">
        <v>609</v>
      </c>
      <c r="P155" t="s">
        <v>757</v>
      </c>
      <c r="Q155" s="99">
        <v>90.534238294074399</v>
      </c>
      <c r="R155" s="99">
        <v>100</v>
      </c>
      <c r="S155" s="99">
        <v>100</v>
      </c>
      <c r="T155" s="99">
        <v>100</v>
      </c>
      <c r="U155" s="99">
        <v>96.363945896901598</v>
      </c>
      <c r="V155" s="99">
        <v>100</v>
      </c>
      <c r="W155" s="99">
        <v>92.552750142921994</v>
      </c>
      <c r="X155" s="99">
        <v>100</v>
      </c>
      <c r="Y155" s="99">
        <v>100</v>
      </c>
      <c r="Z155" s="99">
        <v>96.407617913208796</v>
      </c>
      <c r="AA155" s="99">
        <v>100</v>
      </c>
      <c r="AB155" s="99">
        <v>100</v>
      </c>
      <c r="AC155" s="99">
        <v>81.083838582734501</v>
      </c>
      <c r="AD155" s="99">
        <v>92.618052968870501</v>
      </c>
      <c r="AE155" s="99">
        <v>100</v>
      </c>
      <c r="AF155" s="99">
        <v>100</v>
      </c>
      <c r="AG155" s="99">
        <v>99.246155391193298</v>
      </c>
      <c r="AH155" s="99">
        <v>100</v>
      </c>
      <c r="AI155" s="99">
        <v>100</v>
      </c>
      <c r="AJ155" s="99">
        <v>100</v>
      </c>
      <c r="AK155" s="99">
        <v>100</v>
      </c>
      <c r="AL155" s="99">
        <v>100</v>
      </c>
      <c r="AM155" s="99">
        <v>100</v>
      </c>
      <c r="AN155" s="99">
        <v>95.157365722085203</v>
      </c>
    </row>
    <row r="156" spans="1:40" s="30" customFormat="1" ht="15.6">
      <c r="A156"/>
      <c r="B156" s="29"/>
      <c r="C156" s="44" t="s">
        <v>876</v>
      </c>
      <c r="D156" s="39" t="s">
        <v>27</v>
      </c>
      <c r="E156" s="39" t="s">
        <v>448</v>
      </c>
      <c r="F156" t="s">
        <v>758</v>
      </c>
      <c r="G156" s="41">
        <f>VLOOKUP(F156,'(3) Demographie &amp; Departements'!$G$8:$J$526,4,0)</f>
        <v>8703.0645896480128</v>
      </c>
      <c r="H156" s="96">
        <f t="shared" si="8"/>
        <v>4003.4097112380859</v>
      </c>
      <c r="I156" s="130">
        <f t="shared" si="9"/>
        <v>0.95</v>
      </c>
      <c r="J156" s="42">
        <f t="shared" si="10"/>
        <v>0.85</v>
      </c>
      <c r="K156" s="131">
        <f t="shared" si="11"/>
        <v>0.75</v>
      </c>
      <c r="L156" s="42"/>
      <c r="M156" s="42"/>
      <c r="N156" s="39" t="s">
        <v>27</v>
      </c>
      <c r="O156" s="39" t="s">
        <v>448</v>
      </c>
      <c r="P156" t="s">
        <v>758</v>
      </c>
      <c r="Q156" s="99">
        <v>100</v>
      </c>
      <c r="R156" s="99">
        <v>100</v>
      </c>
      <c r="S156" s="99">
        <v>100</v>
      </c>
      <c r="T156" s="99">
        <v>100</v>
      </c>
      <c r="U156" s="99">
        <v>100</v>
      </c>
      <c r="V156" s="99">
        <v>100</v>
      </c>
      <c r="W156" s="99">
        <v>100</v>
      </c>
      <c r="X156" s="99">
        <v>100</v>
      </c>
      <c r="Y156" s="99">
        <v>100</v>
      </c>
      <c r="Z156" s="99">
        <v>100</v>
      </c>
      <c r="AA156" s="99">
        <v>100</v>
      </c>
      <c r="AB156" s="99">
        <v>100</v>
      </c>
      <c r="AC156" s="99">
        <v>100</v>
      </c>
      <c r="AD156" s="99">
        <v>100</v>
      </c>
      <c r="AE156" s="99">
        <v>100</v>
      </c>
      <c r="AF156" s="99">
        <v>100</v>
      </c>
      <c r="AG156" s="99">
        <v>100</v>
      </c>
      <c r="AH156" s="99">
        <v>100</v>
      </c>
      <c r="AI156" s="99">
        <v>100</v>
      </c>
      <c r="AJ156" s="99">
        <v>100</v>
      </c>
      <c r="AK156" s="99">
        <v>100</v>
      </c>
      <c r="AL156" s="99">
        <v>100</v>
      </c>
      <c r="AM156" s="99">
        <v>100</v>
      </c>
      <c r="AN156" s="99">
        <v>100</v>
      </c>
    </row>
    <row r="157" spans="1:40" s="30" customFormat="1" ht="15.6">
      <c r="A157"/>
      <c r="B157" s="29"/>
      <c r="C157" s="44" t="s">
        <v>876</v>
      </c>
      <c r="D157" s="39" t="s">
        <v>27</v>
      </c>
      <c r="E157" s="39" t="s">
        <v>551</v>
      </c>
      <c r="F157" t="s">
        <v>759</v>
      </c>
      <c r="G157" s="41">
        <f>VLOOKUP(F157,'(3) Demographie &amp; Departements'!$G$8:$J$526,4,0)</f>
        <v>61526.668583679544</v>
      </c>
      <c r="H157" s="96">
        <f t="shared" si="8"/>
        <v>28302.267548492593</v>
      </c>
      <c r="I157" s="130">
        <f t="shared" si="9"/>
        <v>0.95</v>
      </c>
      <c r="J157" s="42">
        <f t="shared" si="10"/>
        <v>0.85</v>
      </c>
      <c r="K157" s="131">
        <f t="shared" si="11"/>
        <v>0.75</v>
      </c>
      <c r="L157" s="42"/>
      <c r="M157" s="42"/>
      <c r="N157" s="39" t="s">
        <v>27</v>
      </c>
      <c r="O157" s="39" t="s">
        <v>551</v>
      </c>
      <c r="P157" t="s">
        <v>759</v>
      </c>
      <c r="Q157" s="99">
        <v>90.265799820959003</v>
      </c>
      <c r="R157" s="99">
        <v>100</v>
      </c>
      <c r="S157" s="99">
        <v>91.628815364092702</v>
      </c>
      <c r="T157" s="99">
        <v>79.567838867035505</v>
      </c>
      <c r="U157" s="99">
        <v>99.983239990881302</v>
      </c>
      <c r="V157" s="99">
        <v>90.087255229287393</v>
      </c>
      <c r="W157" s="99">
        <v>86.626371652362806</v>
      </c>
      <c r="X157" s="99">
        <v>100</v>
      </c>
      <c r="Y157" s="99">
        <v>90.500949065751399</v>
      </c>
      <c r="Z157" s="99">
        <v>85.190305030234299</v>
      </c>
      <c r="AA157" s="99">
        <v>98.2784675302604</v>
      </c>
      <c r="AB157" s="99">
        <v>99.960384261618998</v>
      </c>
      <c r="AC157" s="99">
        <v>99.992336164261005</v>
      </c>
      <c r="AD157" s="99">
        <v>82.573717631565202</v>
      </c>
      <c r="AE157" s="99">
        <v>75.397806236814205</v>
      </c>
      <c r="AF157" s="99">
        <v>87.846990798598497</v>
      </c>
      <c r="AG157" s="99">
        <v>89.497421661828596</v>
      </c>
      <c r="AH157" s="99">
        <v>95.410339908020703</v>
      </c>
      <c r="AI157" s="99">
        <v>86.417579287837498</v>
      </c>
      <c r="AJ157" s="99">
        <v>85.673314192305</v>
      </c>
      <c r="AK157" s="99">
        <v>90.850472418094995</v>
      </c>
      <c r="AL157" s="99">
        <v>100</v>
      </c>
      <c r="AM157" s="99">
        <v>94.332630687547393</v>
      </c>
      <c r="AN157" s="99">
        <v>92.677227712625097</v>
      </c>
    </row>
    <row r="158" spans="1:40" s="30" customFormat="1" ht="15.6">
      <c r="A158"/>
      <c r="B158" s="29"/>
      <c r="C158" s="44" t="s">
        <v>876</v>
      </c>
      <c r="D158" s="39" t="s">
        <v>27</v>
      </c>
      <c r="E158" s="39" t="s">
        <v>551</v>
      </c>
      <c r="F158" t="s">
        <v>760</v>
      </c>
      <c r="G158" s="41">
        <f>VLOOKUP(F158,'(3) Demographie &amp; Departements'!$G$8:$J$526,4,0)</f>
        <v>57619.324263936658</v>
      </c>
      <c r="H158" s="96">
        <f t="shared" si="8"/>
        <v>26504.889161410865</v>
      </c>
      <c r="I158" s="130">
        <f t="shared" si="9"/>
        <v>0.95</v>
      </c>
      <c r="J158" s="42">
        <f t="shared" si="10"/>
        <v>0.85</v>
      </c>
      <c r="K158" s="131">
        <f t="shared" si="11"/>
        <v>0.75</v>
      </c>
      <c r="L158" s="42"/>
      <c r="M158" s="42"/>
      <c r="N158" s="39" t="s">
        <v>27</v>
      </c>
      <c r="O158" s="39" t="s">
        <v>551</v>
      </c>
      <c r="P158" t="s">
        <v>760</v>
      </c>
      <c r="Q158" s="99">
        <v>89.071645408281398</v>
      </c>
      <c r="R158" s="99">
        <v>100</v>
      </c>
      <c r="S158" s="99">
        <v>89.032995369809001</v>
      </c>
      <c r="T158" s="99">
        <v>77.747594925237905</v>
      </c>
      <c r="U158" s="99">
        <v>95.860996725347505</v>
      </c>
      <c r="V158" s="99">
        <v>93.418756584269204</v>
      </c>
      <c r="W158" s="99">
        <v>83.860118890148001</v>
      </c>
      <c r="X158" s="99">
        <v>100</v>
      </c>
      <c r="Y158" s="99">
        <v>89.972427229075805</v>
      </c>
      <c r="Z158" s="99">
        <v>77.161109935841694</v>
      </c>
      <c r="AA158" s="99">
        <v>98.480300750175303</v>
      </c>
      <c r="AB158" s="99">
        <v>100</v>
      </c>
      <c r="AC158" s="99">
        <v>99.983007026699994</v>
      </c>
      <c r="AD158" s="99">
        <v>81.782347854512295</v>
      </c>
      <c r="AE158" s="99">
        <v>74.656992242248805</v>
      </c>
      <c r="AF158" s="99">
        <v>84.979860665439105</v>
      </c>
      <c r="AG158" s="99">
        <v>87.426832840173802</v>
      </c>
      <c r="AH158" s="99">
        <v>92.7593995108043</v>
      </c>
      <c r="AI158" s="99">
        <v>86.165109267372202</v>
      </c>
      <c r="AJ158" s="99">
        <v>84.039020221692297</v>
      </c>
      <c r="AK158" s="99">
        <v>87.712904779176398</v>
      </c>
      <c r="AL158" s="99">
        <v>99.109004965594593</v>
      </c>
      <c r="AM158" s="99">
        <v>92.289910506268399</v>
      </c>
      <c r="AN158" s="99">
        <v>86.412441916070904</v>
      </c>
    </row>
    <row r="159" spans="1:40" s="30" customFormat="1" ht="15.6">
      <c r="A159"/>
      <c r="B159" s="29"/>
      <c r="C159" s="44" t="s">
        <v>876</v>
      </c>
      <c r="D159" s="39" t="s">
        <v>27</v>
      </c>
      <c r="E159" s="39" t="s">
        <v>479</v>
      </c>
      <c r="F159" t="s">
        <v>761</v>
      </c>
      <c r="G159" s="41">
        <f>VLOOKUP(F159,'(3) Demographie &amp; Departements'!$G$8:$J$526,4,0)</f>
        <v>85334.492653996655</v>
      </c>
      <c r="H159" s="96">
        <f t="shared" si="8"/>
        <v>39253.86662083846</v>
      </c>
      <c r="I159" s="130">
        <f t="shared" si="9"/>
        <v>0.95</v>
      </c>
      <c r="J159" s="42">
        <f t="shared" si="10"/>
        <v>0.85</v>
      </c>
      <c r="K159" s="131">
        <f t="shared" si="11"/>
        <v>0.75</v>
      </c>
      <c r="L159" s="42"/>
      <c r="M159" s="42"/>
      <c r="N159" s="39" t="s">
        <v>27</v>
      </c>
      <c r="O159" s="39" t="s">
        <v>479</v>
      </c>
      <c r="P159" t="s">
        <v>761</v>
      </c>
      <c r="Q159" s="99">
        <v>100</v>
      </c>
      <c r="R159" s="99">
        <v>100</v>
      </c>
      <c r="S159" s="99">
        <v>100</v>
      </c>
      <c r="T159" s="99">
        <v>97.389460029381993</v>
      </c>
      <c r="U159" s="99">
        <v>100</v>
      </c>
      <c r="V159" s="99">
        <v>100</v>
      </c>
      <c r="W159" s="99">
        <v>100</v>
      </c>
      <c r="X159" s="99">
        <v>100</v>
      </c>
      <c r="Y159" s="99">
        <v>98.481699723326201</v>
      </c>
      <c r="Z159" s="99">
        <v>100</v>
      </c>
      <c r="AA159" s="99">
        <v>100</v>
      </c>
      <c r="AB159" s="99">
        <v>100</v>
      </c>
      <c r="AC159" s="99">
        <v>100</v>
      </c>
      <c r="AD159" s="99">
        <v>97.869744094339694</v>
      </c>
      <c r="AE159" s="99">
        <v>99.264964869023203</v>
      </c>
      <c r="AF159" s="99">
        <v>99.480913283229896</v>
      </c>
      <c r="AG159" s="99">
        <v>99.510397820585197</v>
      </c>
      <c r="AH159" s="99">
        <v>100</v>
      </c>
      <c r="AI159" s="99">
        <v>99.426147587125499</v>
      </c>
      <c r="AJ159" s="99">
        <v>92.150425596123597</v>
      </c>
      <c r="AK159" s="99">
        <v>100</v>
      </c>
      <c r="AL159" s="99">
        <v>100</v>
      </c>
      <c r="AM159" s="99">
        <v>100</v>
      </c>
      <c r="AN159" s="99">
        <v>100</v>
      </c>
    </row>
    <row r="160" spans="1:40" s="30" customFormat="1" ht="15.6">
      <c r="A160"/>
      <c r="B160" s="29"/>
      <c r="C160" s="44" t="s">
        <v>876</v>
      </c>
      <c r="D160" s="39" t="s">
        <v>27</v>
      </c>
      <c r="E160" s="39" t="s">
        <v>445</v>
      </c>
      <c r="F160" t="s">
        <v>762</v>
      </c>
      <c r="G160" s="41">
        <f>VLOOKUP(F160,'(3) Demographie &amp; Departements'!$G$8:$J$526,4,0)</f>
        <v>47934.940527973144</v>
      </c>
      <c r="H160" s="96">
        <f t="shared" si="8"/>
        <v>22050.072642867646</v>
      </c>
      <c r="I160" s="130">
        <f t="shared" si="9"/>
        <v>0.95</v>
      </c>
      <c r="J160" s="42">
        <f t="shared" si="10"/>
        <v>0.85</v>
      </c>
      <c r="K160" s="131">
        <f t="shared" si="11"/>
        <v>0.75</v>
      </c>
      <c r="L160" s="42"/>
      <c r="M160" s="42"/>
      <c r="N160" s="39" t="s">
        <v>27</v>
      </c>
      <c r="O160" s="39" t="s">
        <v>445</v>
      </c>
      <c r="P160" t="s">
        <v>762</v>
      </c>
      <c r="Q160" s="99">
        <v>99.962163382332903</v>
      </c>
      <c r="R160" s="99">
        <v>100</v>
      </c>
      <c r="S160" s="99">
        <v>99.743172833752396</v>
      </c>
      <c r="T160" s="99">
        <v>99.565176934527202</v>
      </c>
      <c r="U160" s="99">
        <v>99.854926167762599</v>
      </c>
      <c r="V160" s="99">
        <v>99.971521504815399</v>
      </c>
      <c r="W160" s="99">
        <v>99.202795753646896</v>
      </c>
      <c r="X160" s="99">
        <v>100</v>
      </c>
      <c r="Y160" s="99">
        <v>99.945925196338905</v>
      </c>
      <c r="Z160" s="99">
        <v>99.625143148090501</v>
      </c>
      <c r="AA160" s="99">
        <v>99.823288227861894</v>
      </c>
      <c r="AB160" s="99">
        <v>100</v>
      </c>
      <c r="AC160" s="99">
        <v>100</v>
      </c>
      <c r="AD160" s="99">
        <v>96.066688024223097</v>
      </c>
      <c r="AE160" s="99">
        <v>98.392409594782805</v>
      </c>
      <c r="AF160" s="99">
        <v>99.082140215766103</v>
      </c>
      <c r="AG160" s="99">
        <v>99.619795411617105</v>
      </c>
      <c r="AH160" s="99">
        <v>99.9540539131971</v>
      </c>
      <c r="AI160" s="99">
        <v>99.362832836171705</v>
      </c>
      <c r="AJ160" s="99">
        <v>98.437529660724394</v>
      </c>
      <c r="AK160" s="99">
        <v>99.693480699243096</v>
      </c>
      <c r="AL160" s="99">
        <v>100</v>
      </c>
      <c r="AM160" s="99">
        <v>100</v>
      </c>
      <c r="AN160" s="99">
        <v>99.652412326454396</v>
      </c>
    </row>
    <row r="161" spans="1:40" s="30" customFormat="1" ht="15.6">
      <c r="A161"/>
      <c r="B161" s="29"/>
      <c r="C161" s="44" t="s">
        <v>876</v>
      </c>
      <c r="D161" s="39" t="s">
        <v>27</v>
      </c>
      <c r="E161" s="39" t="s">
        <v>572</v>
      </c>
      <c r="F161" t="s">
        <v>763</v>
      </c>
      <c r="G161" s="41">
        <f>VLOOKUP(F161,'(3) Demographie &amp; Departements'!$G$8:$J$526,4,0)</f>
        <v>6374.8523524113361</v>
      </c>
      <c r="H161" s="96">
        <f t="shared" si="8"/>
        <v>2932.4320821092147</v>
      </c>
      <c r="I161" s="130">
        <f t="shared" si="9"/>
        <v>0.95</v>
      </c>
      <c r="J161" s="42">
        <f t="shared" si="10"/>
        <v>0.85</v>
      </c>
      <c r="K161" s="131">
        <f t="shared" si="11"/>
        <v>0.75</v>
      </c>
      <c r="L161" s="42"/>
      <c r="M161" s="42"/>
      <c r="N161" s="39" t="s">
        <v>27</v>
      </c>
      <c r="O161" s="39" t="s">
        <v>572</v>
      </c>
      <c r="P161" t="s">
        <v>763</v>
      </c>
      <c r="Q161" s="99">
        <v>100</v>
      </c>
      <c r="R161" s="99">
        <v>100</v>
      </c>
      <c r="S161" s="99">
        <v>100</v>
      </c>
      <c r="T161" s="99">
        <v>100</v>
      </c>
      <c r="U161" s="99">
        <v>100</v>
      </c>
      <c r="V161" s="99">
        <v>100</v>
      </c>
      <c r="W161" s="99">
        <v>99.187853514809206</v>
      </c>
      <c r="X161" s="99">
        <v>100</v>
      </c>
      <c r="Y161" s="99">
        <v>99.496862817466706</v>
      </c>
      <c r="Z161" s="99">
        <v>100</v>
      </c>
      <c r="AA161" s="99">
        <v>100</v>
      </c>
      <c r="AB161" s="99">
        <v>100</v>
      </c>
      <c r="AC161" s="99">
        <v>100</v>
      </c>
      <c r="AD161" s="99">
        <v>97.866120950809901</v>
      </c>
      <c r="AE161" s="99">
        <v>100</v>
      </c>
      <c r="AF161" s="99">
        <v>99.901243993691807</v>
      </c>
      <c r="AG161" s="99">
        <v>100</v>
      </c>
      <c r="AH161" s="99">
        <v>100</v>
      </c>
      <c r="AI161" s="99">
        <v>100</v>
      </c>
      <c r="AJ161" s="99">
        <v>100</v>
      </c>
      <c r="AK161" s="99">
        <v>100</v>
      </c>
      <c r="AL161" s="99">
        <v>100</v>
      </c>
      <c r="AM161" s="99">
        <v>100</v>
      </c>
      <c r="AN161" s="99">
        <v>100</v>
      </c>
    </row>
    <row r="162" spans="1:40" s="30" customFormat="1" ht="15.6">
      <c r="A162"/>
      <c r="B162" s="29"/>
      <c r="C162" s="44" t="s">
        <v>876</v>
      </c>
      <c r="D162" s="39" t="s">
        <v>27</v>
      </c>
      <c r="E162" s="39" t="s">
        <v>172</v>
      </c>
      <c r="F162" t="s">
        <v>764</v>
      </c>
      <c r="G162" s="41">
        <f>VLOOKUP(F162,'(3) Demographie &amp; Departements'!$G$8:$J$526,4,0)</f>
        <v>20284.568028006302</v>
      </c>
      <c r="H162" s="96">
        <f t="shared" si="8"/>
        <v>9330.9012928828997</v>
      </c>
      <c r="I162" s="130">
        <f t="shared" si="9"/>
        <v>0.95</v>
      </c>
      <c r="J162" s="42">
        <f t="shared" si="10"/>
        <v>0.85</v>
      </c>
      <c r="K162" s="131">
        <f t="shared" si="11"/>
        <v>0.75</v>
      </c>
      <c r="L162" s="42"/>
      <c r="M162" s="42"/>
      <c r="N162" s="39" t="s">
        <v>27</v>
      </c>
      <c r="O162" s="39" t="s">
        <v>172</v>
      </c>
      <c r="P162" t="s">
        <v>764</v>
      </c>
      <c r="Q162" s="99">
        <v>100</v>
      </c>
      <c r="R162" s="99">
        <v>100</v>
      </c>
      <c r="S162" s="99">
        <v>100</v>
      </c>
      <c r="T162" s="99">
        <v>100</v>
      </c>
      <c r="U162" s="99">
        <v>100</v>
      </c>
      <c r="V162" s="99">
        <v>100</v>
      </c>
      <c r="W162" s="99">
        <v>99.9113874168861</v>
      </c>
      <c r="X162" s="99">
        <v>100</v>
      </c>
      <c r="Y162" s="99">
        <v>100</v>
      </c>
      <c r="Z162" s="99">
        <v>100</v>
      </c>
      <c r="AA162" s="99">
        <v>100</v>
      </c>
      <c r="AB162" s="99">
        <v>100</v>
      </c>
      <c r="AC162" s="99">
        <v>100</v>
      </c>
      <c r="AD162" s="99">
        <v>99.536571467447601</v>
      </c>
      <c r="AE162" s="99">
        <v>100</v>
      </c>
      <c r="AF162" s="99">
        <v>100</v>
      </c>
      <c r="AG162" s="99">
        <v>100</v>
      </c>
      <c r="AH162" s="99">
        <v>100</v>
      </c>
      <c r="AI162" s="99">
        <v>100</v>
      </c>
      <c r="AJ162" s="99">
        <v>100</v>
      </c>
      <c r="AK162" s="99">
        <v>100</v>
      </c>
      <c r="AL162" s="99">
        <v>100</v>
      </c>
      <c r="AM162" s="99">
        <v>100</v>
      </c>
      <c r="AN162" s="99">
        <v>100</v>
      </c>
    </row>
    <row r="163" spans="1:40" s="30" customFormat="1" ht="15.6">
      <c r="A163"/>
      <c r="B163" s="29"/>
      <c r="C163" s="44" t="s">
        <v>876</v>
      </c>
      <c r="D163" s="39" t="s">
        <v>27</v>
      </c>
      <c r="E163" s="39" t="s">
        <v>537</v>
      </c>
      <c r="F163" t="s">
        <v>765</v>
      </c>
      <c r="G163" s="41">
        <f>VLOOKUP(F163,'(3) Demographie &amp; Departements'!$G$8:$J$526,4,0)</f>
        <v>22483.870252849363</v>
      </c>
      <c r="H163" s="96">
        <f t="shared" si="8"/>
        <v>10342.580316310707</v>
      </c>
      <c r="I163" s="130">
        <f t="shared" si="9"/>
        <v>0.95</v>
      </c>
      <c r="J163" s="42">
        <f t="shared" si="10"/>
        <v>0.85</v>
      </c>
      <c r="K163" s="131">
        <f t="shared" si="11"/>
        <v>0.75</v>
      </c>
      <c r="L163" s="42"/>
      <c r="M163" s="42"/>
      <c r="N163" s="39" t="s">
        <v>27</v>
      </c>
      <c r="O163" s="39" t="s">
        <v>537</v>
      </c>
      <c r="P163" t="s">
        <v>765</v>
      </c>
      <c r="Q163" s="99">
        <v>100</v>
      </c>
      <c r="R163" s="99">
        <v>100</v>
      </c>
      <c r="S163" s="99">
        <v>100</v>
      </c>
      <c r="T163" s="99">
        <v>99.889182896525199</v>
      </c>
      <c r="U163" s="99">
        <v>100</v>
      </c>
      <c r="V163" s="99">
        <v>100</v>
      </c>
      <c r="W163" s="99">
        <v>99.503666389189306</v>
      </c>
      <c r="X163" s="99">
        <v>100</v>
      </c>
      <c r="Y163" s="99">
        <v>100</v>
      </c>
      <c r="Z163" s="99">
        <v>100</v>
      </c>
      <c r="AA163" s="99">
        <v>100</v>
      </c>
      <c r="AB163" s="99">
        <v>100</v>
      </c>
      <c r="AC163" s="99">
        <v>100</v>
      </c>
      <c r="AD163" s="99">
        <v>98.079572589188601</v>
      </c>
      <c r="AE163" s="99">
        <v>99.809597623414305</v>
      </c>
      <c r="AF163" s="99">
        <v>100</v>
      </c>
      <c r="AG163" s="99">
        <v>100</v>
      </c>
      <c r="AH163" s="99">
        <v>100</v>
      </c>
      <c r="AI163" s="99">
        <v>100</v>
      </c>
      <c r="AJ163" s="99">
        <v>100</v>
      </c>
      <c r="AK163" s="99">
        <v>100</v>
      </c>
      <c r="AL163" s="99">
        <v>100</v>
      </c>
      <c r="AM163" s="99">
        <v>100</v>
      </c>
      <c r="AN163" s="99">
        <v>100</v>
      </c>
    </row>
    <row r="164" spans="1:40" s="30" customFormat="1" ht="15.6">
      <c r="A164"/>
      <c r="B164" s="29"/>
      <c r="C164" s="44" t="s">
        <v>876</v>
      </c>
      <c r="D164" s="39" t="s">
        <v>27</v>
      </c>
      <c r="E164" s="39" t="s">
        <v>609</v>
      </c>
      <c r="F164" t="s">
        <v>766</v>
      </c>
      <c r="G164" s="41">
        <f>VLOOKUP(F164,'(3) Demographie &amp; Departements'!$G$8:$J$526,4,0)</f>
        <v>48225.085400490658</v>
      </c>
      <c r="H164" s="96">
        <f t="shared" si="8"/>
        <v>22183.539284225702</v>
      </c>
      <c r="I164" s="130">
        <f t="shared" si="9"/>
        <v>0.95</v>
      </c>
      <c r="J164" s="42">
        <f t="shared" si="10"/>
        <v>0.85</v>
      </c>
      <c r="K164" s="131">
        <f t="shared" si="11"/>
        <v>0.75</v>
      </c>
      <c r="L164" s="42"/>
      <c r="M164" s="42"/>
      <c r="N164" s="39" t="s">
        <v>27</v>
      </c>
      <c r="O164" s="39" t="s">
        <v>609</v>
      </c>
      <c r="P164" t="s">
        <v>766</v>
      </c>
      <c r="Q164" s="99">
        <v>92.769283873805307</v>
      </c>
      <c r="R164" s="99">
        <v>100</v>
      </c>
      <c r="S164" s="99">
        <v>99.448262831673205</v>
      </c>
      <c r="T164" s="99">
        <v>99.459316245877702</v>
      </c>
      <c r="U164" s="99">
        <v>94.344796803934699</v>
      </c>
      <c r="V164" s="99">
        <v>99.766428313498594</v>
      </c>
      <c r="W164" s="99">
        <v>92.575724351270097</v>
      </c>
      <c r="X164" s="99">
        <v>99.907064735524102</v>
      </c>
      <c r="Y164" s="99">
        <v>100</v>
      </c>
      <c r="Z164" s="99">
        <v>98.592977151014694</v>
      </c>
      <c r="AA164" s="99">
        <v>99.860550044934598</v>
      </c>
      <c r="AB164" s="99">
        <v>99.948077731802798</v>
      </c>
      <c r="AC164" s="99">
        <v>84.664972963930495</v>
      </c>
      <c r="AD164" s="99">
        <v>95.7547054803875</v>
      </c>
      <c r="AE164" s="99">
        <v>99.675695291777103</v>
      </c>
      <c r="AF164" s="99">
        <v>99.082068376368895</v>
      </c>
      <c r="AG164" s="99">
        <v>98.936252922109205</v>
      </c>
      <c r="AH164" s="99">
        <v>99.466686141556394</v>
      </c>
      <c r="AI164" s="99">
        <v>99.662466166792797</v>
      </c>
      <c r="AJ164" s="99">
        <v>95.140241036353203</v>
      </c>
      <c r="AK164" s="99">
        <v>100</v>
      </c>
      <c r="AL164" s="99">
        <v>99.553296473678003</v>
      </c>
      <c r="AM164" s="99">
        <v>99.962967666009405</v>
      </c>
      <c r="AN164" s="99">
        <v>96.335567796359697</v>
      </c>
    </row>
    <row r="165" spans="1:40" s="30" customFormat="1" ht="15.6">
      <c r="A165"/>
      <c r="B165" s="29"/>
      <c r="C165" s="44" t="s">
        <v>876</v>
      </c>
      <c r="D165" s="39" t="s">
        <v>27</v>
      </c>
      <c r="E165" s="39" t="s">
        <v>542</v>
      </c>
      <c r="F165" t="s">
        <v>767</v>
      </c>
      <c r="G165" s="41">
        <f>VLOOKUP(F165,'(3) Demographie &amp; Departements'!$G$8:$J$526,4,0)</f>
        <v>9996.3257904249112</v>
      </c>
      <c r="H165" s="96">
        <f t="shared" si="8"/>
        <v>4598.3098635954593</v>
      </c>
      <c r="I165" s="130">
        <f t="shared" si="9"/>
        <v>0.95</v>
      </c>
      <c r="J165" s="42">
        <f t="shared" si="10"/>
        <v>0.85</v>
      </c>
      <c r="K165" s="131">
        <f t="shared" si="11"/>
        <v>0.75</v>
      </c>
      <c r="L165" s="42"/>
      <c r="M165" s="42"/>
      <c r="N165" s="39" t="s">
        <v>27</v>
      </c>
      <c r="O165" s="39" t="s">
        <v>542</v>
      </c>
      <c r="P165" t="s">
        <v>767</v>
      </c>
      <c r="Q165" s="99">
        <v>92.5689763541953</v>
      </c>
      <c r="R165" s="99">
        <v>100</v>
      </c>
      <c r="S165" s="99">
        <v>98.234269878993999</v>
      </c>
      <c r="T165" s="99">
        <v>88.300277435906295</v>
      </c>
      <c r="U165" s="99">
        <v>97.473869898489198</v>
      </c>
      <c r="V165" s="99">
        <v>99.016477164298294</v>
      </c>
      <c r="W165" s="99">
        <v>88.609153822094001</v>
      </c>
      <c r="X165" s="99">
        <v>100</v>
      </c>
      <c r="Y165" s="99">
        <v>96.827110625049301</v>
      </c>
      <c r="Z165" s="99">
        <v>84.267250590508198</v>
      </c>
      <c r="AA165" s="99">
        <v>87.2286468944326</v>
      </c>
      <c r="AB165" s="99">
        <v>100</v>
      </c>
      <c r="AC165" s="99">
        <v>97.691266765252607</v>
      </c>
      <c r="AD165" s="99">
        <v>89.056251154387894</v>
      </c>
      <c r="AE165" s="99">
        <v>87.966299066568794</v>
      </c>
      <c r="AF165" s="99">
        <v>76.823914643805495</v>
      </c>
      <c r="AG165" s="99">
        <v>92.5628295994903</v>
      </c>
      <c r="AH165" s="99">
        <v>98.831830839318201</v>
      </c>
      <c r="AI165" s="99">
        <v>95.457752708798196</v>
      </c>
      <c r="AJ165" s="99">
        <v>94.466280586265995</v>
      </c>
      <c r="AK165" s="99">
        <v>99.773019306321999</v>
      </c>
      <c r="AL165" s="99">
        <v>99.581591772943796</v>
      </c>
      <c r="AM165" s="99">
        <v>100</v>
      </c>
      <c r="AN165" s="99">
        <v>93.796928829592304</v>
      </c>
    </row>
    <row r="166" spans="1:40" s="30" customFormat="1" ht="15.6">
      <c r="A166"/>
      <c r="B166" s="29"/>
      <c r="C166" s="44" t="s">
        <v>876</v>
      </c>
      <c r="D166" s="39" t="s">
        <v>27</v>
      </c>
      <c r="E166" s="39" t="s">
        <v>537</v>
      </c>
      <c r="F166" t="s">
        <v>768</v>
      </c>
      <c r="G166" s="41">
        <f>VLOOKUP(F166,'(3) Demographie &amp; Departements'!$G$8:$J$526,4,0)</f>
        <v>34552.04163794982</v>
      </c>
      <c r="H166" s="96">
        <f t="shared" si="8"/>
        <v>15893.939153456919</v>
      </c>
      <c r="I166" s="130">
        <f t="shared" si="9"/>
        <v>0.95</v>
      </c>
      <c r="J166" s="42">
        <f t="shared" si="10"/>
        <v>0.85</v>
      </c>
      <c r="K166" s="131">
        <f t="shared" si="11"/>
        <v>0.75</v>
      </c>
      <c r="L166" s="42"/>
      <c r="M166" s="42"/>
      <c r="N166" s="39" t="s">
        <v>27</v>
      </c>
      <c r="O166" s="39" t="s">
        <v>537</v>
      </c>
      <c r="P166" t="s">
        <v>768</v>
      </c>
      <c r="Q166" s="99">
        <v>99.407503953461301</v>
      </c>
      <c r="R166" s="99">
        <v>100</v>
      </c>
      <c r="S166" s="99">
        <v>99.101510520947301</v>
      </c>
      <c r="T166" s="99">
        <v>98.153190062664393</v>
      </c>
      <c r="U166" s="99">
        <v>99.984534298268898</v>
      </c>
      <c r="V166" s="99">
        <v>99.326038681564498</v>
      </c>
      <c r="W166" s="99">
        <v>96.375164646631404</v>
      </c>
      <c r="X166" s="99">
        <v>100</v>
      </c>
      <c r="Y166" s="99">
        <v>99.071182364389003</v>
      </c>
      <c r="Z166" s="99">
        <v>98.517878109632207</v>
      </c>
      <c r="AA166" s="99">
        <v>99.728351668210493</v>
      </c>
      <c r="AB166" s="99">
        <v>100</v>
      </c>
      <c r="AC166" s="99">
        <v>100</v>
      </c>
      <c r="AD166" s="99">
        <v>96.020486188156994</v>
      </c>
      <c r="AE166" s="99">
        <v>89.376007893814403</v>
      </c>
      <c r="AF166" s="99">
        <v>98.732335473102694</v>
      </c>
      <c r="AG166" s="99">
        <v>99.339498323074906</v>
      </c>
      <c r="AH166" s="99">
        <v>99.621083381220799</v>
      </c>
      <c r="AI166" s="99">
        <v>98.830770194559307</v>
      </c>
      <c r="AJ166" s="99">
        <v>98.554454431962498</v>
      </c>
      <c r="AK166" s="99">
        <v>99.206102675226106</v>
      </c>
      <c r="AL166" s="99">
        <v>100</v>
      </c>
      <c r="AM166" s="99">
        <v>99.316687707746198</v>
      </c>
      <c r="AN166" s="99">
        <v>99.135436888933299</v>
      </c>
    </row>
    <row r="167" spans="1:40" s="30" customFormat="1" ht="15.6">
      <c r="A167"/>
      <c r="B167" s="29"/>
      <c r="C167" s="44" t="s">
        <v>876</v>
      </c>
      <c r="D167" s="39" t="s">
        <v>26</v>
      </c>
      <c r="E167" s="39" t="s">
        <v>251</v>
      </c>
      <c r="F167" t="s">
        <v>665</v>
      </c>
      <c r="G167" s="41">
        <f>VLOOKUP(F167,'(3) Demographie &amp; Departements'!$G$8:$J$526,4,0)</f>
        <v>17163.118506425028</v>
      </c>
      <c r="H167" s="96">
        <f t="shared" si="8"/>
        <v>7895.0345129555126</v>
      </c>
      <c r="I167" s="130">
        <f t="shared" si="9"/>
        <v>0.95</v>
      </c>
      <c r="J167" s="42">
        <f t="shared" si="10"/>
        <v>0.85</v>
      </c>
      <c r="K167" s="131">
        <f t="shared" si="11"/>
        <v>0.75</v>
      </c>
      <c r="L167" s="42"/>
      <c r="M167" s="42"/>
      <c r="N167" s="39" t="s">
        <v>26</v>
      </c>
      <c r="O167" s="39" t="s">
        <v>251</v>
      </c>
      <c r="P167" t="s">
        <v>665</v>
      </c>
      <c r="Q167" s="99">
        <v>75.901375233390993</v>
      </c>
      <c r="R167" s="99">
        <v>94.547948775994996</v>
      </c>
      <c r="S167" s="99">
        <v>84.298915358037306</v>
      </c>
      <c r="T167" s="99">
        <v>87.056425941690705</v>
      </c>
      <c r="U167" s="99">
        <v>71.886836004236599</v>
      </c>
      <c r="V167" s="99">
        <v>89.804746871805804</v>
      </c>
      <c r="W167" s="99">
        <v>88.283804826540205</v>
      </c>
      <c r="X167" s="99">
        <v>100</v>
      </c>
      <c r="Y167" s="99">
        <v>89.613972940219398</v>
      </c>
      <c r="Z167" s="99">
        <v>100</v>
      </c>
      <c r="AA167" s="99">
        <v>98.746420717466407</v>
      </c>
      <c r="AB167" s="99">
        <v>95.697413175673105</v>
      </c>
      <c r="AC167" s="99">
        <v>80.981606450199607</v>
      </c>
      <c r="AD167" s="99">
        <v>75.928186005245294</v>
      </c>
      <c r="AE167" s="99">
        <v>71.676313761854999</v>
      </c>
      <c r="AF167" s="99">
        <v>59.2322680693838</v>
      </c>
      <c r="AG167" s="99">
        <v>100</v>
      </c>
      <c r="AH167" s="99">
        <v>88.562796659220098</v>
      </c>
      <c r="AI167" s="99">
        <v>89.269612349035398</v>
      </c>
      <c r="AJ167" s="99">
        <v>78.166847974652299</v>
      </c>
      <c r="AK167" s="99">
        <v>100</v>
      </c>
      <c r="AL167" s="99">
        <v>95.909981189055998</v>
      </c>
      <c r="AM167" s="99">
        <v>99.374465187271596</v>
      </c>
      <c r="AN167" s="99">
        <v>85.411689245893996</v>
      </c>
    </row>
    <row r="168" spans="1:40" s="30" customFormat="1" ht="15.6">
      <c r="A168"/>
      <c r="B168" s="29"/>
      <c r="C168" s="44" t="s">
        <v>876</v>
      </c>
      <c r="D168" s="39" t="s">
        <v>27</v>
      </c>
      <c r="E168" s="39" t="s">
        <v>169</v>
      </c>
      <c r="F168" t="s">
        <v>769</v>
      </c>
      <c r="G168" s="41">
        <f>VLOOKUP(F168,'(3) Demographie &amp; Departements'!$G$8:$J$526,4,0)</f>
        <v>7462.1546246539783</v>
      </c>
      <c r="H168" s="96">
        <f t="shared" si="8"/>
        <v>3432.5911273408301</v>
      </c>
      <c r="I168" s="130">
        <f t="shared" si="9"/>
        <v>0.95</v>
      </c>
      <c r="J168" s="42">
        <f t="shared" si="10"/>
        <v>0.85</v>
      </c>
      <c r="K168" s="131">
        <f t="shared" si="11"/>
        <v>0.75</v>
      </c>
      <c r="L168" s="42"/>
      <c r="M168" s="42"/>
      <c r="N168" s="39" t="s">
        <v>27</v>
      </c>
      <c r="O168" s="39" t="s">
        <v>169</v>
      </c>
      <c r="P168" t="s">
        <v>769</v>
      </c>
      <c r="Q168" s="99">
        <v>100</v>
      </c>
      <c r="R168" s="99">
        <v>100</v>
      </c>
      <c r="S168" s="99">
        <v>100</v>
      </c>
      <c r="T168" s="99">
        <v>100</v>
      </c>
      <c r="U168" s="99">
        <v>100</v>
      </c>
      <c r="V168" s="99">
        <v>100</v>
      </c>
      <c r="W168" s="99">
        <v>100</v>
      </c>
      <c r="X168" s="99">
        <v>100</v>
      </c>
      <c r="Y168" s="99">
        <v>100</v>
      </c>
      <c r="Z168" s="99">
        <v>100</v>
      </c>
      <c r="AA168" s="99">
        <v>100</v>
      </c>
      <c r="AB168" s="99">
        <v>100</v>
      </c>
      <c r="AC168" s="99">
        <v>100</v>
      </c>
      <c r="AD168" s="99">
        <v>99.884688033714696</v>
      </c>
      <c r="AE168" s="99">
        <v>99.988740198181802</v>
      </c>
      <c r="AF168" s="99">
        <v>100</v>
      </c>
      <c r="AG168" s="99">
        <v>100</v>
      </c>
      <c r="AH168" s="99">
        <v>100</v>
      </c>
      <c r="AI168" s="99">
        <v>100</v>
      </c>
      <c r="AJ168" s="99">
        <v>100</v>
      </c>
      <c r="AK168" s="99">
        <v>100</v>
      </c>
      <c r="AL168" s="99">
        <v>100</v>
      </c>
      <c r="AM168" s="99">
        <v>100</v>
      </c>
      <c r="AN168" s="99">
        <v>100</v>
      </c>
    </row>
    <row r="169" spans="1:40" s="30" customFormat="1" ht="15.6">
      <c r="A169"/>
      <c r="B169" s="29"/>
      <c r="C169" s="44" t="s">
        <v>876</v>
      </c>
      <c r="D169" s="39" t="s">
        <v>27</v>
      </c>
      <c r="E169" s="39" t="s">
        <v>472</v>
      </c>
      <c r="F169" t="s">
        <v>770</v>
      </c>
      <c r="G169" s="41">
        <f>VLOOKUP(F169,'(3) Demographie &amp; Departements'!$G$8:$J$526,4,0)</f>
        <v>160267.04286711197</v>
      </c>
      <c r="H169" s="96">
        <f t="shared" si="8"/>
        <v>73722.839718871517</v>
      </c>
      <c r="I169" s="130">
        <f t="shared" si="9"/>
        <v>0.95</v>
      </c>
      <c r="J169" s="42">
        <f t="shared" si="10"/>
        <v>0.85</v>
      </c>
      <c r="K169" s="131">
        <f t="shared" si="11"/>
        <v>0.75</v>
      </c>
      <c r="L169" s="42"/>
      <c r="M169" s="42"/>
      <c r="N169" s="39" t="s">
        <v>27</v>
      </c>
      <c r="O169" s="39" t="s">
        <v>472</v>
      </c>
      <c r="P169" t="s">
        <v>770</v>
      </c>
      <c r="Q169" s="99">
        <v>100</v>
      </c>
      <c r="R169" s="99">
        <v>100</v>
      </c>
      <c r="S169" s="99">
        <v>99.953814188248501</v>
      </c>
      <c r="T169" s="99">
        <v>97.875358080040797</v>
      </c>
      <c r="U169" s="99">
        <v>99.990041460751698</v>
      </c>
      <c r="V169" s="99">
        <v>100</v>
      </c>
      <c r="W169" s="99">
        <v>99.997998462876893</v>
      </c>
      <c r="X169" s="99">
        <v>100</v>
      </c>
      <c r="Y169" s="99">
        <v>98.769247409289406</v>
      </c>
      <c r="Z169" s="99">
        <v>99.765867479171803</v>
      </c>
      <c r="AA169" s="99">
        <v>100</v>
      </c>
      <c r="AB169" s="99">
        <v>100</v>
      </c>
      <c r="AC169" s="99">
        <v>100</v>
      </c>
      <c r="AD169" s="99">
        <v>97.171676109816801</v>
      </c>
      <c r="AE169" s="99">
        <v>99.490451451729896</v>
      </c>
      <c r="AF169" s="99">
        <v>98.662686066212302</v>
      </c>
      <c r="AG169" s="99">
        <v>96.312941445564505</v>
      </c>
      <c r="AH169" s="99">
        <v>99.961182245598394</v>
      </c>
      <c r="AI169" s="99">
        <v>99.288163305174606</v>
      </c>
      <c r="AJ169" s="99">
        <v>90.290280833137501</v>
      </c>
      <c r="AK169" s="99">
        <v>99.897211925147303</v>
      </c>
      <c r="AL169" s="99">
        <v>100</v>
      </c>
      <c r="AM169" s="99">
        <v>100</v>
      </c>
      <c r="AN169" s="99">
        <v>99.975461460505898</v>
      </c>
    </row>
    <row r="170" spans="1:40" s="30" customFormat="1" ht="15.6">
      <c r="A170"/>
      <c r="B170" s="29"/>
      <c r="C170" s="44" t="s">
        <v>876</v>
      </c>
      <c r="D170" s="39" t="s">
        <v>27</v>
      </c>
      <c r="E170" s="39" t="s">
        <v>517</v>
      </c>
      <c r="F170" t="s">
        <v>771</v>
      </c>
      <c r="G170" s="41">
        <f>VLOOKUP(F170,'(3) Demographie &amp; Departements'!$G$8:$J$526,4,0)</f>
        <v>29021.657013080232</v>
      </c>
      <c r="H170" s="96">
        <f t="shared" si="8"/>
        <v>13349.962226016907</v>
      </c>
      <c r="I170" s="130">
        <f t="shared" si="9"/>
        <v>0.95</v>
      </c>
      <c r="J170" s="42">
        <f t="shared" si="10"/>
        <v>0.85</v>
      </c>
      <c r="K170" s="131">
        <f t="shared" si="11"/>
        <v>0.75</v>
      </c>
      <c r="L170" s="42"/>
      <c r="M170" s="42"/>
      <c r="N170" s="39" t="s">
        <v>27</v>
      </c>
      <c r="O170" s="39" t="s">
        <v>517</v>
      </c>
      <c r="P170" t="s">
        <v>771</v>
      </c>
      <c r="Q170" s="99">
        <v>94.595309178061001</v>
      </c>
      <c r="R170" s="99">
        <v>99.876300575298103</v>
      </c>
      <c r="S170" s="99">
        <v>98.394948009788294</v>
      </c>
      <c r="T170" s="99">
        <v>80.942804055310006</v>
      </c>
      <c r="U170" s="99">
        <v>96.978207209634405</v>
      </c>
      <c r="V170" s="99">
        <v>99.035477149228896</v>
      </c>
      <c r="W170" s="99">
        <v>91.744682829971595</v>
      </c>
      <c r="X170" s="99">
        <v>100</v>
      </c>
      <c r="Y170" s="99">
        <v>99.9968119254643</v>
      </c>
      <c r="Z170" s="99">
        <v>96.473387222083304</v>
      </c>
      <c r="AA170" s="99">
        <v>99.905623603021297</v>
      </c>
      <c r="AB170" s="99">
        <v>99.651607743849496</v>
      </c>
      <c r="AC170" s="99">
        <v>93.803355077686902</v>
      </c>
      <c r="AD170" s="99">
        <v>86.035318806896299</v>
      </c>
      <c r="AE170" s="99">
        <v>94.691306540480596</v>
      </c>
      <c r="AF170" s="99">
        <v>85.107024546587397</v>
      </c>
      <c r="AG170" s="99">
        <v>95.121429306752901</v>
      </c>
      <c r="AH170" s="99">
        <v>98.483874185312303</v>
      </c>
      <c r="AI170" s="99">
        <v>97.558015959861507</v>
      </c>
      <c r="AJ170" s="99">
        <v>86.077679475449202</v>
      </c>
      <c r="AK170" s="99">
        <v>99.752672839158194</v>
      </c>
      <c r="AL170" s="99">
        <v>99.910562619606196</v>
      </c>
      <c r="AM170" s="99">
        <v>99.926554264729504</v>
      </c>
      <c r="AN170" s="99">
        <v>88.078312939749495</v>
      </c>
    </row>
    <row r="171" spans="1:40" s="30" customFormat="1" ht="15.6">
      <c r="A171"/>
      <c r="B171" s="29"/>
      <c r="C171" s="44" t="s">
        <v>876</v>
      </c>
      <c r="D171" s="39" t="s">
        <v>27</v>
      </c>
      <c r="E171" s="39" t="s">
        <v>572</v>
      </c>
      <c r="F171" t="s">
        <v>772</v>
      </c>
      <c r="G171" s="41">
        <f>VLOOKUP(F171,'(3) Demographie &amp; Departements'!$G$8:$J$526,4,0)</f>
        <v>24561.911685202282</v>
      </c>
      <c r="H171" s="96">
        <f t="shared" si="8"/>
        <v>11298.47937519305</v>
      </c>
      <c r="I171" s="130">
        <f t="shared" si="9"/>
        <v>0.95</v>
      </c>
      <c r="J171" s="42">
        <f t="shared" si="10"/>
        <v>0.85</v>
      </c>
      <c r="K171" s="131">
        <f t="shared" si="11"/>
        <v>0.75</v>
      </c>
      <c r="L171" s="42"/>
      <c r="M171" s="42"/>
      <c r="N171" s="39" t="s">
        <v>27</v>
      </c>
      <c r="O171" s="39" t="s">
        <v>572</v>
      </c>
      <c r="P171" t="s">
        <v>772</v>
      </c>
      <c r="Q171" s="99">
        <v>100</v>
      </c>
      <c r="R171" s="99">
        <v>100</v>
      </c>
      <c r="S171" s="99">
        <v>100</v>
      </c>
      <c r="T171" s="99">
        <v>100</v>
      </c>
      <c r="U171" s="99">
        <v>100</v>
      </c>
      <c r="V171" s="99">
        <v>100</v>
      </c>
      <c r="W171" s="99">
        <v>100</v>
      </c>
      <c r="X171" s="99">
        <v>100</v>
      </c>
      <c r="Y171" s="99">
        <v>100</v>
      </c>
      <c r="Z171" s="99">
        <v>100</v>
      </c>
      <c r="AA171" s="99">
        <v>100</v>
      </c>
      <c r="AB171" s="99">
        <v>100</v>
      </c>
      <c r="AC171" s="99">
        <v>100</v>
      </c>
      <c r="AD171" s="99">
        <v>100</v>
      </c>
      <c r="AE171" s="99">
        <v>100</v>
      </c>
      <c r="AF171" s="99">
        <v>100</v>
      </c>
      <c r="AG171" s="99">
        <v>100</v>
      </c>
      <c r="AH171" s="99">
        <v>100</v>
      </c>
      <c r="AI171" s="99">
        <v>100</v>
      </c>
      <c r="AJ171" s="99">
        <v>100</v>
      </c>
      <c r="AK171" s="99">
        <v>100</v>
      </c>
      <c r="AL171" s="99">
        <v>100</v>
      </c>
      <c r="AM171" s="99">
        <v>100</v>
      </c>
      <c r="AN171" s="99">
        <v>100</v>
      </c>
    </row>
    <row r="172" spans="1:40" s="30" customFormat="1" ht="15.6">
      <c r="A172"/>
      <c r="B172" s="29"/>
      <c r="C172" s="44" t="s">
        <v>876</v>
      </c>
      <c r="D172" s="39" t="s">
        <v>26</v>
      </c>
      <c r="E172" s="39" t="s">
        <v>527</v>
      </c>
      <c r="F172" t="s">
        <v>666</v>
      </c>
      <c r="G172" s="41">
        <f>VLOOKUP(F172,'(3) Demographie &amp; Departements'!$G$8:$J$526,4,0)</f>
        <v>56796.454764805858</v>
      </c>
      <c r="H172" s="96">
        <f t="shared" si="8"/>
        <v>26126.369191810696</v>
      </c>
      <c r="I172" s="130">
        <f t="shared" si="9"/>
        <v>0.95</v>
      </c>
      <c r="J172" s="42">
        <f t="shared" si="10"/>
        <v>0.85</v>
      </c>
      <c r="K172" s="131">
        <f t="shared" si="11"/>
        <v>0.75</v>
      </c>
      <c r="L172" s="42"/>
      <c r="M172" s="42"/>
      <c r="N172" s="39" t="s">
        <v>26</v>
      </c>
      <c r="O172" s="39" t="s">
        <v>527</v>
      </c>
      <c r="P172" t="s">
        <v>666</v>
      </c>
      <c r="Q172" s="99">
        <v>77.793461284829903</v>
      </c>
      <c r="R172" s="99">
        <v>93.927145919857395</v>
      </c>
      <c r="S172" s="99">
        <v>77.358723469183502</v>
      </c>
      <c r="T172" s="99">
        <v>72.7279432320544</v>
      </c>
      <c r="U172" s="99">
        <v>82.6999156135889</v>
      </c>
      <c r="V172" s="99">
        <v>84.793454562722104</v>
      </c>
      <c r="W172" s="99">
        <v>71.473295676890004</v>
      </c>
      <c r="X172" s="99">
        <v>96.464993996955698</v>
      </c>
      <c r="Y172" s="99">
        <v>85.721008047850702</v>
      </c>
      <c r="Z172" s="99">
        <v>71.436048969505705</v>
      </c>
      <c r="AA172" s="99">
        <v>88.317646822881002</v>
      </c>
      <c r="AB172" s="99">
        <v>96.866023974867602</v>
      </c>
      <c r="AC172" s="99">
        <v>96.798348671010402</v>
      </c>
      <c r="AD172" s="99">
        <v>76.102460939611007</v>
      </c>
      <c r="AE172" s="99">
        <v>73.552150424310497</v>
      </c>
      <c r="AF172" s="99">
        <v>75.284293031083394</v>
      </c>
      <c r="AG172" s="99">
        <v>79.441006648023404</v>
      </c>
      <c r="AH172" s="99">
        <v>84.388825870209502</v>
      </c>
      <c r="AI172" s="99">
        <v>84.080159239108198</v>
      </c>
      <c r="AJ172" s="99">
        <v>83.458527963068505</v>
      </c>
      <c r="AK172" s="99">
        <v>86.5401910175475</v>
      </c>
      <c r="AL172" s="99">
        <v>99.794340366165699</v>
      </c>
      <c r="AM172" s="99">
        <v>98.948194510948994</v>
      </c>
      <c r="AN172" s="99">
        <v>86.328373661866294</v>
      </c>
    </row>
    <row r="173" spans="1:40" s="30" customFormat="1" ht="15.6">
      <c r="A173"/>
      <c r="B173" s="29"/>
      <c r="C173" s="44" t="s">
        <v>876</v>
      </c>
      <c r="D173" s="39" t="s">
        <v>27</v>
      </c>
      <c r="E173" s="39" t="s">
        <v>484</v>
      </c>
      <c r="F173" t="s">
        <v>773</v>
      </c>
      <c r="G173" s="41">
        <f>VLOOKUP(F173,'(3) Demographie &amp; Departements'!$G$8:$J$526,4,0)</f>
        <v>25215.61584203563</v>
      </c>
      <c r="H173" s="96">
        <f t="shared" si="8"/>
        <v>11599.183287336391</v>
      </c>
      <c r="I173" s="130">
        <f t="shared" si="9"/>
        <v>0.95</v>
      </c>
      <c r="J173" s="42">
        <f t="shared" si="10"/>
        <v>0.85</v>
      </c>
      <c r="K173" s="131">
        <f t="shared" si="11"/>
        <v>0.75</v>
      </c>
      <c r="L173" s="42"/>
      <c r="M173" s="42"/>
      <c r="N173" s="39" t="s">
        <v>27</v>
      </c>
      <c r="O173" s="39" t="s">
        <v>484</v>
      </c>
      <c r="P173" t="s">
        <v>773</v>
      </c>
      <c r="Q173" s="99">
        <v>99.191644646467097</v>
      </c>
      <c r="R173" s="99">
        <v>100</v>
      </c>
      <c r="S173" s="99">
        <v>99.232406080290502</v>
      </c>
      <c r="T173" s="99">
        <v>98.465666526141504</v>
      </c>
      <c r="U173" s="99">
        <v>99.969255639309907</v>
      </c>
      <c r="V173" s="99">
        <v>99.202633249668693</v>
      </c>
      <c r="W173" s="99">
        <v>98.849605184589294</v>
      </c>
      <c r="X173" s="99">
        <v>100</v>
      </c>
      <c r="Y173" s="99">
        <v>99.080625393652795</v>
      </c>
      <c r="Z173" s="99">
        <v>98.933495442313699</v>
      </c>
      <c r="AA173" s="99">
        <v>99.781300683885704</v>
      </c>
      <c r="AB173" s="99">
        <v>100</v>
      </c>
      <c r="AC173" s="99">
        <v>100</v>
      </c>
      <c r="AD173" s="99">
        <v>95.924724531303198</v>
      </c>
      <c r="AE173" s="99">
        <v>96.641607360602507</v>
      </c>
      <c r="AF173" s="99">
        <v>98.952281151948398</v>
      </c>
      <c r="AG173" s="99">
        <v>98.897766302003305</v>
      </c>
      <c r="AH173" s="99">
        <v>99.561767038586893</v>
      </c>
      <c r="AI173" s="99">
        <v>98.890965322541106</v>
      </c>
      <c r="AJ173" s="99">
        <v>98.793213019953498</v>
      </c>
      <c r="AK173" s="99">
        <v>98.9729286900875</v>
      </c>
      <c r="AL173" s="99">
        <v>100</v>
      </c>
      <c r="AM173" s="99">
        <v>99.432827384923002</v>
      </c>
      <c r="AN173" s="99">
        <v>99.413725744275595</v>
      </c>
    </row>
    <row r="174" spans="1:40" s="30" customFormat="1" ht="15.6">
      <c r="A174"/>
      <c r="B174" s="29"/>
      <c r="C174" s="44" t="s">
        <v>876</v>
      </c>
      <c r="D174" s="39" t="s">
        <v>27</v>
      </c>
      <c r="E174" s="39" t="s">
        <v>566</v>
      </c>
      <c r="F174" t="s">
        <v>774</v>
      </c>
      <c r="G174" s="41">
        <f>VLOOKUP(F174,'(3) Demographie &amp; Departements'!$G$8:$J$526,4,0)</f>
        <v>6369.3913148463262</v>
      </c>
      <c r="H174" s="96">
        <f t="shared" si="8"/>
        <v>2929.9200048293101</v>
      </c>
      <c r="I174" s="130">
        <f t="shared" si="9"/>
        <v>0.95</v>
      </c>
      <c r="J174" s="42">
        <f t="shared" si="10"/>
        <v>0.85</v>
      </c>
      <c r="K174" s="131">
        <f t="shared" si="11"/>
        <v>0.75</v>
      </c>
      <c r="L174" s="42"/>
      <c r="M174" s="42"/>
      <c r="N174" s="39" t="s">
        <v>27</v>
      </c>
      <c r="O174" s="39" t="s">
        <v>566</v>
      </c>
      <c r="P174" t="s">
        <v>774</v>
      </c>
      <c r="Q174" s="99">
        <v>100</v>
      </c>
      <c r="R174" s="99">
        <v>100</v>
      </c>
      <c r="S174" s="99">
        <v>100</v>
      </c>
      <c r="T174" s="99">
        <v>100</v>
      </c>
      <c r="U174" s="99">
        <v>100</v>
      </c>
      <c r="V174" s="99">
        <v>100</v>
      </c>
      <c r="W174" s="99">
        <v>100</v>
      </c>
      <c r="X174" s="99">
        <v>100</v>
      </c>
      <c r="Y174" s="99">
        <v>100</v>
      </c>
      <c r="Z174" s="99">
        <v>100</v>
      </c>
      <c r="AA174" s="99">
        <v>100</v>
      </c>
      <c r="AB174" s="99">
        <v>100</v>
      </c>
      <c r="AC174" s="99">
        <v>100</v>
      </c>
      <c r="AD174" s="99">
        <v>100</v>
      </c>
      <c r="AE174" s="99">
        <v>100</v>
      </c>
      <c r="AF174" s="99">
        <v>100</v>
      </c>
      <c r="AG174" s="99">
        <v>100</v>
      </c>
      <c r="AH174" s="99">
        <v>100</v>
      </c>
      <c r="AI174" s="99">
        <v>100</v>
      </c>
      <c r="AJ174" s="99">
        <v>100</v>
      </c>
      <c r="AK174" s="99">
        <v>100</v>
      </c>
      <c r="AL174" s="99">
        <v>100</v>
      </c>
      <c r="AM174" s="99">
        <v>100</v>
      </c>
      <c r="AN174" s="99">
        <v>100</v>
      </c>
    </row>
    <row r="175" spans="1:40" s="30" customFormat="1" ht="15.6">
      <c r="A175"/>
      <c r="B175" s="29"/>
      <c r="C175" s="44" t="s">
        <v>876</v>
      </c>
      <c r="D175" s="39" t="s">
        <v>27</v>
      </c>
      <c r="E175" s="39" t="s">
        <v>166</v>
      </c>
      <c r="F175" t="s">
        <v>775</v>
      </c>
      <c r="G175" s="41">
        <f>VLOOKUP(F175,'(3) Demographie &amp; Departements'!$G$8:$J$526,4,0)</f>
        <v>4506.8382752045982</v>
      </c>
      <c r="H175" s="96">
        <f t="shared" si="8"/>
        <v>2073.1456065941152</v>
      </c>
      <c r="I175" s="130">
        <f t="shared" si="9"/>
        <v>0.95</v>
      </c>
      <c r="J175" s="42">
        <f t="shared" si="10"/>
        <v>0.85</v>
      </c>
      <c r="K175" s="131">
        <f t="shared" si="11"/>
        <v>0.75</v>
      </c>
      <c r="L175" s="42"/>
      <c r="M175" s="42"/>
      <c r="N175" s="39" t="s">
        <v>27</v>
      </c>
      <c r="O175" s="39" t="s">
        <v>166</v>
      </c>
      <c r="P175" t="s">
        <v>775</v>
      </c>
      <c r="Q175" s="99">
        <v>100</v>
      </c>
      <c r="R175" s="99">
        <v>100</v>
      </c>
      <c r="S175" s="99">
        <v>100</v>
      </c>
      <c r="T175" s="99">
        <v>100</v>
      </c>
      <c r="U175" s="99">
        <v>100</v>
      </c>
      <c r="V175" s="99">
        <v>100</v>
      </c>
      <c r="W175" s="99">
        <v>100</v>
      </c>
      <c r="X175" s="99">
        <v>100</v>
      </c>
      <c r="Y175" s="99">
        <v>100</v>
      </c>
      <c r="Z175" s="99">
        <v>100</v>
      </c>
      <c r="AA175" s="99">
        <v>100</v>
      </c>
      <c r="AB175" s="99">
        <v>100</v>
      </c>
      <c r="AC175" s="99">
        <v>100</v>
      </c>
      <c r="AD175" s="99">
        <v>100</v>
      </c>
      <c r="AE175" s="99">
        <v>100</v>
      </c>
      <c r="AF175" s="99">
        <v>100</v>
      </c>
      <c r="AG175" s="99">
        <v>100</v>
      </c>
      <c r="AH175" s="99">
        <v>100</v>
      </c>
      <c r="AI175" s="99">
        <v>100</v>
      </c>
      <c r="AJ175" s="99">
        <v>100</v>
      </c>
      <c r="AK175" s="99">
        <v>100</v>
      </c>
      <c r="AL175" s="99">
        <v>100</v>
      </c>
      <c r="AM175" s="99">
        <v>100</v>
      </c>
      <c r="AN175" s="99">
        <v>100</v>
      </c>
    </row>
    <row r="176" spans="1:40" s="30" customFormat="1" ht="15.6">
      <c r="A176"/>
      <c r="B176" s="29"/>
      <c r="C176" s="44" t="s">
        <v>876</v>
      </c>
      <c r="D176" s="39" t="s">
        <v>27</v>
      </c>
      <c r="E176" s="39" t="s">
        <v>489</v>
      </c>
      <c r="F176" t="s">
        <v>776</v>
      </c>
      <c r="G176" s="41">
        <f>VLOOKUP(F176,'(3) Demographie &amp; Departements'!$G$8:$J$526,4,0)</f>
        <v>32188.715969242166</v>
      </c>
      <c r="H176" s="96">
        <f t="shared" si="8"/>
        <v>14806.809345851398</v>
      </c>
      <c r="I176" s="130">
        <f t="shared" si="9"/>
        <v>0.95</v>
      </c>
      <c r="J176" s="42">
        <f t="shared" si="10"/>
        <v>0.85</v>
      </c>
      <c r="K176" s="131">
        <f t="shared" si="11"/>
        <v>0.75</v>
      </c>
      <c r="L176" s="42"/>
      <c r="M176" s="42"/>
      <c r="N176" s="39" t="s">
        <v>27</v>
      </c>
      <c r="O176" s="39" t="s">
        <v>489</v>
      </c>
      <c r="P176" t="s">
        <v>776</v>
      </c>
      <c r="Q176" s="99">
        <v>99.754852517121407</v>
      </c>
      <c r="R176" s="99">
        <v>100</v>
      </c>
      <c r="S176" s="99">
        <v>100</v>
      </c>
      <c r="T176" s="99">
        <v>99.725388427885306</v>
      </c>
      <c r="U176" s="99">
        <v>100</v>
      </c>
      <c r="V176" s="99">
        <v>100</v>
      </c>
      <c r="W176" s="99">
        <v>100</v>
      </c>
      <c r="X176" s="99">
        <v>100</v>
      </c>
      <c r="Y176" s="99">
        <v>100</v>
      </c>
      <c r="Z176" s="99">
        <v>100</v>
      </c>
      <c r="AA176" s="99">
        <v>100</v>
      </c>
      <c r="AB176" s="99">
        <v>100</v>
      </c>
      <c r="AC176" s="99">
        <v>100</v>
      </c>
      <c r="AD176" s="99">
        <v>98.785287802881399</v>
      </c>
      <c r="AE176" s="99">
        <v>99.876759111884894</v>
      </c>
      <c r="AF176" s="99">
        <v>100</v>
      </c>
      <c r="AG176" s="99">
        <v>100</v>
      </c>
      <c r="AH176" s="99">
        <v>100</v>
      </c>
      <c r="AI176" s="99">
        <v>100</v>
      </c>
      <c r="AJ176" s="99">
        <v>99.993491015211404</v>
      </c>
      <c r="AK176" s="99">
        <v>100</v>
      </c>
      <c r="AL176" s="99">
        <v>100</v>
      </c>
      <c r="AM176" s="99">
        <v>100</v>
      </c>
      <c r="AN176" s="99">
        <v>100</v>
      </c>
    </row>
    <row r="177" spans="1:40" s="30" customFormat="1" ht="15.6">
      <c r="A177"/>
      <c r="B177" s="29"/>
      <c r="C177" s="44" t="s">
        <v>876</v>
      </c>
      <c r="D177" s="39" t="s">
        <v>27</v>
      </c>
      <c r="E177" s="39" t="s">
        <v>179</v>
      </c>
      <c r="F177" t="s">
        <v>777</v>
      </c>
      <c r="G177" s="41">
        <f>VLOOKUP(F177,'(3) Demographie &amp; Departements'!$G$8:$J$526,4,0)</f>
        <v>12371.992553055497</v>
      </c>
      <c r="H177" s="96">
        <f t="shared" si="8"/>
        <v>5691.1165744055288</v>
      </c>
      <c r="I177" s="130">
        <f t="shared" si="9"/>
        <v>0.95</v>
      </c>
      <c r="J177" s="42">
        <f t="shared" si="10"/>
        <v>0.85</v>
      </c>
      <c r="K177" s="131">
        <f t="shared" si="11"/>
        <v>0.75</v>
      </c>
      <c r="L177" s="42"/>
      <c r="M177" s="42"/>
      <c r="N177" s="39" t="s">
        <v>27</v>
      </c>
      <c r="O177" s="39" t="s">
        <v>179</v>
      </c>
      <c r="P177" t="s">
        <v>777</v>
      </c>
      <c r="Q177" s="99">
        <v>100</v>
      </c>
      <c r="R177" s="99">
        <v>100</v>
      </c>
      <c r="S177" s="99">
        <v>100</v>
      </c>
      <c r="T177" s="99">
        <v>100</v>
      </c>
      <c r="U177" s="99">
        <v>100</v>
      </c>
      <c r="V177" s="99">
        <v>100</v>
      </c>
      <c r="W177" s="99">
        <v>100</v>
      </c>
      <c r="X177" s="99">
        <v>100</v>
      </c>
      <c r="Y177" s="99">
        <v>100</v>
      </c>
      <c r="Z177" s="99">
        <v>100</v>
      </c>
      <c r="AA177" s="99">
        <v>100</v>
      </c>
      <c r="AB177" s="99">
        <v>100</v>
      </c>
      <c r="AC177" s="99">
        <v>100</v>
      </c>
      <c r="AD177" s="99">
        <v>99.231223868411703</v>
      </c>
      <c r="AE177" s="99">
        <v>99.911766323054096</v>
      </c>
      <c r="AF177" s="99">
        <v>100</v>
      </c>
      <c r="AG177" s="99">
        <v>100</v>
      </c>
      <c r="AH177" s="99">
        <v>100</v>
      </c>
      <c r="AI177" s="99">
        <v>100</v>
      </c>
      <c r="AJ177" s="99">
        <v>100</v>
      </c>
      <c r="AK177" s="99">
        <v>100</v>
      </c>
      <c r="AL177" s="99">
        <v>100</v>
      </c>
      <c r="AM177" s="99">
        <v>100</v>
      </c>
      <c r="AN177" s="99">
        <v>100</v>
      </c>
    </row>
    <row r="178" spans="1:40" s="30" customFormat="1" ht="15.6">
      <c r="A178"/>
      <c r="B178" s="29"/>
      <c r="C178" s="44" t="s">
        <v>876</v>
      </c>
      <c r="D178" s="39" t="s">
        <v>27</v>
      </c>
      <c r="E178" s="39" t="s">
        <v>618</v>
      </c>
      <c r="F178" t="s">
        <v>57</v>
      </c>
      <c r="G178" s="41">
        <f>VLOOKUP(F178,'(3) Demographie &amp; Departements'!$G$8:$J$526,4,0)</f>
        <v>23509.278243641234</v>
      </c>
      <c r="H178" s="96">
        <f t="shared" si="8"/>
        <v>10814.267992074969</v>
      </c>
      <c r="I178" s="130">
        <f t="shared" si="9"/>
        <v>0.95</v>
      </c>
      <c r="J178" s="42">
        <f t="shared" si="10"/>
        <v>0.85</v>
      </c>
      <c r="K178" s="131">
        <f t="shared" si="11"/>
        <v>0.75</v>
      </c>
      <c r="L178" s="42"/>
      <c r="M178" s="42"/>
      <c r="N178" s="39" t="s">
        <v>27</v>
      </c>
      <c r="O178" s="39" t="s">
        <v>618</v>
      </c>
      <c r="P178" t="s">
        <v>57</v>
      </c>
      <c r="Q178" s="99">
        <v>89.610741278912698</v>
      </c>
      <c r="R178" s="99">
        <v>99.982525668839003</v>
      </c>
      <c r="S178" s="99">
        <v>100</v>
      </c>
      <c r="T178" s="99">
        <v>91.703547568904995</v>
      </c>
      <c r="U178" s="99">
        <v>90.5058120920134</v>
      </c>
      <c r="V178" s="99">
        <v>100</v>
      </c>
      <c r="W178" s="99">
        <v>93.022880685907197</v>
      </c>
      <c r="X178" s="99">
        <v>99.954813667102599</v>
      </c>
      <c r="Y178" s="99">
        <v>98.569369442650398</v>
      </c>
      <c r="Z178" s="99">
        <v>92.950854600231594</v>
      </c>
      <c r="AA178" s="99">
        <v>99.570796615037096</v>
      </c>
      <c r="AB178" s="99">
        <v>100</v>
      </c>
      <c r="AC178" s="99">
        <v>93.876740590175501</v>
      </c>
      <c r="AD178" s="99">
        <v>86.152712822512598</v>
      </c>
      <c r="AE178" s="99">
        <v>96.696387827571797</v>
      </c>
      <c r="AF178" s="99">
        <v>89.983979552020003</v>
      </c>
      <c r="AG178" s="99">
        <v>92.384345687682597</v>
      </c>
      <c r="AH178" s="99">
        <v>99.778847980508004</v>
      </c>
      <c r="AI178" s="99">
        <v>95.031315766474506</v>
      </c>
      <c r="AJ178" s="99">
        <v>91.375700697453397</v>
      </c>
      <c r="AK178" s="99">
        <v>100</v>
      </c>
      <c r="AL178" s="99">
        <v>99.733431880797099</v>
      </c>
      <c r="AM178" s="99">
        <v>99.144076512789596</v>
      </c>
      <c r="AN178" s="99">
        <v>90.610099566095201</v>
      </c>
    </row>
    <row r="179" spans="1:40" s="30" customFormat="1" ht="15.6">
      <c r="A179"/>
      <c r="B179" s="29"/>
      <c r="C179" s="44" t="s">
        <v>876</v>
      </c>
      <c r="D179" s="39" t="s">
        <v>27</v>
      </c>
      <c r="E179" s="39" t="s">
        <v>566</v>
      </c>
      <c r="F179" t="s">
        <v>778</v>
      </c>
      <c r="G179" s="41">
        <f>VLOOKUP(F179,'(3) Demographie &amp; Departements'!$G$8:$J$526,4,0)</f>
        <v>4592.0357833192211</v>
      </c>
      <c r="H179" s="96">
        <f t="shared" si="8"/>
        <v>2112.3364603268419</v>
      </c>
      <c r="I179" s="130">
        <f t="shared" si="9"/>
        <v>0.95</v>
      </c>
      <c r="J179" s="42">
        <f t="shared" si="10"/>
        <v>0.85</v>
      </c>
      <c r="K179" s="131">
        <f t="shared" si="11"/>
        <v>0.75</v>
      </c>
      <c r="L179" s="42"/>
      <c r="M179" s="42"/>
      <c r="N179" s="39" t="s">
        <v>27</v>
      </c>
      <c r="O179" s="39" t="s">
        <v>566</v>
      </c>
      <c r="P179" t="s">
        <v>778</v>
      </c>
      <c r="Q179" s="99">
        <v>100</v>
      </c>
      <c r="R179" s="99">
        <v>100</v>
      </c>
      <c r="S179" s="99">
        <v>100</v>
      </c>
      <c r="T179" s="99">
        <v>100</v>
      </c>
      <c r="U179" s="99">
        <v>100</v>
      </c>
      <c r="V179" s="99">
        <v>100</v>
      </c>
      <c r="W179" s="99">
        <v>100</v>
      </c>
      <c r="X179" s="99">
        <v>100</v>
      </c>
      <c r="Y179" s="99">
        <v>100</v>
      </c>
      <c r="Z179" s="99">
        <v>100</v>
      </c>
      <c r="AA179" s="99">
        <v>100</v>
      </c>
      <c r="AB179" s="99">
        <v>100</v>
      </c>
      <c r="AC179" s="99">
        <v>100</v>
      </c>
      <c r="AD179" s="99">
        <v>100</v>
      </c>
      <c r="AE179" s="99">
        <v>100</v>
      </c>
      <c r="AF179" s="99">
        <v>100</v>
      </c>
      <c r="AG179" s="99">
        <v>100</v>
      </c>
      <c r="AH179" s="99">
        <v>100</v>
      </c>
      <c r="AI179" s="99">
        <v>100</v>
      </c>
      <c r="AJ179" s="99">
        <v>100</v>
      </c>
      <c r="AK179" s="99">
        <v>100</v>
      </c>
      <c r="AL179" s="99">
        <v>100</v>
      </c>
      <c r="AM179" s="99">
        <v>100</v>
      </c>
      <c r="AN179" s="99">
        <v>100</v>
      </c>
    </row>
    <row r="180" spans="1:40" s="30" customFormat="1" ht="15.6">
      <c r="A180"/>
      <c r="B180" s="29"/>
      <c r="C180" s="44" t="s">
        <v>876</v>
      </c>
      <c r="D180" s="39" t="s">
        <v>27</v>
      </c>
      <c r="E180" s="39" t="s">
        <v>331</v>
      </c>
      <c r="F180" t="s">
        <v>779</v>
      </c>
      <c r="G180" s="41">
        <f>VLOOKUP(F180,'(3) Demographie &amp; Departements'!$G$8:$J$526,4,0)</f>
        <v>21835.49141376244</v>
      </c>
      <c r="H180" s="96">
        <f t="shared" si="8"/>
        <v>10044.326050330723</v>
      </c>
      <c r="I180" s="130">
        <f t="shared" si="9"/>
        <v>0.95</v>
      </c>
      <c r="J180" s="42">
        <f t="shared" si="10"/>
        <v>0.85</v>
      </c>
      <c r="K180" s="131">
        <f t="shared" si="11"/>
        <v>0.75</v>
      </c>
      <c r="L180" s="42"/>
      <c r="M180" s="42"/>
      <c r="N180" s="39" t="s">
        <v>27</v>
      </c>
      <c r="O180" s="39" t="s">
        <v>331</v>
      </c>
      <c r="P180" t="s">
        <v>779</v>
      </c>
      <c r="Q180" s="99">
        <v>98.368803430564995</v>
      </c>
      <c r="R180" s="99">
        <v>100</v>
      </c>
      <c r="S180" s="99">
        <v>100</v>
      </c>
      <c r="T180" s="99">
        <v>95.026873571937003</v>
      </c>
      <c r="U180" s="99">
        <v>100</v>
      </c>
      <c r="V180" s="99">
        <v>100</v>
      </c>
      <c r="W180" s="99">
        <v>93.568053296046102</v>
      </c>
      <c r="X180" s="99">
        <v>100</v>
      </c>
      <c r="Y180" s="99">
        <v>99.316121302926703</v>
      </c>
      <c r="Z180" s="99">
        <v>98.526481350103296</v>
      </c>
      <c r="AA180" s="99">
        <v>90.659788356746006</v>
      </c>
      <c r="AB180" s="99">
        <v>99.990963027175198</v>
      </c>
      <c r="AC180" s="99">
        <v>99.402663666823997</v>
      </c>
      <c r="AD180" s="99">
        <v>89.060695963943104</v>
      </c>
      <c r="AE180" s="99">
        <v>96.301762853434198</v>
      </c>
      <c r="AF180" s="99">
        <v>93.212800250006794</v>
      </c>
      <c r="AG180" s="99">
        <v>95.749917881799504</v>
      </c>
      <c r="AH180" s="99">
        <v>100</v>
      </c>
      <c r="AI180" s="99">
        <v>98.920055730736195</v>
      </c>
      <c r="AJ180" s="99">
        <v>96.667578015922103</v>
      </c>
      <c r="AK180" s="99">
        <v>100</v>
      </c>
      <c r="AL180" s="99">
        <v>100</v>
      </c>
      <c r="AM180" s="99">
        <v>99.928350356835907</v>
      </c>
      <c r="AN180" s="99">
        <v>95.904778978417099</v>
      </c>
    </row>
    <row r="181" spans="1:40" s="30" customFormat="1" ht="15.6">
      <c r="A181"/>
      <c r="B181" s="29"/>
      <c r="C181" s="44" t="s">
        <v>876</v>
      </c>
      <c r="D181" s="39" t="s">
        <v>27</v>
      </c>
      <c r="E181" s="39" t="s">
        <v>181</v>
      </c>
      <c r="F181" t="s">
        <v>780</v>
      </c>
      <c r="G181" s="41">
        <f>VLOOKUP(F181,'(3) Demographie &amp; Departements'!$G$8:$J$526,4,0)</f>
        <v>27120.817721826381</v>
      </c>
      <c r="H181" s="96">
        <f t="shared" si="8"/>
        <v>12475.576152040136</v>
      </c>
      <c r="I181" s="130">
        <f t="shared" si="9"/>
        <v>0.95</v>
      </c>
      <c r="J181" s="42">
        <f t="shared" si="10"/>
        <v>0.85</v>
      </c>
      <c r="K181" s="131">
        <f t="shared" si="11"/>
        <v>0.75</v>
      </c>
      <c r="L181" s="42"/>
      <c r="M181" s="42"/>
      <c r="N181" s="39" t="s">
        <v>27</v>
      </c>
      <c r="O181" s="39" t="s">
        <v>181</v>
      </c>
      <c r="P181" t="s">
        <v>780</v>
      </c>
      <c r="Q181" s="99">
        <v>100</v>
      </c>
      <c r="R181" s="99">
        <v>100</v>
      </c>
      <c r="S181" s="99">
        <v>100</v>
      </c>
      <c r="T181" s="99">
        <v>100</v>
      </c>
      <c r="U181" s="99">
        <v>100</v>
      </c>
      <c r="V181" s="99">
        <v>100</v>
      </c>
      <c r="W181" s="99">
        <v>100</v>
      </c>
      <c r="X181" s="99">
        <v>100</v>
      </c>
      <c r="Y181" s="99">
        <v>100</v>
      </c>
      <c r="Z181" s="99">
        <v>100</v>
      </c>
      <c r="AA181" s="99">
        <v>100</v>
      </c>
      <c r="AB181" s="99">
        <v>100</v>
      </c>
      <c r="AC181" s="99">
        <v>100</v>
      </c>
      <c r="AD181" s="99">
        <v>100</v>
      </c>
      <c r="AE181" s="99">
        <v>100</v>
      </c>
      <c r="AF181" s="99">
        <v>100</v>
      </c>
      <c r="AG181" s="99">
        <v>100</v>
      </c>
      <c r="AH181" s="99">
        <v>100</v>
      </c>
      <c r="AI181" s="99">
        <v>100</v>
      </c>
      <c r="AJ181" s="99">
        <v>100</v>
      </c>
      <c r="AK181" s="99">
        <v>100</v>
      </c>
      <c r="AL181" s="99">
        <v>100</v>
      </c>
      <c r="AM181" s="99">
        <v>100</v>
      </c>
      <c r="AN181" s="99">
        <v>100</v>
      </c>
    </row>
    <row r="182" spans="1:40" s="30" customFormat="1" ht="15.6">
      <c r="A182"/>
      <c r="B182" s="29"/>
      <c r="C182" s="44" t="s">
        <v>876</v>
      </c>
      <c r="D182" s="39" t="s">
        <v>27</v>
      </c>
      <c r="E182" s="39" t="s">
        <v>445</v>
      </c>
      <c r="F182" t="s">
        <v>781</v>
      </c>
      <c r="G182" s="41">
        <f>VLOOKUP(F182,'(3) Demographie &amp; Departements'!$G$8:$J$526,4,0)</f>
        <v>19871.528547261671</v>
      </c>
      <c r="H182" s="96">
        <f t="shared" si="8"/>
        <v>9140.9031317403696</v>
      </c>
      <c r="I182" s="130">
        <f t="shared" si="9"/>
        <v>0.95</v>
      </c>
      <c r="J182" s="42">
        <f t="shared" si="10"/>
        <v>0.85</v>
      </c>
      <c r="K182" s="131">
        <f t="shared" si="11"/>
        <v>0.75</v>
      </c>
      <c r="L182" s="42"/>
      <c r="M182" s="42"/>
      <c r="N182" s="39" t="s">
        <v>27</v>
      </c>
      <c r="O182" s="39" t="s">
        <v>445</v>
      </c>
      <c r="P182" t="s">
        <v>781</v>
      </c>
      <c r="Q182" s="99">
        <v>100</v>
      </c>
      <c r="R182" s="99">
        <v>100</v>
      </c>
      <c r="S182" s="99">
        <v>100</v>
      </c>
      <c r="T182" s="99">
        <v>100</v>
      </c>
      <c r="U182" s="99">
        <v>100</v>
      </c>
      <c r="V182" s="99">
        <v>100</v>
      </c>
      <c r="W182" s="99">
        <v>100</v>
      </c>
      <c r="X182" s="99">
        <v>100</v>
      </c>
      <c r="Y182" s="99">
        <v>100</v>
      </c>
      <c r="Z182" s="99">
        <v>100</v>
      </c>
      <c r="AA182" s="99">
        <v>100</v>
      </c>
      <c r="AB182" s="99">
        <v>100</v>
      </c>
      <c r="AC182" s="99">
        <v>100</v>
      </c>
      <c r="AD182" s="99">
        <v>99.052423704772906</v>
      </c>
      <c r="AE182" s="99">
        <v>99.926582095385399</v>
      </c>
      <c r="AF182" s="99">
        <v>100</v>
      </c>
      <c r="AG182" s="99">
        <v>100</v>
      </c>
      <c r="AH182" s="99">
        <v>100</v>
      </c>
      <c r="AI182" s="99">
        <v>100</v>
      </c>
      <c r="AJ182" s="99">
        <v>99.733483563444196</v>
      </c>
      <c r="AK182" s="99">
        <v>100</v>
      </c>
      <c r="AL182" s="99">
        <v>100</v>
      </c>
      <c r="AM182" s="99">
        <v>100</v>
      </c>
      <c r="AN182" s="99">
        <v>100</v>
      </c>
    </row>
    <row r="183" spans="1:40" s="30" customFormat="1" ht="15.6">
      <c r="A183"/>
      <c r="B183" s="29"/>
      <c r="C183" s="44" t="s">
        <v>876</v>
      </c>
      <c r="D183" s="39" t="s">
        <v>27</v>
      </c>
      <c r="E183" s="39" t="s">
        <v>572</v>
      </c>
      <c r="F183" t="s">
        <v>782</v>
      </c>
      <c r="G183" s="41">
        <f>VLOOKUP(F183,'(3) Demographie &amp; Departements'!$G$8:$J$526,4,0)</f>
        <v>34574.504607284609</v>
      </c>
      <c r="H183" s="96">
        <f t="shared" si="8"/>
        <v>15904.272119350921</v>
      </c>
      <c r="I183" s="130">
        <f t="shared" si="9"/>
        <v>0.95</v>
      </c>
      <c r="J183" s="42">
        <f t="shared" si="10"/>
        <v>0.85</v>
      </c>
      <c r="K183" s="131">
        <f t="shared" si="11"/>
        <v>0.75</v>
      </c>
      <c r="L183" s="42"/>
      <c r="M183" s="42"/>
      <c r="N183" s="39" t="s">
        <v>27</v>
      </c>
      <c r="O183" s="39" t="s">
        <v>572</v>
      </c>
      <c r="P183" t="s">
        <v>782</v>
      </c>
      <c r="Q183" s="99">
        <v>99.752848483579697</v>
      </c>
      <c r="R183" s="99">
        <v>100</v>
      </c>
      <c r="S183" s="99">
        <v>100</v>
      </c>
      <c r="T183" s="99">
        <v>99.723623164172196</v>
      </c>
      <c r="U183" s="99">
        <v>100</v>
      </c>
      <c r="V183" s="99">
        <v>100</v>
      </c>
      <c r="W183" s="99">
        <v>96.911790064290201</v>
      </c>
      <c r="X183" s="99">
        <v>100</v>
      </c>
      <c r="Y183" s="99">
        <v>99.7501287936457</v>
      </c>
      <c r="Z183" s="99">
        <v>100</v>
      </c>
      <c r="AA183" s="99">
        <v>99.485239642830805</v>
      </c>
      <c r="AB183" s="99">
        <v>100</v>
      </c>
      <c r="AC183" s="99">
        <v>100</v>
      </c>
      <c r="AD183" s="99">
        <v>96.368975188905694</v>
      </c>
      <c r="AE183" s="99">
        <v>99.607334404033494</v>
      </c>
      <c r="AF183" s="99">
        <v>98.501400091293903</v>
      </c>
      <c r="AG183" s="99">
        <v>99.938058250403799</v>
      </c>
      <c r="AH183" s="99">
        <v>99.9978468482241</v>
      </c>
      <c r="AI183" s="99">
        <v>99.932546433503205</v>
      </c>
      <c r="AJ183" s="99">
        <v>99.423433591879004</v>
      </c>
      <c r="AK183" s="99">
        <v>100</v>
      </c>
      <c r="AL183" s="99">
        <v>100</v>
      </c>
      <c r="AM183" s="99">
        <v>100</v>
      </c>
      <c r="AN183" s="99">
        <v>99.989419712038895</v>
      </c>
    </row>
    <row r="184" spans="1:40" s="30" customFormat="1" ht="15.6">
      <c r="A184"/>
      <c r="B184" s="29"/>
      <c r="C184" s="44" t="s">
        <v>876</v>
      </c>
      <c r="D184" s="39" t="s">
        <v>27</v>
      </c>
      <c r="E184" s="39" t="s">
        <v>468</v>
      </c>
      <c r="F184" t="s">
        <v>783</v>
      </c>
      <c r="G184" s="41">
        <f>VLOOKUP(F184,'(3) Demographie &amp; Departements'!$G$8:$J$526,4,0)</f>
        <v>10153.239326394576</v>
      </c>
      <c r="H184" s="96">
        <f t="shared" si="8"/>
        <v>4670.4900901415049</v>
      </c>
      <c r="I184" s="130">
        <f t="shared" si="9"/>
        <v>0.95</v>
      </c>
      <c r="J184" s="42">
        <f t="shared" si="10"/>
        <v>0.85</v>
      </c>
      <c r="K184" s="131">
        <f t="shared" si="11"/>
        <v>0.75</v>
      </c>
      <c r="L184" s="42"/>
      <c r="M184" s="42"/>
      <c r="N184" s="39" t="s">
        <v>27</v>
      </c>
      <c r="O184" s="39" t="s">
        <v>468</v>
      </c>
      <c r="P184" t="s">
        <v>783</v>
      </c>
      <c r="Q184" s="99">
        <v>100</v>
      </c>
      <c r="R184" s="99">
        <v>100</v>
      </c>
      <c r="S184" s="99">
        <v>100</v>
      </c>
      <c r="T184" s="99">
        <v>100</v>
      </c>
      <c r="U184" s="99">
        <v>100</v>
      </c>
      <c r="V184" s="99">
        <v>100</v>
      </c>
      <c r="W184" s="99">
        <v>100</v>
      </c>
      <c r="X184" s="99">
        <v>100</v>
      </c>
      <c r="Y184" s="99">
        <v>100</v>
      </c>
      <c r="Z184" s="99">
        <v>100</v>
      </c>
      <c r="AA184" s="99">
        <v>100</v>
      </c>
      <c r="AB184" s="99">
        <v>100</v>
      </c>
      <c r="AC184" s="99">
        <v>100</v>
      </c>
      <c r="AD184" s="99">
        <v>93.478930745561598</v>
      </c>
      <c r="AE184" s="99">
        <v>100</v>
      </c>
      <c r="AF184" s="99">
        <v>100</v>
      </c>
      <c r="AG184" s="99">
        <v>100</v>
      </c>
      <c r="AH184" s="99">
        <v>100</v>
      </c>
      <c r="AI184" s="99">
        <v>100</v>
      </c>
      <c r="AJ184" s="99">
        <v>100</v>
      </c>
      <c r="AK184" s="99">
        <v>100</v>
      </c>
      <c r="AL184" s="99">
        <v>100</v>
      </c>
      <c r="AM184" s="99">
        <v>100</v>
      </c>
      <c r="AN184" s="99">
        <v>100</v>
      </c>
    </row>
    <row r="185" spans="1:40" s="30" customFormat="1" ht="15.6">
      <c r="A185"/>
      <c r="B185" s="29"/>
      <c r="C185" s="44" t="s">
        <v>876</v>
      </c>
      <c r="D185" s="39" t="s">
        <v>27</v>
      </c>
      <c r="E185" s="39" t="s">
        <v>613</v>
      </c>
      <c r="F185" t="s">
        <v>784</v>
      </c>
      <c r="G185" s="41">
        <f>VLOOKUP(F185,'(3) Demographie &amp; Departements'!$G$8:$J$526,4,0)</f>
        <v>8440.9342473832367</v>
      </c>
      <c r="H185" s="96">
        <f t="shared" si="8"/>
        <v>3882.829753796289</v>
      </c>
      <c r="I185" s="130">
        <f t="shared" si="9"/>
        <v>0.95</v>
      </c>
      <c r="J185" s="42">
        <f t="shared" si="10"/>
        <v>0.85</v>
      </c>
      <c r="K185" s="131">
        <f t="shared" si="11"/>
        <v>0.75</v>
      </c>
      <c r="L185" s="42"/>
      <c r="M185" s="42"/>
      <c r="N185" s="39" t="s">
        <v>27</v>
      </c>
      <c r="O185" s="39" t="s">
        <v>613</v>
      </c>
      <c r="P185" t="s">
        <v>784</v>
      </c>
      <c r="Q185" s="99">
        <v>80.813081116552993</v>
      </c>
      <c r="R185" s="99">
        <v>98.364240304606597</v>
      </c>
      <c r="S185" s="99">
        <v>86.518679801621104</v>
      </c>
      <c r="T185" s="99">
        <v>68.221927263250294</v>
      </c>
      <c r="U185" s="99">
        <v>78.637175939720905</v>
      </c>
      <c r="V185" s="99">
        <v>90.171586967550994</v>
      </c>
      <c r="W185" s="99">
        <v>81.015986870750993</v>
      </c>
      <c r="X185" s="99">
        <v>99.519367927523007</v>
      </c>
      <c r="Y185" s="99">
        <v>82.703040563842706</v>
      </c>
      <c r="Z185" s="99">
        <v>91.881791984600298</v>
      </c>
      <c r="AA185" s="99">
        <v>99.512320571098101</v>
      </c>
      <c r="AB185" s="99">
        <v>97.947730593865003</v>
      </c>
      <c r="AC185" s="99">
        <v>73.115061872186104</v>
      </c>
      <c r="AD185" s="99">
        <v>76.178888762074706</v>
      </c>
      <c r="AE185" s="99">
        <v>72.812337890292</v>
      </c>
      <c r="AF185" s="99">
        <v>77.285641121416006</v>
      </c>
      <c r="AG185" s="99">
        <v>86.909640823783207</v>
      </c>
      <c r="AH185" s="99">
        <v>78.402155740208102</v>
      </c>
      <c r="AI185" s="99">
        <v>94.455641075159093</v>
      </c>
      <c r="AJ185" s="99">
        <v>76.148968197968699</v>
      </c>
      <c r="AK185" s="99">
        <v>99.4607582717735</v>
      </c>
      <c r="AL185" s="99">
        <v>89.984885952152197</v>
      </c>
      <c r="AM185" s="99">
        <v>92.662470043018402</v>
      </c>
      <c r="AN185" s="99">
        <v>69.726336440180205</v>
      </c>
    </row>
    <row r="186" spans="1:40" s="30" customFormat="1" ht="15.6">
      <c r="A186"/>
      <c r="B186" s="29"/>
      <c r="C186" s="44" t="s">
        <v>876</v>
      </c>
      <c r="D186" s="39" t="s">
        <v>27</v>
      </c>
      <c r="E186" s="39" t="s">
        <v>609</v>
      </c>
      <c r="F186" t="s">
        <v>785</v>
      </c>
      <c r="G186" s="41">
        <f>VLOOKUP(F186,'(3) Demographie &amp; Departements'!$G$8:$J$526,4,0)</f>
        <v>9235.5979143994427</v>
      </c>
      <c r="H186" s="96">
        <f t="shared" si="8"/>
        <v>4248.3750406237441</v>
      </c>
      <c r="I186" s="130">
        <f t="shared" si="9"/>
        <v>0.95</v>
      </c>
      <c r="J186" s="42">
        <f t="shared" si="10"/>
        <v>0.85</v>
      </c>
      <c r="K186" s="131">
        <f t="shared" si="11"/>
        <v>0.75</v>
      </c>
      <c r="L186" s="42"/>
      <c r="M186" s="42"/>
      <c r="N186" s="39" t="s">
        <v>27</v>
      </c>
      <c r="O186" s="39" t="s">
        <v>609</v>
      </c>
      <c r="P186" t="s">
        <v>785</v>
      </c>
      <c r="Q186" s="99">
        <v>92.605923706337293</v>
      </c>
      <c r="R186" s="99">
        <v>100</v>
      </c>
      <c r="S186" s="99">
        <v>100</v>
      </c>
      <c r="T186" s="99">
        <v>100</v>
      </c>
      <c r="U186" s="99">
        <v>93.500293532200104</v>
      </c>
      <c r="V186" s="99">
        <v>100</v>
      </c>
      <c r="W186" s="99">
        <v>91.9259792519249</v>
      </c>
      <c r="X186" s="99">
        <v>100</v>
      </c>
      <c r="Y186" s="99">
        <v>100</v>
      </c>
      <c r="Z186" s="99">
        <v>98.438283230298595</v>
      </c>
      <c r="AA186" s="99">
        <v>100</v>
      </c>
      <c r="AB186" s="99">
        <v>100</v>
      </c>
      <c r="AC186" s="99">
        <v>84.804898641778706</v>
      </c>
      <c r="AD186" s="99">
        <v>95.961597876903298</v>
      </c>
      <c r="AE186" s="99">
        <v>100</v>
      </c>
      <c r="AF186" s="99">
        <v>100</v>
      </c>
      <c r="AG186" s="99">
        <v>99.461529742230894</v>
      </c>
      <c r="AH186" s="99">
        <v>100</v>
      </c>
      <c r="AI186" s="99">
        <v>100</v>
      </c>
      <c r="AJ186" s="99">
        <v>98.557416725742399</v>
      </c>
      <c r="AK186" s="99">
        <v>100</v>
      </c>
      <c r="AL186" s="99">
        <v>100</v>
      </c>
      <c r="AM186" s="99">
        <v>100</v>
      </c>
      <c r="AN186" s="99">
        <v>92.727319877513594</v>
      </c>
    </row>
    <row r="187" spans="1:40" s="30" customFormat="1" ht="15.6">
      <c r="A187"/>
      <c r="B187" s="29"/>
      <c r="C187" s="44" t="s">
        <v>876</v>
      </c>
      <c r="D187" s="39" t="s">
        <v>27</v>
      </c>
      <c r="E187" s="39" t="s">
        <v>542</v>
      </c>
      <c r="F187" t="s">
        <v>786</v>
      </c>
      <c r="G187" s="41">
        <f>VLOOKUP(F187,'(3) Demographie &amp; Departements'!$G$8:$J$526,4,0)</f>
        <v>13583.776629907155</v>
      </c>
      <c r="H187" s="96">
        <f t="shared" si="8"/>
        <v>6248.5372497572916</v>
      </c>
      <c r="I187" s="130">
        <f t="shared" si="9"/>
        <v>0.95</v>
      </c>
      <c r="J187" s="42">
        <f t="shared" si="10"/>
        <v>0.85</v>
      </c>
      <c r="K187" s="131">
        <f t="shared" si="11"/>
        <v>0.75</v>
      </c>
      <c r="L187" s="42"/>
      <c r="M187" s="42"/>
      <c r="N187" s="39" t="s">
        <v>27</v>
      </c>
      <c r="O187" s="39" t="s">
        <v>542</v>
      </c>
      <c r="P187" t="s">
        <v>786</v>
      </c>
      <c r="Q187" s="99">
        <v>100</v>
      </c>
      <c r="R187" s="99">
        <v>100</v>
      </c>
      <c r="S187" s="99">
        <v>100</v>
      </c>
      <c r="T187" s="99">
        <v>98.934172887186705</v>
      </c>
      <c r="U187" s="99">
        <v>100</v>
      </c>
      <c r="V187" s="99">
        <v>100</v>
      </c>
      <c r="W187" s="99">
        <v>90.639734360640006</v>
      </c>
      <c r="X187" s="99">
        <v>100</v>
      </c>
      <c r="Y187" s="99">
        <v>100</v>
      </c>
      <c r="Z187" s="99">
        <v>99.515462168046895</v>
      </c>
      <c r="AA187" s="99">
        <v>90.569606000710195</v>
      </c>
      <c r="AB187" s="99">
        <v>100</v>
      </c>
      <c r="AC187" s="99">
        <v>99.730407538645395</v>
      </c>
      <c r="AD187" s="99">
        <v>94.287966602024895</v>
      </c>
      <c r="AE187" s="99">
        <v>97.547802793734903</v>
      </c>
      <c r="AF187" s="99">
        <v>93.409403401057602</v>
      </c>
      <c r="AG187" s="99">
        <v>97.781474519863394</v>
      </c>
      <c r="AH187" s="99">
        <v>100</v>
      </c>
      <c r="AI187" s="99">
        <v>100</v>
      </c>
      <c r="AJ187" s="99">
        <v>98.206791319610005</v>
      </c>
      <c r="AK187" s="99">
        <v>100</v>
      </c>
      <c r="AL187" s="99">
        <v>100</v>
      </c>
      <c r="AM187" s="99">
        <v>100</v>
      </c>
      <c r="AN187" s="99">
        <v>98.900320806817604</v>
      </c>
    </row>
    <row r="188" spans="1:40" s="30" customFormat="1" ht="15.6">
      <c r="A188"/>
      <c r="B188" s="29"/>
      <c r="C188" s="44" t="s">
        <v>876</v>
      </c>
      <c r="D188" s="39" t="s">
        <v>27</v>
      </c>
      <c r="E188" s="39" t="s">
        <v>494</v>
      </c>
      <c r="F188" t="s">
        <v>787</v>
      </c>
      <c r="G188" s="41">
        <f>VLOOKUP(F188,'(3) Demographie &amp; Departements'!$G$8:$J$526,4,0)</f>
        <v>30630.08526624053</v>
      </c>
      <c r="H188" s="96">
        <f t="shared" si="8"/>
        <v>14089.839222470644</v>
      </c>
      <c r="I188" s="130">
        <f t="shared" si="9"/>
        <v>0.95</v>
      </c>
      <c r="J188" s="42">
        <f t="shared" si="10"/>
        <v>0.85</v>
      </c>
      <c r="K188" s="131">
        <f t="shared" si="11"/>
        <v>0.75</v>
      </c>
      <c r="L188" s="42"/>
      <c r="M188" s="42"/>
      <c r="N188" s="39" t="s">
        <v>27</v>
      </c>
      <c r="O188" s="39" t="s">
        <v>494</v>
      </c>
      <c r="P188" t="s">
        <v>787</v>
      </c>
      <c r="Q188" s="99">
        <v>100</v>
      </c>
      <c r="R188" s="99">
        <v>100</v>
      </c>
      <c r="S188" s="99">
        <v>100</v>
      </c>
      <c r="T188" s="99">
        <v>98.316548240515203</v>
      </c>
      <c r="U188" s="99">
        <v>100</v>
      </c>
      <c r="V188" s="99">
        <v>100</v>
      </c>
      <c r="W188" s="99">
        <v>100</v>
      </c>
      <c r="X188" s="99">
        <v>100</v>
      </c>
      <c r="Y188" s="99">
        <v>100</v>
      </c>
      <c r="Z188" s="99">
        <v>100</v>
      </c>
      <c r="AA188" s="99">
        <v>100</v>
      </c>
      <c r="AB188" s="99">
        <v>100</v>
      </c>
      <c r="AC188" s="99">
        <v>100</v>
      </c>
      <c r="AD188" s="99">
        <v>99.264819621399596</v>
      </c>
      <c r="AE188" s="99">
        <v>100</v>
      </c>
      <c r="AF188" s="99">
        <v>100</v>
      </c>
      <c r="AG188" s="99">
        <v>100</v>
      </c>
      <c r="AH188" s="99">
        <v>100</v>
      </c>
      <c r="AI188" s="99">
        <v>100</v>
      </c>
      <c r="AJ188" s="99">
        <v>99.714585271517294</v>
      </c>
      <c r="AK188" s="99">
        <v>100</v>
      </c>
      <c r="AL188" s="99">
        <v>100</v>
      </c>
      <c r="AM188" s="99">
        <v>100</v>
      </c>
      <c r="AN188" s="99">
        <v>100</v>
      </c>
    </row>
    <row r="189" spans="1:40" s="30" customFormat="1" ht="15.6">
      <c r="A189"/>
      <c r="B189" s="29"/>
      <c r="C189" s="44" t="s">
        <v>876</v>
      </c>
      <c r="D189" s="39" t="s">
        <v>27</v>
      </c>
      <c r="E189" s="39" t="s">
        <v>537</v>
      </c>
      <c r="F189" t="s">
        <v>788</v>
      </c>
      <c r="G189" s="41">
        <f>VLOOKUP(F189,'(3) Demographie &amp; Departements'!$G$8:$J$526,4,0)</f>
        <v>55108.803497046683</v>
      </c>
      <c r="H189" s="96">
        <f t="shared" si="8"/>
        <v>25350.049608641475</v>
      </c>
      <c r="I189" s="130">
        <f t="shared" si="9"/>
        <v>0.95</v>
      </c>
      <c r="J189" s="42">
        <f t="shared" si="10"/>
        <v>0.85</v>
      </c>
      <c r="K189" s="131">
        <f t="shared" si="11"/>
        <v>0.75</v>
      </c>
      <c r="L189" s="42"/>
      <c r="M189" s="42"/>
      <c r="N189" s="39" t="s">
        <v>27</v>
      </c>
      <c r="O189" s="39" t="s">
        <v>537</v>
      </c>
      <c r="P189" t="s">
        <v>788</v>
      </c>
      <c r="Q189" s="99">
        <v>99.686838309353703</v>
      </c>
      <c r="R189" s="99">
        <v>100</v>
      </c>
      <c r="S189" s="99">
        <v>99.872323624465494</v>
      </c>
      <c r="T189" s="99">
        <v>98.140032869534096</v>
      </c>
      <c r="U189" s="99">
        <v>99.906944196632196</v>
      </c>
      <c r="V189" s="99">
        <v>99.968765383294397</v>
      </c>
      <c r="W189" s="99">
        <v>92.882910454229503</v>
      </c>
      <c r="X189" s="99">
        <v>100</v>
      </c>
      <c r="Y189" s="99">
        <v>99.746691826706595</v>
      </c>
      <c r="Z189" s="99">
        <v>96.866819729076198</v>
      </c>
      <c r="AA189" s="99">
        <v>99.136892969887597</v>
      </c>
      <c r="AB189" s="99">
        <v>100</v>
      </c>
      <c r="AC189" s="99">
        <v>99.973163100717201</v>
      </c>
      <c r="AD189" s="99">
        <v>92.554160533520104</v>
      </c>
      <c r="AE189" s="99">
        <v>90.566819307915097</v>
      </c>
      <c r="AF189" s="99">
        <v>95.066034653602898</v>
      </c>
      <c r="AG189" s="99">
        <v>98.374517631137195</v>
      </c>
      <c r="AH189" s="99">
        <v>99.878723466857195</v>
      </c>
      <c r="AI189" s="99">
        <v>98.213402549261801</v>
      </c>
      <c r="AJ189" s="99">
        <v>98.793224460187503</v>
      </c>
      <c r="AK189" s="99">
        <v>99.7352474878343</v>
      </c>
      <c r="AL189" s="99">
        <v>99.963835340292206</v>
      </c>
      <c r="AM189" s="99">
        <v>99.8653551579782</v>
      </c>
      <c r="AN189" s="99">
        <v>99.601805208954602</v>
      </c>
    </row>
    <row r="190" spans="1:40" s="30" customFormat="1" ht="15.6">
      <c r="A190"/>
      <c r="B190" s="29"/>
      <c r="C190" s="44" t="s">
        <v>876</v>
      </c>
      <c r="D190" s="39" t="s">
        <v>27</v>
      </c>
      <c r="E190" s="39" t="s">
        <v>181</v>
      </c>
      <c r="F190" t="s">
        <v>789</v>
      </c>
      <c r="G190" s="41">
        <f>VLOOKUP(F190,'(3) Demographie &amp; Departements'!$G$8:$J$526,4,0)</f>
        <v>18639.384662867586</v>
      </c>
      <c r="H190" s="96">
        <f t="shared" si="8"/>
        <v>8574.1169449190893</v>
      </c>
      <c r="I190" s="130">
        <f t="shared" si="9"/>
        <v>0.95</v>
      </c>
      <c r="J190" s="42">
        <f t="shared" si="10"/>
        <v>0.85</v>
      </c>
      <c r="K190" s="131">
        <f t="shared" si="11"/>
        <v>0.75</v>
      </c>
      <c r="L190" s="42"/>
      <c r="M190" s="42"/>
      <c r="N190" s="39" t="s">
        <v>27</v>
      </c>
      <c r="O190" s="39" t="s">
        <v>181</v>
      </c>
      <c r="P190" t="s">
        <v>789</v>
      </c>
      <c r="Q190" s="99">
        <v>100</v>
      </c>
      <c r="R190" s="99">
        <v>100</v>
      </c>
      <c r="S190" s="99">
        <v>100</v>
      </c>
      <c r="T190" s="99">
        <v>100</v>
      </c>
      <c r="U190" s="99">
        <v>100</v>
      </c>
      <c r="V190" s="99">
        <v>100</v>
      </c>
      <c r="W190" s="99">
        <v>100</v>
      </c>
      <c r="X190" s="99">
        <v>100</v>
      </c>
      <c r="Y190" s="99">
        <v>100</v>
      </c>
      <c r="Z190" s="99">
        <v>100</v>
      </c>
      <c r="AA190" s="99">
        <v>100</v>
      </c>
      <c r="AB190" s="99">
        <v>100</v>
      </c>
      <c r="AC190" s="99">
        <v>100</v>
      </c>
      <c r="AD190" s="99">
        <v>100</v>
      </c>
      <c r="AE190" s="99">
        <v>100</v>
      </c>
      <c r="AF190" s="99">
        <v>100</v>
      </c>
      <c r="AG190" s="99">
        <v>100</v>
      </c>
      <c r="AH190" s="99">
        <v>100</v>
      </c>
      <c r="AI190" s="99">
        <v>100</v>
      </c>
      <c r="AJ190" s="99">
        <v>100</v>
      </c>
      <c r="AK190" s="99">
        <v>100</v>
      </c>
      <c r="AL190" s="99">
        <v>100</v>
      </c>
      <c r="AM190" s="99">
        <v>100</v>
      </c>
      <c r="AN190" s="99">
        <v>100</v>
      </c>
    </row>
    <row r="191" spans="1:40" s="30" customFormat="1" ht="15.6">
      <c r="A191"/>
      <c r="B191" s="29"/>
      <c r="C191" s="44" t="s">
        <v>876</v>
      </c>
      <c r="D191" s="39" t="s">
        <v>27</v>
      </c>
      <c r="E191" s="39" t="s">
        <v>448</v>
      </c>
      <c r="F191" t="s">
        <v>790</v>
      </c>
      <c r="G191" s="41">
        <f>VLOOKUP(F191,'(3) Demographie &amp; Departements'!$G$8:$J$526,4,0)</f>
        <v>24547.914376007517</v>
      </c>
      <c r="H191" s="96">
        <f t="shared" si="8"/>
        <v>11292.040612963458</v>
      </c>
      <c r="I191" s="130">
        <f t="shared" si="9"/>
        <v>0.95</v>
      </c>
      <c r="J191" s="42">
        <f t="shared" si="10"/>
        <v>0.85</v>
      </c>
      <c r="K191" s="131">
        <f t="shared" si="11"/>
        <v>0.75</v>
      </c>
      <c r="L191" s="42"/>
      <c r="M191" s="42"/>
      <c r="N191" s="39" t="s">
        <v>27</v>
      </c>
      <c r="O191" s="39" t="s">
        <v>448</v>
      </c>
      <c r="P191" t="s">
        <v>790</v>
      </c>
      <c r="Q191" s="99">
        <v>99.495359205737799</v>
      </c>
      <c r="R191" s="99">
        <v>100</v>
      </c>
      <c r="S191" s="99">
        <v>99.466948486362895</v>
      </c>
      <c r="T191" s="99">
        <v>99.126940571621404</v>
      </c>
      <c r="U191" s="99">
        <v>99.785950109409697</v>
      </c>
      <c r="V191" s="99">
        <v>99.604317254647697</v>
      </c>
      <c r="W191" s="99">
        <v>99.192834790879701</v>
      </c>
      <c r="X191" s="99">
        <v>100</v>
      </c>
      <c r="Y191" s="99">
        <v>99.712844021425894</v>
      </c>
      <c r="Z191" s="99">
        <v>99.269130673874997</v>
      </c>
      <c r="AA191" s="99">
        <v>99.995705524316406</v>
      </c>
      <c r="AB191" s="99">
        <v>100</v>
      </c>
      <c r="AC191" s="99">
        <v>100</v>
      </c>
      <c r="AD191" s="99">
        <v>95.873914775561005</v>
      </c>
      <c r="AE191" s="99">
        <v>96.398900627634902</v>
      </c>
      <c r="AF191" s="99">
        <v>99.562297944135295</v>
      </c>
      <c r="AG191" s="99">
        <v>99.377831028177098</v>
      </c>
      <c r="AH191" s="99">
        <v>99.681584083976105</v>
      </c>
      <c r="AI191" s="99">
        <v>99.262563785700095</v>
      </c>
      <c r="AJ191" s="99">
        <v>98.982969294031903</v>
      </c>
      <c r="AK191" s="99">
        <v>99.5368576273912</v>
      </c>
      <c r="AL191" s="99">
        <v>100</v>
      </c>
      <c r="AM191" s="99">
        <v>99.853514431620596</v>
      </c>
      <c r="AN191" s="99">
        <v>99.490341732871897</v>
      </c>
    </row>
    <row r="192" spans="1:40" s="30" customFormat="1" ht="15.6">
      <c r="A192"/>
      <c r="B192" s="29"/>
      <c r="C192" s="44" t="s">
        <v>876</v>
      </c>
      <c r="D192" s="39" t="s">
        <v>27</v>
      </c>
      <c r="E192" s="39" t="s">
        <v>479</v>
      </c>
      <c r="F192" t="s">
        <v>791</v>
      </c>
      <c r="G192" s="41">
        <f>VLOOKUP(F192,'(3) Demographie &amp; Departements'!$G$8:$J$526,4,0)</f>
        <v>33557.84153735666</v>
      </c>
      <c r="H192" s="96">
        <f t="shared" si="8"/>
        <v>15436.607107184065</v>
      </c>
      <c r="I192" s="130">
        <f t="shared" si="9"/>
        <v>0.95</v>
      </c>
      <c r="J192" s="42">
        <f t="shared" si="10"/>
        <v>0.85</v>
      </c>
      <c r="K192" s="131">
        <f t="shared" si="11"/>
        <v>0.75</v>
      </c>
      <c r="L192" s="42"/>
      <c r="M192" s="42"/>
      <c r="N192" s="39" t="s">
        <v>27</v>
      </c>
      <c r="O192" s="39" t="s">
        <v>479</v>
      </c>
      <c r="P192" t="s">
        <v>791</v>
      </c>
      <c r="Q192" s="99">
        <v>99.852505150409598</v>
      </c>
      <c r="R192" s="99">
        <v>100</v>
      </c>
      <c r="S192" s="99">
        <v>100</v>
      </c>
      <c r="T192" s="99">
        <v>99.426358372742897</v>
      </c>
      <c r="U192" s="99">
        <v>100</v>
      </c>
      <c r="V192" s="99">
        <v>100</v>
      </c>
      <c r="W192" s="99">
        <v>100</v>
      </c>
      <c r="X192" s="99">
        <v>100</v>
      </c>
      <c r="Y192" s="99">
        <v>97.301392894590506</v>
      </c>
      <c r="Z192" s="99">
        <v>100</v>
      </c>
      <c r="AA192" s="99">
        <v>100</v>
      </c>
      <c r="AB192" s="99">
        <v>100</v>
      </c>
      <c r="AC192" s="99">
        <v>100</v>
      </c>
      <c r="AD192" s="99">
        <v>97.691920690188894</v>
      </c>
      <c r="AE192" s="99">
        <v>96.807522373928407</v>
      </c>
      <c r="AF192" s="99">
        <v>98.675421777201706</v>
      </c>
      <c r="AG192" s="99">
        <v>97.303302243896695</v>
      </c>
      <c r="AH192" s="99">
        <v>100</v>
      </c>
      <c r="AI192" s="99">
        <v>99.955690320530195</v>
      </c>
      <c r="AJ192" s="99">
        <v>89.922232225799902</v>
      </c>
      <c r="AK192" s="99">
        <v>100</v>
      </c>
      <c r="AL192" s="99">
        <v>100</v>
      </c>
      <c r="AM192" s="99">
        <v>100</v>
      </c>
      <c r="AN192" s="99">
        <v>100</v>
      </c>
    </row>
    <row r="193" spans="1:40" s="30" customFormat="1" ht="15.6">
      <c r="A193"/>
      <c r="B193" s="29"/>
      <c r="C193" s="44" t="s">
        <v>876</v>
      </c>
      <c r="D193" s="39" t="s">
        <v>27</v>
      </c>
      <c r="E193" s="39" t="s">
        <v>448</v>
      </c>
      <c r="F193" t="s">
        <v>792</v>
      </c>
      <c r="G193" s="41">
        <f>VLOOKUP(F193,'(3) Demographie &amp; Departements'!$G$8:$J$526,4,0)</f>
        <v>22981.798128877974</v>
      </c>
      <c r="H193" s="96">
        <f t="shared" si="8"/>
        <v>10571.627139283868</v>
      </c>
      <c r="I193" s="130">
        <f t="shared" si="9"/>
        <v>0.95</v>
      </c>
      <c r="J193" s="42">
        <f t="shared" si="10"/>
        <v>0.85</v>
      </c>
      <c r="K193" s="131">
        <f t="shared" si="11"/>
        <v>0.75</v>
      </c>
      <c r="L193" s="42"/>
      <c r="M193" s="42"/>
      <c r="N193" s="39" t="s">
        <v>27</v>
      </c>
      <c r="O193" s="39" t="s">
        <v>448</v>
      </c>
      <c r="P193" t="s">
        <v>792</v>
      </c>
      <c r="Q193" s="99">
        <v>100</v>
      </c>
      <c r="R193" s="99">
        <v>100</v>
      </c>
      <c r="S193" s="99">
        <v>100</v>
      </c>
      <c r="T193" s="99">
        <v>100</v>
      </c>
      <c r="U193" s="99">
        <v>100</v>
      </c>
      <c r="V193" s="99">
        <v>100</v>
      </c>
      <c r="W193" s="99">
        <v>100</v>
      </c>
      <c r="X193" s="99">
        <v>100</v>
      </c>
      <c r="Y193" s="99">
        <v>100</v>
      </c>
      <c r="Z193" s="99">
        <v>100</v>
      </c>
      <c r="AA193" s="99">
        <v>100</v>
      </c>
      <c r="AB193" s="99">
        <v>100</v>
      </c>
      <c r="AC193" s="99">
        <v>100</v>
      </c>
      <c r="AD193" s="99">
        <v>98.290225952500805</v>
      </c>
      <c r="AE193" s="99">
        <v>100</v>
      </c>
      <c r="AF193" s="99">
        <v>100</v>
      </c>
      <c r="AG193" s="99">
        <v>100</v>
      </c>
      <c r="AH193" s="99">
        <v>100</v>
      </c>
      <c r="AI193" s="99">
        <v>100</v>
      </c>
      <c r="AJ193" s="99">
        <v>99.189537914602596</v>
      </c>
      <c r="AK193" s="99">
        <v>100</v>
      </c>
      <c r="AL193" s="99">
        <v>100</v>
      </c>
      <c r="AM193" s="99">
        <v>100</v>
      </c>
      <c r="AN193" s="99">
        <v>100</v>
      </c>
    </row>
    <row r="194" spans="1:40" s="30" customFormat="1" ht="15.6">
      <c r="A194"/>
      <c r="B194" s="29"/>
      <c r="C194" s="44" t="s">
        <v>876</v>
      </c>
      <c r="D194" s="39" t="s">
        <v>27</v>
      </c>
      <c r="E194" s="39" t="s">
        <v>484</v>
      </c>
      <c r="F194" t="s">
        <v>793</v>
      </c>
      <c r="G194" s="41">
        <f>VLOOKUP(F194,'(3) Demographie &amp; Departements'!$G$8:$J$526,4,0)</f>
        <v>39105.872186526452</v>
      </c>
      <c r="H194" s="96">
        <f t="shared" si="8"/>
        <v>17988.701205802168</v>
      </c>
      <c r="I194" s="130">
        <f t="shared" si="9"/>
        <v>0.95</v>
      </c>
      <c r="J194" s="42">
        <f t="shared" si="10"/>
        <v>0.85</v>
      </c>
      <c r="K194" s="131">
        <f t="shared" si="11"/>
        <v>0.75</v>
      </c>
      <c r="L194" s="42"/>
      <c r="M194" s="42"/>
      <c r="N194" s="39" t="s">
        <v>27</v>
      </c>
      <c r="O194" s="39" t="s">
        <v>484</v>
      </c>
      <c r="P194" t="s">
        <v>793</v>
      </c>
      <c r="Q194" s="99">
        <v>100</v>
      </c>
      <c r="R194" s="99">
        <v>100</v>
      </c>
      <c r="S194" s="99">
        <v>100</v>
      </c>
      <c r="T194" s="99">
        <v>99.862359009631504</v>
      </c>
      <c r="U194" s="99">
        <v>100</v>
      </c>
      <c r="V194" s="99">
        <v>100</v>
      </c>
      <c r="W194" s="99">
        <v>100</v>
      </c>
      <c r="X194" s="99">
        <v>100</v>
      </c>
      <c r="Y194" s="99">
        <v>100</v>
      </c>
      <c r="Z194" s="99">
        <v>100</v>
      </c>
      <c r="AA194" s="99">
        <v>100</v>
      </c>
      <c r="AB194" s="99">
        <v>100</v>
      </c>
      <c r="AC194" s="99">
        <v>100</v>
      </c>
      <c r="AD194" s="99">
        <v>95.421834012497698</v>
      </c>
      <c r="AE194" s="99">
        <v>98.132053476229203</v>
      </c>
      <c r="AF194" s="99">
        <v>100</v>
      </c>
      <c r="AG194" s="99">
        <v>100</v>
      </c>
      <c r="AH194" s="99">
        <v>100</v>
      </c>
      <c r="AI194" s="99">
        <v>100</v>
      </c>
      <c r="AJ194" s="99">
        <v>97.732585976146495</v>
      </c>
      <c r="AK194" s="99">
        <v>100</v>
      </c>
      <c r="AL194" s="99">
        <v>100</v>
      </c>
      <c r="AM194" s="99">
        <v>100</v>
      </c>
      <c r="AN194" s="99">
        <v>100</v>
      </c>
    </row>
    <row r="195" spans="1:40" s="30" customFormat="1" ht="15.6">
      <c r="A195"/>
      <c r="B195" s="29"/>
      <c r="C195" s="44" t="s">
        <v>876</v>
      </c>
      <c r="D195" s="39" t="s">
        <v>27</v>
      </c>
      <c r="E195" s="39" t="s">
        <v>464</v>
      </c>
      <c r="F195" t="s">
        <v>794</v>
      </c>
      <c r="G195" s="41">
        <f>VLOOKUP(F195,'(3) Demographie &amp; Departements'!$G$8:$J$526,4,0)</f>
        <v>13073.529282311913</v>
      </c>
      <c r="H195" s="96">
        <f t="shared" si="8"/>
        <v>6013.8234698634797</v>
      </c>
      <c r="I195" s="130">
        <f t="shared" si="9"/>
        <v>0.95</v>
      </c>
      <c r="J195" s="42">
        <f t="shared" si="10"/>
        <v>0.85</v>
      </c>
      <c r="K195" s="131">
        <f t="shared" si="11"/>
        <v>0.75</v>
      </c>
      <c r="L195" s="42"/>
      <c r="M195" s="42"/>
      <c r="N195" s="39" t="s">
        <v>27</v>
      </c>
      <c r="O195" s="39" t="s">
        <v>464</v>
      </c>
      <c r="P195" t="s">
        <v>794</v>
      </c>
      <c r="Q195" s="99">
        <v>100</v>
      </c>
      <c r="R195" s="99">
        <v>100</v>
      </c>
      <c r="S195" s="99">
        <v>100</v>
      </c>
      <c r="T195" s="99">
        <v>98.803597810146897</v>
      </c>
      <c r="U195" s="99">
        <v>100</v>
      </c>
      <c r="V195" s="99">
        <v>100</v>
      </c>
      <c r="W195" s="99">
        <v>100</v>
      </c>
      <c r="X195" s="99">
        <v>100</v>
      </c>
      <c r="Y195" s="99">
        <v>100</v>
      </c>
      <c r="Z195" s="99">
        <v>100</v>
      </c>
      <c r="AA195" s="99">
        <v>100</v>
      </c>
      <c r="AB195" s="99">
        <v>100</v>
      </c>
      <c r="AC195" s="99">
        <v>100</v>
      </c>
      <c r="AD195" s="99">
        <v>94.358867505360607</v>
      </c>
      <c r="AE195" s="99">
        <v>98.9337828190328</v>
      </c>
      <c r="AF195" s="99">
        <v>100</v>
      </c>
      <c r="AG195" s="99">
        <v>100</v>
      </c>
      <c r="AH195" s="99">
        <v>100</v>
      </c>
      <c r="AI195" s="99">
        <v>100</v>
      </c>
      <c r="AJ195" s="99">
        <v>92.033255242285904</v>
      </c>
      <c r="AK195" s="99">
        <v>100</v>
      </c>
      <c r="AL195" s="99">
        <v>100</v>
      </c>
      <c r="AM195" s="99">
        <v>100</v>
      </c>
      <c r="AN195" s="99">
        <v>100</v>
      </c>
    </row>
    <row r="196" spans="1:40" s="30" customFormat="1" ht="15.6">
      <c r="A196"/>
      <c r="B196" s="29"/>
      <c r="C196" s="44" t="s">
        <v>876</v>
      </c>
      <c r="D196" s="39" t="s">
        <v>27</v>
      </c>
      <c r="E196" s="39" t="s">
        <v>464</v>
      </c>
      <c r="F196" t="s">
        <v>795</v>
      </c>
      <c r="G196" s="41">
        <f>VLOOKUP(F196,'(3) Demographie &amp; Departements'!$G$8:$J$526,4,0)</f>
        <v>19749.418360823503</v>
      </c>
      <c r="H196" s="96">
        <f t="shared" si="8"/>
        <v>9084.7324459788124</v>
      </c>
      <c r="I196" s="130">
        <f t="shared" si="9"/>
        <v>0.95</v>
      </c>
      <c r="J196" s="42">
        <f t="shared" si="10"/>
        <v>0.85</v>
      </c>
      <c r="K196" s="131">
        <f t="shared" si="11"/>
        <v>0.75</v>
      </c>
      <c r="L196" s="42"/>
      <c r="M196" s="42"/>
      <c r="N196" s="39" t="s">
        <v>27</v>
      </c>
      <c r="O196" s="39" t="s">
        <v>464</v>
      </c>
      <c r="P196" t="s">
        <v>795</v>
      </c>
      <c r="Q196" s="99">
        <v>100</v>
      </c>
      <c r="R196" s="99">
        <v>100</v>
      </c>
      <c r="S196" s="99">
        <v>100</v>
      </c>
      <c r="T196" s="99">
        <v>96.799987349980796</v>
      </c>
      <c r="U196" s="99">
        <v>100</v>
      </c>
      <c r="V196" s="99">
        <v>100</v>
      </c>
      <c r="W196" s="99">
        <v>100</v>
      </c>
      <c r="X196" s="99">
        <v>100</v>
      </c>
      <c r="Y196" s="99">
        <v>100</v>
      </c>
      <c r="Z196" s="99">
        <v>100</v>
      </c>
      <c r="AA196" s="99">
        <v>100</v>
      </c>
      <c r="AB196" s="99">
        <v>100</v>
      </c>
      <c r="AC196" s="99">
        <v>100</v>
      </c>
      <c r="AD196" s="99">
        <v>93.721125829434996</v>
      </c>
      <c r="AE196" s="99">
        <v>98.615986913401102</v>
      </c>
      <c r="AF196" s="99">
        <v>99.696263425459307</v>
      </c>
      <c r="AG196" s="99">
        <v>100</v>
      </c>
      <c r="AH196" s="99">
        <v>100</v>
      </c>
      <c r="AI196" s="99">
        <v>99.7802851709002</v>
      </c>
      <c r="AJ196" s="99">
        <v>98.369897021522405</v>
      </c>
      <c r="AK196" s="99">
        <v>100</v>
      </c>
      <c r="AL196" s="99">
        <v>100</v>
      </c>
      <c r="AM196" s="99">
        <v>100</v>
      </c>
      <c r="AN196" s="99">
        <v>100</v>
      </c>
    </row>
    <row r="197" spans="1:40" s="30" customFormat="1" ht="15.6">
      <c r="A197"/>
      <c r="B197" s="29"/>
      <c r="C197" s="44" t="s">
        <v>876</v>
      </c>
      <c r="D197" s="39" t="s">
        <v>27</v>
      </c>
      <c r="E197" s="39" t="s">
        <v>448</v>
      </c>
      <c r="F197" t="s">
        <v>796</v>
      </c>
      <c r="G197" s="41">
        <f>VLOOKUP(F197,'(3) Demographie &amp; Departements'!$G$8:$J$526,4,0)</f>
        <v>31957.589428320094</v>
      </c>
      <c r="H197" s="96">
        <f t="shared" si="8"/>
        <v>14700.491137027244</v>
      </c>
      <c r="I197" s="130">
        <f t="shared" si="9"/>
        <v>0.95</v>
      </c>
      <c r="J197" s="42">
        <f t="shared" si="10"/>
        <v>0.85</v>
      </c>
      <c r="K197" s="131">
        <f t="shared" si="11"/>
        <v>0.75</v>
      </c>
      <c r="L197" s="42"/>
      <c r="M197" s="42"/>
      <c r="N197" s="39" t="s">
        <v>27</v>
      </c>
      <c r="O197" s="39" t="s">
        <v>448</v>
      </c>
      <c r="P197" t="s">
        <v>796</v>
      </c>
      <c r="Q197" s="99">
        <v>99.748138554703502</v>
      </c>
      <c r="R197" s="99">
        <v>100</v>
      </c>
      <c r="S197" s="99">
        <v>100</v>
      </c>
      <c r="T197" s="99">
        <v>99.452534066468203</v>
      </c>
      <c r="U197" s="99">
        <v>100</v>
      </c>
      <c r="V197" s="99">
        <v>99.965905908136094</v>
      </c>
      <c r="W197" s="99">
        <v>98.765768785352293</v>
      </c>
      <c r="X197" s="99">
        <v>100</v>
      </c>
      <c r="Y197" s="99">
        <v>100</v>
      </c>
      <c r="Z197" s="99">
        <v>99.793412776489404</v>
      </c>
      <c r="AA197" s="99">
        <v>99.858616765413601</v>
      </c>
      <c r="AB197" s="99">
        <v>100</v>
      </c>
      <c r="AC197" s="99">
        <v>99.597576159286405</v>
      </c>
      <c r="AD197" s="99">
        <v>93.925683435964999</v>
      </c>
      <c r="AE197" s="99">
        <v>96.887249037963102</v>
      </c>
      <c r="AF197" s="99">
        <v>96.634262804471106</v>
      </c>
      <c r="AG197" s="99">
        <v>99.604835279254601</v>
      </c>
      <c r="AH197" s="99">
        <v>99.996472735160495</v>
      </c>
      <c r="AI197" s="99">
        <v>97.216236221993398</v>
      </c>
      <c r="AJ197" s="99">
        <v>96.544119917561403</v>
      </c>
      <c r="AK197" s="99">
        <v>99.966939506367794</v>
      </c>
      <c r="AL197" s="99">
        <v>99.763383291196703</v>
      </c>
      <c r="AM197" s="99">
        <v>100</v>
      </c>
      <c r="AN197" s="99">
        <v>99.711865759928301</v>
      </c>
    </row>
    <row r="198" spans="1:40" s="30" customFormat="1" ht="15.6">
      <c r="A198"/>
      <c r="B198" s="29"/>
      <c r="C198" s="44" t="s">
        <v>876</v>
      </c>
      <c r="D198" s="39" t="s">
        <v>27</v>
      </c>
      <c r="E198" s="39" t="s">
        <v>177</v>
      </c>
      <c r="F198" t="s">
        <v>797</v>
      </c>
      <c r="G198" s="41">
        <f>VLOOKUP(F198,'(3) Demographie &amp; Departements'!$G$8:$J$526,4,0)</f>
        <v>11933.273813192418</v>
      </c>
      <c r="H198" s="96">
        <f t="shared" si="8"/>
        <v>5489.3059540685126</v>
      </c>
      <c r="I198" s="130">
        <f t="shared" si="9"/>
        <v>0.95</v>
      </c>
      <c r="J198" s="42">
        <f t="shared" si="10"/>
        <v>0.85</v>
      </c>
      <c r="K198" s="131">
        <f t="shared" si="11"/>
        <v>0.75</v>
      </c>
      <c r="L198" s="42"/>
      <c r="M198" s="42"/>
      <c r="N198" s="39" t="s">
        <v>27</v>
      </c>
      <c r="O198" s="39" t="s">
        <v>177</v>
      </c>
      <c r="P198" t="s">
        <v>797</v>
      </c>
      <c r="Q198" s="99">
        <v>100</v>
      </c>
      <c r="R198" s="99">
        <v>100</v>
      </c>
      <c r="S198" s="99">
        <v>100</v>
      </c>
      <c r="T198" s="99">
        <v>100</v>
      </c>
      <c r="U198" s="99">
        <v>100</v>
      </c>
      <c r="V198" s="99">
        <v>100</v>
      </c>
      <c r="W198" s="99">
        <v>100</v>
      </c>
      <c r="X198" s="99">
        <v>100</v>
      </c>
      <c r="Y198" s="99">
        <v>100</v>
      </c>
      <c r="Z198" s="99">
        <v>100</v>
      </c>
      <c r="AA198" s="99">
        <v>100</v>
      </c>
      <c r="AB198" s="99">
        <v>100</v>
      </c>
      <c r="AC198" s="99">
        <v>100</v>
      </c>
      <c r="AD198" s="99">
        <v>100</v>
      </c>
      <c r="AE198" s="99">
        <v>100</v>
      </c>
      <c r="AF198" s="99">
        <v>100</v>
      </c>
      <c r="AG198" s="99">
        <v>100</v>
      </c>
      <c r="AH198" s="99">
        <v>100</v>
      </c>
      <c r="AI198" s="99">
        <v>100</v>
      </c>
      <c r="AJ198" s="99">
        <v>100</v>
      </c>
      <c r="AK198" s="99">
        <v>100</v>
      </c>
      <c r="AL198" s="99">
        <v>100</v>
      </c>
      <c r="AM198" s="99">
        <v>100</v>
      </c>
      <c r="AN198" s="99">
        <v>100</v>
      </c>
    </row>
    <row r="199" spans="1:40" s="30" customFormat="1" ht="15.6">
      <c r="A199"/>
      <c r="B199" s="29"/>
      <c r="C199" s="44" t="s">
        <v>876</v>
      </c>
      <c r="D199" s="39" t="s">
        <v>27</v>
      </c>
      <c r="E199" s="39" t="s">
        <v>184</v>
      </c>
      <c r="F199" t="s">
        <v>798</v>
      </c>
      <c r="G199" s="41">
        <f>VLOOKUP(F199,'(3) Demographie &amp; Departements'!$G$8:$J$526,4,0)</f>
        <v>9414.8150541104133</v>
      </c>
      <c r="H199" s="96">
        <f t="shared" si="8"/>
        <v>4330.8149248907903</v>
      </c>
      <c r="I199" s="130">
        <f t="shared" si="9"/>
        <v>0.95</v>
      </c>
      <c r="J199" s="42">
        <f t="shared" si="10"/>
        <v>0.85</v>
      </c>
      <c r="K199" s="131">
        <f t="shared" si="11"/>
        <v>0.75</v>
      </c>
      <c r="L199" s="42"/>
      <c r="M199" s="42"/>
      <c r="N199" s="39" t="s">
        <v>27</v>
      </c>
      <c r="O199" s="39" t="s">
        <v>184</v>
      </c>
      <c r="P199" t="s">
        <v>798</v>
      </c>
      <c r="Q199" s="99">
        <v>100</v>
      </c>
      <c r="R199" s="99">
        <v>100</v>
      </c>
      <c r="S199" s="99">
        <v>100</v>
      </c>
      <c r="T199" s="99">
        <v>100</v>
      </c>
      <c r="U199" s="99">
        <v>100</v>
      </c>
      <c r="V199" s="99">
        <v>100</v>
      </c>
      <c r="W199" s="99">
        <v>100</v>
      </c>
      <c r="X199" s="99">
        <v>100</v>
      </c>
      <c r="Y199" s="99">
        <v>100</v>
      </c>
      <c r="Z199" s="99">
        <v>100</v>
      </c>
      <c r="AA199" s="99">
        <v>100</v>
      </c>
      <c r="AB199" s="99">
        <v>100</v>
      </c>
      <c r="AC199" s="99">
        <v>100</v>
      </c>
      <c r="AD199" s="99">
        <v>100</v>
      </c>
      <c r="AE199" s="99">
        <v>100</v>
      </c>
      <c r="AF199" s="99">
        <v>100</v>
      </c>
      <c r="AG199" s="99">
        <v>100</v>
      </c>
      <c r="AH199" s="99">
        <v>100</v>
      </c>
      <c r="AI199" s="99">
        <v>100</v>
      </c>
      <c r="AJ199" s="99">
        <v>100</v>
      </c>
      <c r="AK199" s="99">
        <v>100</v>
      </c>
      <c r="AL199" s="99">
        <v>100</v>
      </c>
      <c r="AM199" s="99">
        <v>100</v>
      </c>
      <c r="AN199" s="99">
        <v>100</v>
      </c>
    </row>
    <row r="200" spans="1:40" s="30" customFormat="1" ht="15.6">
      <c r="A200"/>
      <c r="B200" s="29"/>
      <c r="C200" s="44" t="s">
        <v>876</v>
      </c>
      <c r="D200" s="39" t="s">
        <v>27</v>
      </c>
      <c r="E200" s="39" t="s">
        <v>489</v>
      </c>
      <c r="F200" t="s">
        <v>799</v>
      </c>
      <c r="G200" s="41">
        <f>VLOOKUP(F200,'(3) Demographie &amp; Departements'!$G$8:$J$526,4,0)</f>
        <v>32113.074334241988</v>
      </c>
      <c r="H200" s="96">
        <f t="shared" ref="H200:H263" si="12">$H$3*G200</f>
        <v>14772.014193751314</v>
      </c>
      <c r="I200" s="130">
        <f t="shared" si="9"/>
        <v>0.95</v>
      </c>
      <c r="J200" s="42">
        <f t="shared" si="10"/>
        <v>0.85</v>
      </c>
      <c r="K200" s="131">
        <f t="shared" si="11"/>
        <v>0.75</v>
      </c>
      <c r="L200" s="42"/>
      <c r="M200" s="42"/>
      <c r="N200" s="39" t="s">
        <v>27</v>
      </c>
      <c r="O200" s="39" t="s">
        <v>489</v>
      </c>
      <c r="P200" t="s">
        <v>799</v>
      </c>
      <c r="Q200" s="99">
        <v>100</v>
      </c>
      <c r="R200" s="99">
        <v>100</v>
      </c>
      <c r="S200" s="99">
        <v>100</v>
      </c>
      <c r="T200" s="99">
        <v>100</v>
      </c>
      <c r="U200" s="99">
        <v>100</v>
      </c>
      <c r="V200" s="99">
        <v>100</v>
      </c>
      <c r="W200" s="99">
        <v>100</v>
      </c>
      <c r="X200" s="99">
        <v>100</v>
      </c>
      <c r="Y200" s="99">
        <v>100</v>
      </c>
      <c r="Z200" s="99">
        <v>100</v>
      </c>
      <c r="AA200" s="99">
        <v>100</v>
      </c>
      <c r="AB200" s="99">
        <v>100</v>
      </c>
      <c r="AC200" s="99">
        <v>100</v>
      </c>
      <c r="AD200" s="99">
        <v>96.9902376663252</v>
      </c>
      <c r="AE200" s="99">
        <v>99.378003550950396</v>
      </c>
      <c r="AF200" s="99">
        <v>100</v>
      </c>
      <c r="AG200" s="99">
        <v>100</v>
      </c>
      <c r="AH200" s="99">
        <v>100</v>
      </c>
      <c r="AI200" s="99">
        <v>99.998468011695806</v>
      </c>
      <c r="AJ200" s="99">
        <v>99.996995180657805</v>
      </c>
      <c r="AK200" s="99">
        <v>100</v>
      </c>
      <c r="AL200" s="99">
        <v>100</v>
      </c>
      <c r="AM200" s="99">
        <v>100</v>
      </c>
      <c r="AN200" s="99">
        <v>100</v>
      </c>
    </row>
    <row r="201" spans="1:40" s="30" customFormat="1" ht="15.6">
      <c r="A201"/>
      <c r="B201" s="29"/>
      <c r="C201" s="44" t="s">
        <v>876</v>
      </c>
      <c r="D201" s="39" t="s">
        <v>27</v>
      </c>
      <c r="E201" s="39" t="s">
        <v>448</v>
      </c>
      <c r="F201" t="s">
        <v>800</v>
      </c>
      <c r="G201" s="41">
        <f>VLOOKUP(F201,'(3) Demographie &amp; Departements'!$G$8:$J$526,4,0)</f>
        <v>8930.104071878357</v>
      </c>
      <c r="H201" s="96">
        <f t="shared" si="12"/>
        <v>4107.8478730640445</v>
      </c>
      <c r="I201" s="130">
        <f t="shared" si="9"/>
        <v>0.95</v>
      </c>
      <c r="J201" s="42">
        <f t="shared" si="10"/>
        <v>0.85</v>
      </c>
      <c r="K201" s="131">
        <f t="shared" si="11"/>
        <v>0.75</v>
      </c>
      <c r="L201" s="42"/>
      <c r="M201" s="42"/>
      <c r="N201" s="39" t="s">
        <v>27</v>
      </c>
      <c r="O201" s="39" t="s">
        <v>448</v>
      </c>
      <c r="P201" t="s">
        <v>800</v>
      </c>
      <c r="Q201" s="99">
        <v>100</v>
      </c>
      <c r="R201" s="99">
        <v>100</v>
      </c>
      <c r="S201" s="99">
        <v>100</v>
      </c>
      <c r="T201" s="99">
        <v>100</v>
      </c>
      <c r="U201" s="99">
        <v>100</v>
      </c>
      <c r="V201" s="99">
        <v>100</v>
      </c>
      <c r="W201" s="99">
        <v>100</v>
      </c>
      <c r="X201" s="99">
        <v>100</v>
      </c>
      <c r="Y201" s="99">
        <v>100</v>
      </c>
      <c r="Z201" s="99">
        <v>100</v>
      </c>
      <c r="AA201" s="99">
        <v>100</v>
      </c>
      <c r="AB201" s="99">
        <v>100</v>
      </c>
      <c r="AC201" s="99">
        <v>100</v>
      </c>
      <c r="AD201" s="99">
        <v>99.919958572268399</v>
      </c>
      <c r="AE201" s="99">
        <v>100</v>
      </c>
      <c r="AF201" s="99">
        <v>100</v>
      </c>
      <c r="AG201" s="99">
        <v>100</v>
      </c>
      <c r="AH201" s="99">
        <v>100</v>
      </c>
      <c r="AI201" s="99">
        <v>100</v>
      </c>
      <c r="AJ201" s="99">
        <v>100</v>
      </c>
      <c r="AK201" s="99">
        <v>100</v>
      </c>
      <c r="AL201" s="99">
        <v>100</v>
      </c>
      <c r="AM201" s="99">
        <v>100</v>
      </c>
      <c r="AN201" s="99">
        <v>100</v>
      </c>
    </row>
    <row r="202" spans="1:40" s="30" customFormat="1" ht="15.6">
      <c r="A202"/>
      <c r="B202" s="29"/>
      <c r="C202" s="44" t="s">
        <v>876</v>
      </c>
      <c r="D202" s="39" t="s">
        <v>27</v>
      </c>
      <c r="E202" s="39" t="s">
        <v>448</v>
      </c>
      <c r="F202" t="s">
        <v>801</v>
      </c>
      <c r="G202" s="41">
        <f>VLOOKUP(F202,'(3) Demographie &amp; Departements'!$G$8:$J$526,4,0)</f>
        <v>16702.775438396773</v>
      </c>
      <c r="H202" s="96">
        <f t="shared" si="12"/>
        <v>7683.2767016625157</v>
      </c>
      <c r="I202" s="130">
        <f t="shared" ref="I202:I265" si="13">I201</f>
        <v>0.95</v>
      </c>
      <c r="J202" s="42">
        <f t="shared" ref="J202:J265" si="14">J201</f>
        <v>0.85</v>
      </c>
      <c r="K202" s="131">
        <f t="shared" ref="K202:K265" si="15">K201</f>
        <v>0.75</v>
      </c>
      <c r="L202" s="42"/>
      <c r="M202" s="42"/>
      <c r="N202" s="39" t="s">
        <v>27</v>
      </c>
      <c r="O202" s="39" t="s">
        <v>448</v>
      </c>
      <c r="P202" t="s">
        <v>801</v>
      </c>
      <c r="Q202" s="99">
        <v>100</v>
      </c>
      <c r="R202" s="99">
        <v>100</v>
      </c>
      <c r="S202" s="99">
        <v>99.3987962336885</v>
      </c>
      <c r="T202" s="99">
        <v>98.172601376342001</v>
      </c>
      <c r="U202" s="99">
        <v>99.347967237390094</v>
      </c>
      <c r="V202" s="99">
        <v>100</v>
      </c>
      <c r="W202" s="99">
        <v>98.8346781107672</v>
      </c>
      <c r="X202" s="99">
        <v>100</v>
      </c>
      <c r="Y202" s="99">
        <v>100</v>
      </c>
      <c r="Z202" s="99">
        <v>98.455240313850993</v>
      </c>
      <c r="AA202" s="99">
        <v>100</v>
      </c>
      <c r="AB202" s="99">
        <v>100</v>
      </c>
      <c r="AC202" s="99">
        <v>100</v>
      </c>
      <c r="AD202" s="99">
        <v>94.5899423920999</v>
      </c>
      <c r="AE202" s="99">
        <v>97.966422229674095</v>
      </c>
      <c r="AF202" s="99">
        <v>99.310014701291607</v>
      </c>
      <c r="AG202" s="99">
        <v>97.883905804426803</v>
      </c>
      <c r="AH202" s="99">
        <v>99.245911399593098</v>
      </c>
      <c r="AI202" s="99">
        <v>98.136079049840802</v>
      </c>
      <c r="AJ202" s="99">
        <v>97.7587210140872</v>
      </c>
      <c r="AK202" s="99">
        <v>100</v>
      </c>
      <c r="AL202" s="99">
        <v>99.187607173819003</v>
      </c>
      <c r="AM202" s="99">
        <v>100</v>
      </c>
      <c r="AN202" s="99">
        <v>99.704552866469598</v>
      </c>
    </row>
    <row r="203" spans="1:40" s="30" customFormat="1" ht="15.6">
      <c r="A203"/>
      <c r="B203" s="29"/>
      <c r="C203" s="44" t="s">
        <v>876</v>
      </c>
      <c r="D203" s="39" t="s">
        <v>27</v>
      </c>
      <c r="E203" s="39" t="s">
        <v>475</v>
      </c>
      <c r="F203" t="s">
        <v>802</v>
      </c>
      <c r="G203" s="41">
        <f>VLOOKUP(F203,'(3) Demographie &amp; Departements'!$G$8:$J$526,4,0)</f>
        <v>33391.422995767643</v>
      </c>
      <c r="H203" s="96">
        <f t="shared" si="12"/>
        <v>15360.054578053117</v>
      </c>
      <c r="I203" s="130">
        <f t="shared" si="13"/>
        <v>0.95</v>
      </c>
      <c r="J203" s="42">
        <f t="shared" si="14"/>
        <v>0.85</v>
      </c>
      <c r="K203" s="131">
        <f t="shared" si="15"/>
        <v>0.75</v>
      </c>
      <c r="L203" s="42"/>
      <c r="M203" s="42"/>
      <c r="N203" s="39" t="s">
        <v>27</v>
      </c>
      <c r="O203" s="39" t="s">
        <v>475</v>
      </c>
      <c r="P203" t="s">
        <v>802</v>
      </c>
      <c r="Q203" s="99">
        <v>97.598259542109204</v>
      </c>
      <c r="R203" s="99">
        <v>100</v>
      </c>
      <c r="S203" s="99">
        <v>99.9088644445158</v>
      </c>
      <c r="T203" s="99">
        <v>98.300807999598703</v>
      </c>
      <c r="U203" s="99">
        <v>99.308579487811102</v>
      </c>
      <c r="V203" s="99">
        <v>99.861376245759203</v>
      </c>
      <c r="W203" s="99">
        <v>98.435318328923003</v>
      </c>
      <c r="X203" s="99">
        <v>100</v>
      </c>
      <c r="Y203" s="99">
        <v>100</v>
      </c>
      <c r="Z203" s="99">
        <v>99.826526206786994</v>
      </c>
      <c r="AA203" s="99">
        <v>100</v>
      </c>
      <c r="AB203" s="99">
        <v>100</v>
      </c>
      <c r="AC203" s="99">
        <v>99.545605169915802</v>
      </c>
      <c r="AD203" s="99">
        <v>94.074281633079806</v>
      </c>
      <c r="AE203" s="99">
        <v>99.927425255990201</v>
      </c>
      <c r="AF203" s="99">
        <v>99.150040567443995</v>
      </c>
      <c r="AG203" s="99">
        <v>98.688185818315603</v>
      </c>
      <c r="AH203" s="99">
        <v>100</v>
      </c>
      <c r="AI203" s="99">
        <v>99.802063769120096</v>
      </c>
      <c r="AJ203" s="99">
        <v>98.6793726330243</v>
      </c>
      <c r="AK203" s="99">
        <v>100</v>
      </c>
      <c r="AL203" s="99">
        <v>100</v>
      </c>
      <c r="AM203" s="99">
        <v>100</v>
      </c>
      <c r="AN203" s="99">
        <v>99.616186325931906</v>
      </c>
    </row>
    <row r="204" spans="1:40" s="30" customFormat="1" ht="15.6">
      <c r="A204"/>
      <c r="B204" s="29"/>
      <c r="C204" s="44" t="s">
        <v>876</v>
      </c>
      <c r="D204" s="39" t="s">
        <v>27</v>
      </c>
      <c r="E204" s="39" t="s">
        <v>553</v>
      </c>
      <c r="F204" t="s">
        <v>803</v>
      </c>
      <c r="G204" s="41">
        <f>VLOOKUP(F204,'(3) Demographie &amp; Departements'!$G$8:$J$526,4,0)</f>
        <v>37280.577399634778</v>
      </c>
      <c r="H204" s="96">
        <f t="shared" si="12"/>
        <v>17149.065603831998</v>
      </c>
      <c r="I204" s="130">
        <f t="shared" si="13"/>
        <v>0.95</v>
      </c>
      <c r="J204" s="42">
        <f t="shared" si="14"/>
        <v>0.85</v>
      </c>
      <c r="K204" s="131">
        <f t="shared" si="15"/>
        <v>0.75</v>
      </c>
      <c r="L204" s="42"/>
      <c r="M204" s="42"/>
      <c r="N204" s="39" t="s">
        <v>27</v>
      </c>
      <c r="O204" s="39" t="s">
        <v>553</v>
      </c>
      <c r="P204" t="s">
        <v>803</v>
      </c>
      <c r="Q204" s="99">
        <v>87.331945338906095</v>
      </c>
      <c r="R204" s="99">
        <v>100</v>
      </c>
      <c r="S204" s="99">
        <v>90.115579596144798</v>
      </c>
      <c r="T204" s="99">
        <v>73.839209222826497</v>
      </c>
      <c r="U204" s="99">
        <v>83.176832161072397</v>
      </c>
      <c r="V204" s="99">
        <v>100</v>
      </c>
      <c r="W204" s="99">
        <v>88.427708965609895</v>
      </c>
      <c r="X204" s="99">
        <v>100</v>
      </c>
      <c r="Y204" s="99">
        <v>92.313171756185895</v>
      </c>
      <c r="Z204" s="99">
        <v>85.390475956272397</v>
      </c>
      <c r="AA204" s="99">
        <v>87.177891486186994</v>
      </c>
      <c r="AB204" s="99">
        <v>99.900587061871306</v>
      </c>
      <c r="AC204" s="99">
        <v>100</v>
      </c>
      <c r="AD204" s="99">
        <v>81.431423766550594</v>
      </c>
      <c r="AE204" s="99">
        <v>84.956142810439502</v>
      </c>
      <c r="AF204" s="99">
        <v>78.622083554235004</v>
      </c>
      <c r="AG204" s="99">
        <v>97.476889579320101</v>
      </c>
      <c r="AH204" s="99">
        <v>95.9646257071077</v>
      </c>
      <c r="AI204" s="99">
        <v>87.560457733869796</v>
      </c>
      <c r="AJ204" s="99">
        <v>94.199533512202606</v>
      </c>
      <c r="AK204" s="99">
        <v>98.162836994490803</v>
      </c>
      <c r="AL204" s="99">
        <v>99.915261383888307</v>
      </c>
      <c r="AM204" s="99">
        <v>100</v>
      </c>
      <c r="AN204" s="99">
        <v>95.717022879588697</v>
      </c>
    </row>
    <row r="205" spans="1:40" s="30" customFormat="1" ht="15.6">
      <c r="A205"/>
      <c r="B205" s="29"/>
      <c r="C205" s="44" t="s">
        <v>876</v>
      </c>
      <c r="D205" s="39" t="s">
        <v>27</v>
      </c>
      <c r="E205" s="39" t="s">
        <v>448</v>
      </c>
      <c r="F205" t="s">
        <v>804</v>
      </c>
      <c r="G205" s="41">
        <f>VLOOKUP(F205,'(3) Demographie &amp; Departements'!$G$8:$J$526,4,0)</f>
        <v>17054.408143185094</v>
      </c>
      <c r="H205" s="96">
        <f t="shared" si="12"/>
        <v>7845.0277458651435</v>
      </c>
      <c r="I205" s="130">
        <f t="shared" si="13"/>
        <v>0.95</v>
      </c>
      <c r="J205" s="42">
        <f t="shared" si="14"/>
        <v>0.85</v>
      </c>
      <c r="K205" s="131">
        <f t="shared" si="15"/>
        <v>0.75</v>
      </c>
      <c r="L205" s="42"/>
      <c r="M205" s="42"/>
      <c r="N205" s="39" t="s">
        <v>27</v>
      </c>
      <c r="O205" s="39" t="s">
        <v>448</v>
      </c>
      <c r="P205" t="s">
        <v>804</v>
      </c>
      <c r="Q205" s="99">
        <v>100</v>
      </c>
      <c r="R205" s="99">
        <v>100</v>
      </c>
      <c r="S205" s="99">
        <v>100</v>
      </c>
      <c r="T205" s="99">
        <v>99.941563850368993</v>
      </c>
      <c r="U205" s="99">
        <v>100</v>
      </c>
      <c r="V205" s="99">
        <v>100</v>
      </c>
      <c r="W205" s="99">
        <v>100</v>
      </c>
      <c r="X205" s="99">
        <v>100</v>
      </c>
      <c r="Y205" s="99">
        <v>100</v>
      </c>
      <c r="Z205" s="99">
        <v>100</v>
      </c>
      <c r="AA205" s="99">
        <v>100</v>
      </c>
      <c r="AB205" s="99">
        <v>100</v>
      </c>
      <c r="AC205" s="99">
        <v>100</v>
      </c>
      <c r="AD205" s="99">
        <v>93.631040516918304</v>
      </c>
      <c r="AE205" s="99">
        <v>100</v>
      </c>
      <c r="AF205" s="99">
        <v>99.760808085028202</v>
      </c>
      <c r="AG205" s="99">
        <v>100</v>
      </c>
      <c r="AH205" s="99">
        <v>100</v>
      </c>
      <c r="AI205" s="99">
        <v>99.976408724050103</v>
      </c>
      <c r="AJ205" s="99">
        <v>93.605178879858201</v>
      </c>
      <c r="AK205" s="99">
        <v>100</v>
      </c>
      <c r="AL205" s="99">
        <v>100</v>
      </c>
      <c r="AM205" s="99">
        <v>100</v>
      </c>
      <c r="AN205" s="99">
        <v>100</v>
      </c>
    </row>
    <row r="206" spans="1:40" s="30" customFormat="1" ht="15.6">
      <c r="A206"/>
      <c r="B206" s="29"/>
      <c r="C206" s="44" t="s">
        <v>876</v>
      </c>
      <c r="D206" s="39" t="s">
        <v>27</v>
      </c>
      <c r="E206" s="39" t="s">
        <v>566</v>
      </c>
      <c r="F206" t="s">
        <v>805</v>
      </c>
      <c r="G206" s="41">
        <f>VLOOKUP(F206,'(3) Demographie &amp; Departements'!$G$8:$J$526,4,0)</f>
        <v>9969.520986485988</v>
      </c>
      <c r="H206" s="96">
        <f t="shared" si="12"/>
        <v>4585.9796537835546</v>
      </c>
      <c r="I206" s="130">
        <f t="shared" si="13"/>
        <v>0.95</v>
      </c>
      <c r="J206" s="42">
        <f t="shared" si="14"/>
        <v>0.85</v>
      </c>
      <c r="K206" s="131">
        <f t="shared" si="15"/>
        <v>0.75</v>
      </c>
      <c r="L206" s="42"/>
      <c r="M206" s="42"/>
      <c r="N206" s="39" t="s">
        <v>27</v>
      </c>
      <c r="O206" s="39" t="s">
        <v>566</v>
      </c>
      <c r="P206" t="s">
        <v>805</v>
      </c>
      <c r="Q206" s="99">
        <v>100</v>
      </c>
      <c r="R206" s="99">
        <v>100</v>
      </c>
      <c r="S206" s="99">
        <v>100</v>
      </c>
      <c r="T206" s="99">
        <v>100</v>
      </c>
      <c r="U206" s="99">
        <v>100</v>
      </c>
      <c r="V206" s="99">
        <v>100</v>
      </c>
      <c r="W206" s="99">
        <v>100</v>
      </c>
      <c r="X206" s="99">
        <v>100</v>
      </c>
      <c r="Y206" s="99">
        <v>100</v>
      </c>
      <c r="Z206" s="99">
        <v>100</v>
      </c>
      <c r="AA206" s="99">
        <v>100</v>
      </c>
      <c r="AB206" s="99">
        <v>100</v>
      </c>
      <c r="AC206" s="99">
        <v>100</v>
      </c>
      <c r="AD206" s="99">
        <v>100</v>
      </c>
      <c r="AE206" s="99">
        <v>100</v>
      </c>
      <c r="AF206" s="99">
        <v>100</v>
      </c>
      <c r="AG206" s="99">
        <v>100</v>
      </c>
      <c r="AH206" s="99">
        <v>100</v>
      </c>
      <c r="AI206" s="99">
        <v>100</v>
      </c>
      <c r="AJ206" s="99">
        <v>100</v>
      </c>
      <c r="AK206" s="99">
        <v>100</v>
      </c>
      <c r="AL206" s="99">
        <v>100</v>
      </c>
      <c r="AM206" s="99">
        <v>100</v>
      </c>
      <c r="AN206" s="99">
        <v>100</v>
      </c>
    </row>
    <row r="207" spans="1:40" s="30" customFormat="1" ht="15.6">
      <c r="A207"/>
      <c r="B207" s="29"/>
      <c r="C207" s="44" t="s">
        <v>876</v>
      </c>
      <c r="D207" s="39" t="s">
        <v>27</v>
      </c>
      <c r="E207" s="39" t="s">
        <v>448</v>
      </c>
      <c r="F207" t="s">
        <v>806</v>
      </c>
      <c r="G207" s="41">
        <f>VLOOKUP(F207,'(3) Demographie &amp; Departements'!$G$8:$J$526,4,0)</f>
        <v>440926.09239719645</v>
      </c>
      <c r="H207" s="96">
        <f t="shared" si="12"/>
        <v>202826.00250271038</v>
      </c>
      <c r="I207" s="130">
        <f t="shared" si="13"/>
        <v>0.95</v>
      </c>
      <c r="J207" s="42">
        <f t="shared" si="14"/>
        <v>0.85</v>
      </c>
      <c r="K207" s="131">
        <f t="shared" si="15"/>
        <v>0.75</v>
      </c>
      <c r="L207" s="42"/>
      <c r="M207" s="42"/>
      <c r="N207" s="39" t="s">
        <v>27</v>
      </c>
      <c r="O207" s="39" t="s">
        <v>448</v>
      </c>
      <c r="P207" t="s">
        <v>806</v>
      </c>
      <c r="Q207" s="99">
        <v>100</v>
      </c>
      <c r="R207" s="99">
        <v>100</v>
      </c>
      <c r="S207" s="99">
        <v>100</v>
      </c>
      <c r="T207" s="99">
        <v>100</v>
      </c>
      <c r="U207" s="99">
        <v>100</v>
      </c>
      <c r="V207" s="99">
        <v>100</v>
      </c>
      <c r="W207" s="99">
        <v>100</v>
      </c>
      <c r="X207" s="99">
        <v>100</v>
      </c>
      <c r="Y207" s="99">
        <v>100</v>
      </c>
      <c r="Z207" s="99">
        <v>100</v>
      </c>
      <c r="AA207" s="99">
        <v>100</v>
      </c>
      <c r="AB207" s="99">
        <v>100</v>
      </c>
      <c r="AC207" s="99">
        <v>100</v>
      </c>
      <c r="AD207" s="99">
        <v>98.048220757322696</v>
      </c>
      <c r="AE207" s="99">
        <v>100</v>
      </c>
      <c r="AF207" s="99">
        <v>100</v>
      </c>
      <c r="AG207" s="99">
        <v>100</v>
      </c>
      <c r="AH207" s="99">
        <v>100</v>
      </c>
      <c r="AI207" s="99">
        <v>100</v>
      </c>
      <c r="AJ207" s="99">
        <v>98.842986713540697</v>
      </c>
      <c r="AK207" s="99">
        <v>100</v>
      </c>
      <c r="AL207" s="99">
        <v>100</v>
      </c>
      <c r="AM207" s="99">
        <v>100</v>
      </c>
      <c r="AN207" s="99">
        <v>100</v>
      </c>
    </row>
    <row r="208" spans="1:40" s="30" customFormat="1" ht="15.6">
      <c r="A208"/>
      <c r="B208" s="29"/>
      <c r="C208" s="44" t="s">
        <v>876</v>
      </c>
      <c r="D208" s="39" t="s">
        <v>27</v>
      </c>
      <c r="E208" s="39" t="s">
        <v>561</v>
      </c>
      <c r="F208" t="s">
        <v>807</v>
      </c>
      <c r="G208" s="41">
        <f>VLOOKUP(F208,'(3) Demographie &amp; Departements'!$G$8:$J$526,4,0)</f>
        <v>33566.951250793587</v>
      </c>
      <c r="H208" s="96">
        <f t="shared" si="12"/>
        <v>15440.79757536505</v>
      </c>
      <c r="I208" s="130">
        <f t="shared" si="13"/>
        <v>0.95</v>
      </c>
      <c r="J208" s="42">
        <f t="shared" si="14"/>
        <v>0.85</v>
      </c>
      <c r="K208" s="131">
        <f t="shared" si="15"/>
        <v>0.75</v>
      </c>
      <c r="L208" s="42"/>
      <c r="M208" s="42"/>
      <c r="N208" s="39" t="s">
        <v>27</v>
      </c>
      <c r="O208" s="39" t="s">
        <v>561</v>
      </c>
      <c r="P208" t="s">
        <v>807</v>
      </c>
      <c r="Q208" s="99">
        <v>99.949200329604196</v>
      </c>
      <c r="R208" s="99">
        <v>100</v>
      </c>
      <c r="S208" s="99">
        <v>100</v>
      </c>
      <c r="T208" s="99">
        <v>99.993326017936695</v>
      </c>
      <c r="U208" s="99">
        <v>100</v>
      </c>
      <c r="V208" s="99">
        <v>100</v>
      </c>
      <c r="W208" s="99">
        <v>98.481357509932593</v>
      </c>
      <c r="X208" s="99">
        <v>100</v>
      </c>
      <c r="Y208" s="99">
        <v>99.5726580297178</v>
      </c>
      <c r="Z208" s="99">
        <v>100</v>
      </c>
      <c r="AA208" s="99">
        <v>100</v>
      </c>
      <c r="AB208" s="99">
        <v>100</v>
      </c>
      <c r="AC208" s="99">
        <v>100</v>
      </c>
      <c r="AD208" s="99">
        <v>94.495540655162998</v>
      </c>
      <c r="AE208" s="99">
        <v>99.905233366426998</v>
      </c>
      <c r="AF208" s="99">
        <v>99.499903150867397</v>
      </c>
      <c r="AG208" s="99">
        <v>100</v>
      </c>
      <c r="AH208" s="99">
        <v>100</v>
      </c>
      <c r="AI208" s="99">
        <v>100</v>
      </c>
      <c r="AJ208" s="99">
        <v>99.377243172716604</v>
      </c>
      <c r="AK208" s="99">
        <v>100</v>
      </c>
      <c r="AL208" s="99">
        <v>100</v>
      </c>
      <c r="AM208" s="99">
        <v>100</v>
      </c>
      <c r="AN208" s="99">
        <v>100</v>
      </c>
    </row>
    <row r="209" spans="1:40" s="30" customFormat="1" ht="15.6">
      <c r="A209"/>
      <c r="B209" s="29"/>
      <c r="C209" s="44" t="s">
        <v>876</v>
      </c>
      <c r="D209" s="39" t="s">
        <v>27</v>
      </c>
      <c r="E209" s="39" t="s">
        <v>472</v>
      </c>
      <c r="F209" t="s">
        <v>808</v>
      </c>
      <c r="G209" s="41">
        <f>VLOOKUP(F209,'(3) Demographie &amp; Departements'!$G$8:$J$526,4,0)</f>
        <v>14531.109122073276</v>
      </c>
      <c r="H209" s="96">
        <f t="shared" si="12"/>
        <v>6684.3101961537077</v>
      </c>
      <c r="I209" s="130">
        <f t="shared" si="13"/>
        <v>0.95</v>
      </c>
      <c r="J209" s="42">
        <f t="shared" si="14"/>
        <v>0.85</v>
      </c>
      <c r="K209" s="131">
        <f t="shared" si="15"/>
        <v>0.75</v>
      </c>
      <c r="L209" s="42"/>
      <c r="M209" s="42"/>
      <c r="N209" s="39" t="s">
        <v>27</v>
      </c>
      <c r="O209" s="39" t="s">
        <v>472</v>
      </c>
      <c r="P209" t="s">
        <v>808</v>
      </c>
      <c r="Q209" s="99">
        <v>99.995298955822093</v>
      </c>
      <c r="R209" s="99">
        <v>100</v>
      </c>
      <c r="S209" s="99">
        <v>99.635965937299005</v>
      </c>
      <c r="T209" s="99">
        <v>97.596986006432005</v>
      </c>
      <c r="U209" s="99">
        <v>99.460542654071702</v>
      </c>
      <c r="V209" s="99">
        <v>100</v>
      </c>
      <c r="W209" s="99">
        <v>99.660845985388093</v>
      </c>
      <c r="X209" s="99">
        <v>100</v>
      </c>
      <c r="Y209" s="99">
        <v>100</v>
      </c>
      <c r="Z209" s="99">
        <v>97.894433735254196</v>
      </c>
      <c r="AA209" s="99">
        <v>100</v>
      </c>
      <c r="AB209" s="99">
        <v>100</v>
      </c>
      <c r="AC209" s="99">
        <v>100</v>
      </c>
      <c r="AD209" s="99">
        <v>95.057453259173897</v>
      </c>
      <c r="AE209" s="99">
        <v>97.5906684618881</v>
      </c>
      <c r="AF209" s="99">
        <v>99.677488046470103</v>
      </c>
      <c r="AG209" s="99">
        <v>97.162241019544197</v>
      </c>
      <c r="AH209" s="99">
        <v>99.235817280962706</v>
      </c>
      <c r="AI209" s="99">
        <v>98.1792930052911</v>
      </c>
      <c r="AJ209" s="99">
        <v>97.031902610581795</v>
      </c>
      <c r="AK209" s="99">
        <v>99.057544651483298</v>
      </c>
      <c r="AL209" s="99">
        <v>99.901479340235596</v>
      </c>
      <c r="AM209" s="99">
        <v>100</v>
      </c>
      <c r="AN209" s="99">
        <v>99.980303351613799</v>
      </c>
    </row>
    <row r="210" spans="1:40" s="30" customFormat="1" ht="15.6">
      <c r="A210"/>
      <c r="B210" s="29"/>
      <c r="C210" s="44" t="s">
        <v>876</v>
      </c>
      <c r="D210" s="39" t="s">
        <v>27</v>
      </c>
      <c r="E210" s="39" t="s">
        <v>553</v>
      </c>
      <c r="F210" t="s">
        <v>809</v>
      </c>
      <c r="G210" s="41">
        <f>VLOOKUP(F210,'(3) Demographie &amp; Departements'!$G$8:$J$526,4,0)</f>
        <v>63830.371625777014</v>
      </c>
      <c r="H210" s="96">
        <f t="shared" si="12"/>
        <v>29361.970947857426</v>
      </c>
      <c r="I210" s="130">
        <f t="shared" si="13"/>
        <v>0.95</v>
      </c>
      <c r="J210" s="42">
        <f t="shared" si="14"/>
        <v>0.85</v>
      </c>
      <c r="K210" s="131">
        <f t="shared" si="15"/>
        <v>0.75</v>
      </c>
      <c r="L210" s="42"/>
      <c r="M210" s="42"/>
      <c r="N210" s="39" t="s">
        <v>27</v>
      </c>
      <c r="O210" s="39" t="s">
        <v>553</v>
      </c>
      <c r="P210" t="s">
        <v>809</v>
      </c>
      <c r="Q210" s="99">
        <v>86.122611704318899</v>
      </c>
      <c r="R210" s="99">
        <v>100</v>
      </c>
      <c r="S210" s="99">
        <v>90.823835778857301</v>
      </c>
      <c r="T210" s="99">
        <v>76.232232852406995</v>
      </c>
      <c r="U210" s="99">
        <v>84.660216919817898</v>
      </c>
      <c r="V210" s="99">
        <v>100</v>
      </c>
      <c r="W210" s="99">
        <v>89.791806828576796</v>
      </c>
      <c r="X210" s="99">
        <v>100</v>
      </c>
      <c r="Y210" s="99">
        <v>94.639894983174202</v>
      </c>
      <c r="Z210" s="99">
        <v>85.543898645925495</v>
      </c>
      <c r="AA210" s="99">
        <v>92.895241868966295</v>
      </c>
      <c r="AB210" s="99">
        <v>99.3866588839672</v>
      </c>
      <c r="AC210" s="99">
        <v>99.378960668676299</v>
      </c>
      <c r="AD210" s="99">
        <v>83.013566703227994</v>
      </c>
      <c r="AE210" s="99">
        <v>85.948687389059401</v>
      </c>
      <c r="AF210" s="99">
        <v>76.838351017253501</v>
      </c>
      <c r="AG210" s="99">
        <v>99.226832905304406</v>
      </c>
      <c r="AH210" s="99">
        <v>95.998316163787095</v>
      </c>
      <c r="AI210" s="99">
        <v>87.558952083403099</v>
      </c>
      <c r="AJ210" s="99">
        <v>90.615229855912702</v>
      </c>
      <c r="AK210" s="99">
        <v>96.639818047256995</v>
      </c>
      <c r="AL210" s="99">
        <v>100</v>
      </c>
      <c r="AM210" s="99">
        <v>100</v>
      </c>
      <c r="AN210" s="99">
        <v>95.452219235209398</v>
      </c>
    </row>
    <row r="211" spans="1:40" s="30" customFormat="1" ht="15.6">
      <c r="A211"/>
      <c r="B211" s="29"/>
      <c r="C211" s="44" t="s">
        <v>876</v>
      </c>
      <c r="D211" s="39" t="s">
        <v>27</v>
      </c>
      <c r="E211" s="39" t="s">
        <v>489</v>
      </c>
      <c r="F211" t="s">
        <v>810</v>
      </c>
      <c r="G211" s="41">
        <f>VLOOKUP(F211,'(3) Demographie &amp; Departements'!$G$8:$J$526,4,0)</f>
        <v>55892.905318586047</v>
      </c>
      <c r="H211" s="96">
        <f t="shared" si="12"/>
        <v>25710.736446549581</v>
      </c>
      <c r="I211" s="130">
        <f t="shared" si="13"/>
        <v>0.95</v>
      </c>
      <c r="J211" s="42">
        <f t="shared" si="14"/>
        <v>0.85</v>
      </c>
      <c r="K211" s="131">
        <f t="shared" si="15"/>
        <v>0.75</v>
      </c>
      <c r="L211" s="42"/>
      <c r="M211" s="42"/>
      <c r="N211" s="39" t="s">
        <v>27</v>
      </c>
      <c r="O211" s="39" t="s">
        <v>489</v>
      </c>
      <c r="P211" t="s">
        <v>810</v>
      </c>
      <c r="Q211" s="99">
        <v>99.819812670284307</v>
      </c>
      <c r="R211" s="99">
        <v>100</v>
      </c>
      <c r="S211" s="99">
        <v>100</v>
      </c>
      <c r="T211" s="99">
        <v>99.562155658283501</v>
      </c>
      <c r="U211" s="99">
        <v>100</v>
      </c>
      <c r="V211" s="99">
        <v>100</v>
      </c>
      <c r="W211" s="99">
        <v>100</v>
      </c>
      <c r="X211" s="99">
        <v>100</v>
      </c>
      <c r="Y211" s="99">
        <v>100</v>
      </c>
      <c r="Z211" s="99">
        <v>100</v>
      </c>
      <c r="AA211" s="99">
        <v>100</v>
      </c>
      <c r="AB211" s="99">
        <v>100</v>
      </c>
      <c r="AC211" s="99">
        <v>100</v>
      </c>
      <c r="AD211" s="99">
        <v>94.405672926111194</v>
      </c>
      <c r="AE211" s="99">
        <v>99.291681434820802</v>
      </c>
      <c r="AF211" s="99">
        <v>100</v>
      </c>
      <c r="AG211" s="99">
        <v>100</v>
      </c>
      <c r="AH211" s="99">
        <v>100</v>
      </c>
      <c r="AI211" s="99">
        <v>99.958167256642398</v>
      </c>
      <c r="AJ211" s="99">
        <v>99.917105230483799</v>
      </c>
      <c r="AK211" s="99">
        <v>100</v>
      </c>
      <c r="AL211" s="99">
        <v>100</v>
      </c>
      <c r="AM211" s="99">
        <v>100</v>
      </c>
      <c r="AN211" s="99">
        <v>100</v>
      </c>
    </row>
    <row r="212" spans="1:40" s="30" customFormat="1" ht="15.6">
      <c r="A212"/>
      <c r="B212" s="29"/>
      <c r="C212" s="44" t="s">
        <v>876</v>
      </c>
      <c r="D212" s="39" t="s">
        <v>27</v>
      </c>
      <c r="E212" s="39" t="s">
        <v>613</v>
      </c>
      <c r="F212" t="s">
        <v>811</v>
      </c>
      <c r="G212" s="41">
        <f>VLOOKUP(F212,'(3) Demographie &amp; Departements'!$G$8:$J$526,4,0)</f>
        <v>14208.811506916443</v>
      </c>
      <c r="H212" s="96">
        <f t="shared" si="12"/>
        <v>6536.0532931815642</v>
      </c>
      <c r="I212" s="130">
        <f t="shared" si="13"/>
        <v>0.95</v>
      </c>
      <c r="J212" s="42">
        <f t="shared" si="14"/>
        <v>0.85</v>
      </c>
      <c r="K212" s="131">
        <f t="shared" si="15"/>
        <v>0.75</v>
      </c>
      <c r="L212" s="42"/>
      <c r="M212" s="42"/>
      <c r="N212" s="39" t="s">
        <v>27</v>
      </c>
      <c r="O212" s="39" t="s">
        <v>613</v>
      </c>
      <c r="P212" t="s">
        <v>811</v>
      </c>
      <c r="Q212" s="99">
        <v>83.433953204554101</v>
      </c>
      <c r="R212" s="99">
        <v>99.8161056808935</v>
      </c>
      <c r="S212" s="99">
        <v>85.298432383396403</v>
      </c>
      <c r="T212" s="99">
        <v>79.074953295334097</v>
      </c>
      <c r="U212" s="99">
        <v>84.347340579889405</v>
      </c>
      <c r="V212" s="99">
        <v>96.906650833975704</v>
      </c>
      <c r="W212" s="99">
        <v>85.438549258585994</v>
      </c>
      <c r="X212" s="99">
        <v>100</v>
      </c>
      <c r="Y212" s="99">
        <v>92.592498471420896</v>
      </c>
      <c r="Z212" s="99">
        <v>99.840789835560102</v>
      </c>
      <c r="AA212" s="99">
        <v>99.597611691320296</v>
      </c>
      <c r="AB212" s="99">
        <v>100</v>
      </c>
      <c r="AC212" s="99">
        <v>74.396283683826297</v>
      </c>
      <c r="AD212" s="99">
        <v>86.628535316712401</v>
      </c>
      <c r="AE212" s="99">
        <v>72.703497464222806</v>
      </c>
      <c r="AF212" s="99">
        <v>85.105308389067503</v>
      </c>
      <c r="AG212" s="99">
        <v>83.853687519856507</v>
      </c>
      <c r="AH212" s="99">
        <v>77.377990809297501</v>
      </c>
      <c r="AI212" s="99">
        <v>99.599699031279897</v>
      </c>
      <c r="AJ212" s="99">
        <v>77.936695640795307</v>
      </c>
      <c r="AK212" s="99">
        <v>100</v>
      </c>
      <c r="AL212" s="99">
        <v>97.346550175120399</v>
      </c>
      <c r="AM212" s="99">
        <v>100</v>
      </c>
      <c r="AN212" s="99">
        <v>70.721438703943804</v>
      </c>
    </row>
    <row r="213" spans="1:40" s="30" customFormat="1" ht="15.6">
      <c r="A213"/>
      <c r="B213" s="29"/>
      <c r="C213" s="44" t="s">
        <v>876</v>
      </c>
      <c r="D213" s="39" t="s">
        <v>26</v>
      </c>
      <c r="E213" s="39" t="s">
        <v>576</v>
      </c>
      <c r="F213" t="s">
        <v>688</v>
      </c>
      <c r="G213" s="41">
        <f>VLOOKUP(F213,'(3) Demographie &amp; Departements'!$G$8:$J$526,4,0)</f>
        <v>98052.837888814232</v>
      </c>
      <c r="H213" s="96">
        <f t="shared" si="12"/>
        <v>45104.305428854546</v>
      </c>
      <c r="I213" s="130">
        <f t="shared" si="13"/>
        <v>0.95</v>
      </c>
      <c r="J213" s="42">
        <f t="shared" si="14"/>
        <v>0.85</v>
      </c>
      <c r="K213" s="131">
        <f t="shared" si="15"/>
        <v>0.75</v>
      </c>
      <c r="L213" s="42"/>
      <c r="M213" s="42"/>
      <c r="N213" s="39" t="s">
        <v>26</v>
      </c>
      <c r="O213" s="39" t="s">
        <v>576</v>
      </c>
      <c r="P213" t="s">
        <v>688</v>
      </c>
      <c r="Q213" s="99">
        <v>98.111569278765799</v>
      </c>
      <c r="R213" s="99">
        <v>100</v>
      </c>
      <c r="S213" s="99">
        <v>92.155876445955499</v>
      </c>
      <c r="T213" s="99">
        <v>90.436686102083399</v>
      </c>
      <c r="U213" s="99">
        <v>91.641773648734201</v>
      </c>
      <c r="V213" s="99">
        <v>100</v>
      </c>
      <c r="W213" s="99">
        <v>90.994146453329407</v>
      </c>
      <c r="X213" s="99">
        <v>100</v>
      </c>
      <c r="Y213" s="99">
        <v>100</v>
      </c>
      <c r="Z213" s="99">
        <v>100</v>
      </c>
      <c r="AA213" s="99">
        <v>100</v>
      </c>
      <c r="AB213" s="99">
        <v>100</v>
      </c>
      <c r="AC213" s="99">
        <v>83.451469313774794</v>
      </c>
      <c r="AD213" s="99">
        <v>93.679938131501203</v>
      </c>
      <c r="AE213" s="99">
        <v>78.966713594120293</v>
      </c>
      <c r="AF213" s="99">
        <v>95.960341533873702</v>
      </c>
      <c r="AG213" s="99">
        <v>93.703772414930199</v>
      </c>
      <c r="AH213" s="99">
        <v>83.918865190056195</v>
      </c>
      <c r="AI213" s="99">
        <v>100</v>
      </c>
      <c r="AJ213" s="99">
        <v>89.478679591015407</v>
      </c>
      <c r="AK213" s="99">
        <v>100</v>
      </c>
      <c r="AL213" s="99">
        <v>100</v>
      </c>
      <c r="AM213" s="99">
        <v>100</v>
      </c>
      <c r="AN213" s="99">
        <v>73.945892628160394</v>
      </c>
    </row>
    <row r="214" spans="1:40" s="30" customFormat="1" ht="15.6">
      <c r="A214"/>
      <c r="B214" s="29"/>
      <c r="C214" s="44" t="s">
        <v>876</v>
      </c>
      <c r="D214" s="39" t="s">
        <v>27</v>
      </c>
      <c r="E214" s="39" t="s">
        <v>448</v>
      </c>
      <c r="F214" t="s">
        <v>812</v>
      </c>
      <c r="G214" s="41">
        <f>VLOOKUP(F214,'(3) Demographie &amp; Departements'!$G$8:$J$526,4,0)</f>
        <v>26895.150646697151</v>
      </c>
      <c r="H214" s="96">
        <f t="shared" si="12"/>
        <v>12371.769297480691</v>
      </c>
      <c r="I214" s="130">
        <f t="shared" si="13"/>
        <v>0.95</v>
      </c>
      <c r="J214" s="42">
        <f t="shared" si="14"/>
        <v>0.85</v>
      </c>
      <c r="K214" s="131">
        <f t="shared" si="15"/>
        <v>0.75</v>
      </c>
      <c r="L214" s="42"/>
      <c r="M214" s="42"/>
      <c r="N214" s="39" t="s">
        <v>27</v>
      </c>
      <c r="O214" s="39" t="s">
        <v>448</v>
      </c>
      <c r="P214" t="s">
        <v>812</v>
      </c>
      <c r="Q214" s="99">
        <v>100</v>
      </c>
      <c r="R214" s="99">
        <v>100</v>
      </c>
      <c r="S214" s="99">
        <v>100</v>
      </c>
      <c r="T214" s="99">
        <v>98.351341541389999</v>
      </c>
      <c r="U214" s="99">
        <v>100</v>
      </c>
      <c r="V214" s="99">
        <v>100</v>
      </c>
      <c r="W214" s="99">
        <v>100</v>
      </c>
      <c r="X214" s="99">
        <v>100</v>
      </c>
      <c r="Y214" s="99">
        <v>100</v>
      </c>
      <c r="Z214" s="99">
        <v>100</v>
      </c>
      <c r="AA214" s="99">
        <v>100</v>
      </c>
      <c r="AB214" s="99">
        <v>100</v>
      </c>
      <c r="AC214" s="99">
        <v>100</v>
      </c>
      <c r="AD214" s="99">
        <v>90.949052782491407</v>
      </c>
      <c r="AE214" s="99">
        <v>100</v>
      </c>
      <c r="AF214" s="99">
        <v>99.767378960607104</v>
      </c>
      <c r="AG214" s="99">
        <v>99.897508120804105</v>
      </c>
      <c r="AH214" s="99">
        <v>100</v>
      </c>
      <c r="AI214" s="99">
        <v>98.774183895490907</v>
      </c>
      <c r="AJ214" s="99">
        <v>93.749716796232207</v>
      </c>
      <c r="AK214" s="99">
        <v>100</v>
      </c>
      <c r="AL214" s="99">
        <v>100</v>
      </c>
      <c r="AM214" s="99">
        <v>100</v>
      </c>
      <c r="AN214" s="99">
        <v>100</v>
      </c>
    </row>
    <row r="215" spans="1:40" s="30" customFormat="1" ht="15.6">
      <c r="A215"/>
      <c r="B215" s="29"/>
      <c r="C215" s="44" t="s">
        <v>876</v>
      </c>
      <c r="D215" s="39" t="s">
        <v>27</v>
      </c>
      <c r="E215" s="39" t="s">
        <v>169</v>
      </c>
      <c r="F215" t="s">
        <v>813</v>
      </c>
      <c r="G215" s="41">
        <f>VLOOKUP(F215,'(3) Demographie &amp; Departements'!$G$8:$J$526,4,0)</f>
        <v>32750.581577393197</v>
      </c>
      <c r="H215" s="96">
        <f t="shared" si="12"/>
        <v>15065.267525600872</v>
      </c>
      <c r="I215" s="130">
        <f t="shared" si="13"/>
        <v>0.95</v>
      </c>
      <c r="J215" s="42">
        <f t="shared" si="14"/>
        <v>0.85</v>
      </c>
      <c r="K215" s="131">
        <f t="shared" si="15"/>
        <v>0.75</v>
      </c>
      <c r="L215" s="42"/>
      <c r="M215" s="42"/>
      <c r="N215" s="39" t="s">
        <v>27</v>
      </c>
      <c r="O215" s="39" t="s">
        <v>169</v>
      </c>
      <c r="P215" t="s">
        <v>813</v>
      </c>
      <c r="Q215" s="99">
        <v>100</v>
      </c>
      <c r="R215" s="99">
        <v>100</v>
      </c>
      <c r="S215" s="99">
        <v>100</v>
      </c>
      <c r="T215" s="99">
        <v>100</v>
      </c>
      <c r="U215" s="99">
        <v>100</v>
      </c>
      <c r="V215" s="99">
        <v>100</v>
      </c>
      <c r="W215" s="99">
        <v>100</v>
      </c>
      <c r="X215" s="99">
        <v>100</v>
      </c>
      <c r="Y215" s="99">
        <v>100</v>
      </c>
      <c r="Z215" s="99">
        <v>100</v>
      </c>
      <c r="AA215" s="99">
        <v>100</v>
      </c>
      <c r="AB215" s="99">
        <v>100</v>
      </c>
      <c r="AC215" s="99">
        <v>100</v>
      </c>
      <c r="AD215" s="99">
        <v>99.505899621722307</v>
      </c>
      <c r="AE215" s="99">
        <v>99.337591908119094</v>
      </c>
      <c r="AF215" s="99">
        <v>100</v>
      </c>
      <c r="AG215" s="99">
        <v>100</v>
      </c>
      <c r="AH215" s="99">
        <v>100</v>
      </c>
      <c r="AI215" s="99">
        <v>100</v>
      </c>
      <c r="AJ215" s="99">
        <v>100</v>
      </c>
      <c r="AK215" s="99">
        <v>100</v>
      </c>
      <c r="AL215" s="99">
        <v>100</v>
      </c>
      <c r="AM215" s="99">
        <v>99.956381872334006</v>
      </c>
      <c r="AN215" s="99">
        <v>100</v>
      </c>
    </row>
    <row r="216" spans="1:40" s="30" customFormat="1" ht="15.6">
      <c r="A216"/>
      <c r="B216" s="29"/>
      <c r="C216" s="44" t="s">
        <v>876</v>
      </c>
      <c r="D216" s="39" t="s">
        <v>27</v>
      </c>
      <c r="E216" s="39" t="s">
        <v>181</v>
      </c>
      <c r="F216" t="s">
        <v>814</v>
      </c>
      <c r="G216" s="41">
        <f>VLOOKUP(F216,'(3) Demographie &amp; Departements'!$G$8:$J$526,4,0)</f>
        <v>38811.928121120087</v>
      </c>
      <c r="H216" s="96">
        <f t="shared" si="12"/>
        <v>17853.486935715242</v>
      </c>
      <c r="I216" s="130">
        <f t="shared" si="13"/>
        <v>0.95</v>
      </c>
      <c r="J216" s="42">
        <f t="shared" si="14"/>
        <v>0.85</v>
      </c>
      <c r="K216" s="131">
        <f t="shared" si="15"/>
        <v>0.75</v>
      </c>
      <c r="L216" s="42"/>
      <c r="M216" s="42"/>
      <c r="N216" s="39" t="s">
        <v>27</v>
      </c>
      <c r="O216" s="39" t="s">
        <v>181</v>
      </c>
      <c r="P216" t="s">
        <v>814</v>
      </c>
      <c r="Q216" s="99">
        <v>100</v>
      </c>
      <c r="R216" s="99">
        <v>100</v>
      </c>
      <c r="S216" s="99">
        <v>100</v>
      </c>
      <c r="T216" s="99">
        <v>100</v>
      </c>
      <c r="U216" s="99">
        <v>100</v>
      </c>
      <c r="V216" s="99">
        <v>100</v>
      </c>
      <c r="W216" s="99">
        <v>100</v>
      </c>
      <c r="X216" s="99">
        <v>100</v>
      </c>
      <c r="Y216" s="99">
        <v>100</v>
      </c>
      <c r="Z216" s="99">
        <v>100</v>
      </c>
      <c r="AA216" s="99">
        <v>100</v>
      </c>
      <c r="AB216" s="99">
        <v>100</v>
      </c>
      <c r="AC216" s="99">
        <v>100</v>
      </c>
      <c r="AD216" s="99">
        <v>100</v>
      </c>
      <c r="AE216" s="99">
        <v>100</v>
      </c>
      <c r="AF216" s="99">
        <v>100</v>
      </c>
      <c r="AG216" s="99">
        <v>100</v>
      </c>
      <c r="AH216" s="99">
        <v>100</v>
      </c>
      <c r="AI216" s="99">
        <v>100</v>
      </c>
      <c r="AJ216" s="99">
        <v>100</v>
      </c>
      <c r="AK216" s="99">
        <v>100</v>
      </c>
      <c r="AL216" s="99">
        <v>100</v>
      </c>
      <c r="AM216" s="99">
        <v>100</v>
      </c>
      <c r="AN216" s="99">
        <v>100</v>
      </c>
    </row>
    <row r="217" spans="1:40" s="30" customFormat="1" ht="15.6">
      <c r="A217"/>
      <c r="B217" s="29"/>
      <c r="C217" s="44" t="s">
        <v>876</v>
      </c>
      <c r="D217" s="39" t="s">
        <v>27</v>
      </c>
      <c r="E217" s="39" t="s">
        <v>561</v>
      </c>
      <c r="F217" t="s">
        <v>815</v>
      </c>
      <c r="G217" s="41">
        <f>VLOOKUP(F217,'(3) Demographie &amp; Departements'!$G$8:$J$526,4,0)</f>
        <v>6336.5352798832946</v>
      </c>
      <c r="H217" s="96">
        <f t="shared" si="12"/>
        <v>2914.8062287463158</v>
      </c>
      <c r="I217" s="130">
        <f t="shared" si="13"/>
        <v>0.95</v>
      </c>
      <c r="J217" s="42">
        <f t="shared" si="14"/>
        <v>0.85</v>
      </c>
      <c r="K217" s="131">
        <f t="shared" si="15"/>
        <v>0.75</v>
      </c>
      <c r="L217" s="42"/>
      <c r="M217" s="42"/>
      <c r="N217" s="39" t="s">
        <v>27</v>
      </c>
      <c r="O217" s="39" t="s">
        <v>561</v>
      </c>
      <c r="P217" t="s">
        <v>815</v>
      </c>
      <c r="Q217" s="99">
        <v>100</v>
      </c>
      <c r="R217" s="99">
        <v>100</v>
      </c>
      <c r="S217" s="99">
        <v>100</v>
      </c>
      <c r="T217" s="99">
        <v>100</v>
      </c>
      <c r="U217" s="99">
        <v>100</v>
      </c>
      <c r="V217" s="99">
        <v>100</v>
      </c>
      <c r="W217" s="99">
        <v>100</v>
      </c>
      <c r="X217" s="99">
        <v>100</v>
      </c>
      <c r="Y217" s="99">
        <v>100</v>
      </c>
      <c r="Z217" s="99">
        <v>100</v>
      </c>
      <c r="AA217" s="99">
        <v>100</v>
      </c>
      <c r="AB217" s="99">
        <v>100</v>
      </c>
      <c r="AC217" s="99">
        <v>100</v>
      </c>
      <c r="AD217" s="99">
        <v>100</v>
      </c>
      <c r="AE217" s="99">
        <v>100</v>
      </c>
      <c r="AF217" s="99">
        <v>100</v>
      </c>
      <c r="AG217" s="99">
        <v>100</v>
      </c>
      <c r="AH217" s="99">
        <v>100</v>
      </c>
      <c r="AI217" s="99">
        <v>100</v>
      </c>
      <c r="AJ217" s="99">
        <v>100</v>
      </c>
      <c r="AK217" s="99">
        <v>100</v>
      </c>
      <c r="AL217" s="99">
        <v>100</v>
      </c>
      <c r="AM217" s="99">
        <v>100</v>
      </c>
      <c r="AN217" s="99">
        <v>100</v>
      </c>
    </row>
    <row r="218" spans="1:40" s="30" customFormat="1" ht="15.6">
      <c r="A218"/>
      <c r="B218" s="29"/>
      <c r="C218" s="44" t="s">
        <v>876</v>
      </c>
      <c r="D218" s="39" t="s">
        <v>26</v>
      </c>
      <c r="E218" s="39" t="s">
        <v>508</v>
      </c>
      <c r="F218" t="s">
        <v>691</v>
      </c>
      <c r="G218" s="41">
        <f>VLOOKUP(F218,'(3) Demographie &amp; Departements'!$G$8:$J$526,4,0)</f>
        <v>20509.427823710554</v>
      </c>
      <c r="H218" s="96">
        <f t="shared" si="12"/>
        <v>9434.3367989068556</v>
      </c>
      <c r="I218" s="130">
        <f t="shared" si="13"/>
        <v>0.95</v>
      </c>
      <c r="J218" s="42">
        <f t="shared" si="14"/>
        <v>0.85</v>
      </c>
      <c r="K218" s="131">
        <f t="shared" si="15"/>
        <v>0.75</v>
      </c>
      <c r="L218" s="42"/>
      <c r="M218" s="42"/>
      <c r="N218" s="39" t="s">
        <v>26</v>
      </c>
      <c r="O218" s="39" t="s">
        <v>508</v>
      </c>
      <c r="P218" t="s">
        <v>691</v>
      </c>
      <c r="Q218" s="99">
        <v>74.379821904683695</v>
      </c>
      <c r="R218" s="99">
        <v>92.582814123596606</v>
      </c>
      <c r="S218" s="99">
        <v>79.990631647135203</v>
      </c>
      <c r="T218" s="99">
        <v>84.702890967390701</v>
      </c>
      <c r="U218" s="99">
        <v>69.622570547478205</v>
      </c>
      <c r="V218" s="99">
        <v>92.820337286835596</v>
      </c>
      <c r="W218" s="99">
        <v>90.155680616385894</v>
      </c>
      <c r="X218" s="99">
        <v>100</v>
      </c>
      <c r="Y218" s="99">
        <v>83.440227485185503</v>
      </c>
      <c r="Z218" s="99">
        <v>90.625766092469703</v>
      </c>
      <c r="AA218" s="99">
        <v>85.999797877331304</v>
      </c>
      <c r="AB218" s="99">
        <v>87.815768839192501</v>
      </c>
      <c r="AC218" s="99">
        <v>72.705091427967602</v>
      </c>
      <c r="AD218" s="99">
        <v>70.214065743994396</v>
      </c>
      <c r="AE218" s="99">
        <v>68.784051088378902</v>
      </c>
      <c r="AF218" s="99">
        <v>66.766168087595602</v>
      </c>
      <c r="AG218" s="99">
        <v>92.021401468953997</v>
      </c>
      <c r="AH218" s="99">
        <v>95.340727946622195</v>
      </c>
      <c r="AI218" s="99">
        <v>84.243719642139794</v>
      </c>
      <c r="AJ218" s="99">
        <v>69.2762626083356</v>
      </c>
      <c r="AK218" s="99">
        <v>100</v>
      </c>
      <c r="AL218" s="99">
        <v>100</v>
      </c>
      <c r="AM218" s="99">
        <v>95.483333490392795</v>
      </c>
      <c r="AN218" s="99">
        <v>84.908199008348504</v>
      </c>
    </row>
    <row r="219" spans="1:40" s="30" customFormat="1" ht="15.6">
      <c r="A219"/>
      <c r="B219" s="29"/>
      <c r="C219" s="44" t="s">
        <v>876</v>
      </c>
      <c r="D219" s="39" t="s">
        <v>27</v>
      </c>
      <c r="E219" s="39" t="s">
        <v>555</v>
      </c>
      <c r="F219" t="s">
        <v>816</v>
      </c>
      <c r="G219" s="41">
        <f>VLOOKUP(F219,'(3) Demographie &amp; Departements'!$G$8:$J$526,4,0)</f>
        <v>74164.94869091177</v>
      </c>
      <c r="H219" s="96">
        <f t="shared" si="12"/>
        <v>34115.876397819418</v>
      </c>
      <c r="I219" s="130">
        <f t="shared" si="13"/>
        <v>0.95</v>
      </c>
      <c r="J219" s="42">
        <f t="shared" si="14"/>
        <v>0.85</v>
      </c>
      <c r="K219" s="131">
        <f t="shared" si="15"/>
        <v>0.75</v>
      </c>
      <c r="L219" s="42"/>
      <c r="M219" s="42"/>
      <c r="N219" s="39" t="s">
        <v>27</v>
      </c>
      <c r="O219" s="39" t="s">
        <v>555</v>
      </c>
      <c r="P219" t="s">
        <v>816</v>
      </c>
      <c r="Q219" s="99">
        <v>86.656939590257807</v>
      </c>
      <c r="R219" s="99">
        <v>99.883650826191698</v>
      </c>
      <c r="S219" s="99">
        <v>85.505292410223703</v>
      </c>
      <c r="T219" s="99">
        <v>72.610608629668505</v>
      </c>
      <c r="U219" s="99">
        <v>86.876315236524803</v>
      </c>
      <c r="V219" s="99">
        <v>93.419713793197005</v>
      </c>
      <c r="W219" s="99">
        <v>82.596431790789893</v>
      </c>
      <c r="X219" s="99">
        <v>98.996790181921099</v>
      </c>
      <c r="Y219" s="99">
        <v>89.314639812090405</v>
      </c>
      <c r="Z219" s="99">
        <v>76.3743944698749</v>
      </c>
      <c r="AA219" s="99">
        <v>84.132308105158501</v>
      </c>
      <c r="AB219" s="99">
        <v>99.857527299747204</v>
      </c>
      <c r="AC219" s="99">
        <v>99.906771132422193</v>
      </c>
      <c r="AD219" s="99">
        <v>81.042703245185805</v>
      </c>
      <c r="AE219" s="99">
        <v>81.460690798431699</v>
      </c>
      <c r="AF219" s="99">
        <v>75.788612681067605</v>
      </c>
      <c r="AG219" s="99">
        <v>87.587122268371402</v>
      </c>
      <c r="AH219" s="99">
        <v>93.204423657985799</v>
      </c>
      <c r="AI219" s="99">
        <v>89.634329523099694</v>
      </c>
      <c r="AJ219" s="99">
        <v>92.778616723199406</v>
      </c>
      <c r="AK219" s="99">
        <v>96.193542300386994</v>
      </c>
      <c r="AL219" s="99">
        <v>99.820247952115395</v>
      </c>
      <c r="AM219" s="99">
        <v>99.941819044490998</v>
      </c>
      <c r="AN219" s="99">
        <v>88.487101395583394</v>
      </c>
    </row>
    <row r="220" spans="1:40" s="30" customFormat="1" ht="15.6">
      <c r="A220"/>
      <c r="B220" s="29"/>
      <c r="C220" s="44" t="s">
        <v>876</v>
      </c>
      <c r="D220" s="39" t="s">
        <v>27</v>
      </c>
      <c r="E220" s="39" t="s">
        <v>555</v>
      </c>
      <c r="F220" t="s">
        <v>817</v>
      </c>
      <c r="G220" s="41">
        <f>VLOOKUP(F220,'(3) Demographie &amp; Departements'!$G$8:$J$526,4,0)</f>
        <v>42729.042211858752</v>
      </c>
      <c r="H220" s="96">
        <f t="shared" si="12"/>
        <v>19655.359417455027</v>
      </c>
      <c r="I220" s="130">
        <f t="shared" si="13"/>
        <v>0.95</v>
      </c>
      <c r="J220" s="42">
        <f t="shared" si="14"/>
        <v>0.85</v>
      </c>
      <c r="K220" s="131">
        <f t="shared" si="15"/>
        <v>0.75</v>
      </c>
      <c r="L220" s="42"/>
      <c r="M220" s="42"/>
      <c r="N220" s="39" t="s">
        <v>27</v>
      </c>
      <c r="O220" s="39" t="s">
        <v>555</v>
      </c>
      <c r="P220" t="s">
        <v>817</v>
      </c>
      <c r="Q220" s="99">
        <v>87.018730149302797</v>
      </c>
      <c r="R220" s="99">
        <v>99.346112694810003</v>
      </c>
      <c r="S220" s="99">
        <v>79.698736809603801</v>
      </c>
      <c r="T220" s="99">
        <v>77.291521728539806</v>
      </c>
      <c r="U220" s="99">
        <v>87.838784836754698</v>
      </c>
      <c r="V220" s="99">
        <v>91.330589105183705</v>
      </c>
      <c r="W220" s="99">
        <v>78.2815019721114</v>
      </c>
      <c r="X220" s="99">
        <v>99.834856928319596</v>
      </c>
      <c r="Y220" s="99">
        <v>91.474501226476505</v>
      </c>
      <c r="Z220" s="99">
        <v>74.835916057166401</v>
      </c>
      <c r="AA220" s="99">
        <v>90.1270704646209</v>
      </c>
      <c r="AB220" s="99">
        <v>99.729920805128202</v>
      </c>
      <c r="AC220" s="99">
        <v>99.624921988418706</v>
      </c>
      <c r="AD220" s="99">
        <v>82.536324497085801</v>
      </c>
      <c r="AE220" s="99">
        <v>75.612921171922807</v>
      </c>
      <c r="AF220" s="99">
        <v>78.548616166905205</v>
      </c>
      <c r="AG220" s="99">
        <v>83.202492911414097</v>
      </c>
      <c r="AH220" s="99">
        <v>89.526261602982004</v>
      </c>
      <c r="AI220" s="99">
        <v>79.949865244373399</v>
      </c>
      <c r="AJ220" s="99">
        <v>83.922212617589096</v>
      </c>
      <c r="AK220" s="99">
        <v>87.013467728810994</v>
      </c>
      <c r="AL220" s="99">
        <v>99.511566642410202</v>
      </c>
      <c r="AM220" s="99">
        <v>99.093374153592293</v>
      </c>
      <c r="AN220" s="99">
        <v>87.105731230294197</v>
      </c>
    </row>
    <row r="221" spans="1:40" s="30" customFormat="1" ht="15.6">
      <c r="A221"/>
      <c r="B221" s="29"/>
      <c r="C221" s="44" t="s">
        <v>876</v>
      </c>
      <c r="D221" s="39" t="s">
        <v>27</v>
      </c>
      <c r="E221" s="39" t="s">
        <v>542</v>
      </c>
      <c r="F221" t="s">
        <v>818</v>
      </c>
      <c r="G221" s="41">
        <f>VLOOKUP(F221,'(3) Demographie &amp; Departements'!$G$8:$J$526,4,0)</f>
        <v>40646.740070339794</v>
      </c>
      <c r="H221" s="96">
        <f t="shared" si="12"/>
        <v>18697.500432356308</v>
      </c>
      <c r="I221" s="130">
        <f t="shared" si="13"/>
        <v>0.95</v>
      </c>
      <c r="J221" s="42">
        <f t="shared" si="14"/>
        <v>0.85</v>
      </c>
      <c r="K221" s="131">
        <f t="shared" si="15"/>
        <v>0.75</v>
      </c>
      <c r="L221" s="42"/>
      <c r="M221" s="42"/>
      <c r="N221" s="39" t="s">
        <v>27</v>
      </c>
      <c r="O221" s="39" t="s">
        <v>542</v>
      </c>
      <c r="P221" t="s">
        <v>818</v>
      </c>
      <c r="Q221" s="99">
        <v>89.164747379300096</v>
      </c>
      <c r="R221" s="99">
        <v>100</v>
      </c>
      <c r="S221" s="99">
        <v>99.635937963912298</v>
      </c>
      <c r="T221" s="99">
        <v>85.508077301501203</v>
      </c>
      <c r="U221" s="99">
        <v>91.498129543297495</v>
      </c>
      <c r="V221" s="99">
        <v>99.416529674498094</v>
      </c>
      <c r="W221" s="99">
        <v>89.325051107534406</v>
      </c>
      <c r="X221" s="99">
        <v>100</v>
      </c>
      <c r="Y221" s="99">
        <v>92.989172187552995</v>
      </c>
      <c r="Z221" s="99">
        <v>86.732626749312402</v>
      </c>
      <c r="AA221" s="99">
        <v>88.241896044276999</v>
      </c>
      <c r="AB221" s="99">
        <v>99.582756671396496</v>
      </c>
      <c r="AC221" s="99">
        <v>95.0584426258972</v>
      </c>
      <c r="AD221" s="99">
        <v>85.950849653511</v>
      </c>
      <c r="AE221" s="99">
        <v>92.247443486994698</v>
      </c>
      <c r="AF221" s="99">
        <v>75.453471026881601</v>
      </c>
      <c r="AG221" s="99">
        <v>88.418914231358698</v>
      </c>
      <c r="AH221" s="99">
        <v>99.554377177022104</v>
      </c>
      <c r="AI221" s="99">
        <v>96.952122049558994</v>
      </c>
      <c r="AJ221" s="99">
        <v>85.375103134088704</v>
      </c>
      <c r="AK221" s="99">
        <v>99.949355146563406</v>
      </c>
      <c r="AL221" s="99">
        <v>97.018015257159007</v>
      </c>
      <c r="AM221" s="99">
        <v>100</v>
      </c>
      <c r="AN221" s="99">
        <v>96.099269952162302</v>
      </c>
    </row>
    <row r="222" spans="1:40" s="30" customFormat="1" ht="15.6">
      <c r="A222"/>
      <c r="B222" s="29"/>
      <c r="C222" s="44" t="s">
        <v>876</v>
      </c>
      <c r="D222" s="39" t="s">
        <v>27</v>
      </c>
      <c r="E222" s="39" t="s">
        <v>464</v>
      </c>
      <c r="F222" t="s">
        <v>819</v>
      </c>
      <c r="G222" s="41">
        <f>VLOOKUP(F222,'(3) Demographie &amp; Departements'!$G$8:$J$526,4,0)</f>
        <v>65779.497360949506</v>
      </c>
      <c r="H222" s="96">
        <f t="shared" si="12"/>
        <v>30258.568786036773</v>
      </c>
      <c r="I222" s="130">
        <f t="shared" si="13"/>
        <v>0.95</v>
      </c>
      <c r="J222" s="42">
        <f t="shared" si="14"/>
        <v>0.85</v>
      </c>
      <c r="K222" s="131">
        <f t="shared" si="15"/>
        <v>0.75</v>
      </c>
      <c r="L222" s="42"/>
      <c r="M222" s="42"/>
      <c r="N222" s="39" t="s">
        <v>27</v>
      </c>
      <c r="O222" s="39" t="s">
        <v>464</v>
      </c>
      <c r="P222" t="s">
        <v>819</v>
      </c>
      <c r="Q222" s="99">
        <v>100</v>
      </c>
      <c r="R222" s="99">
        <v>100</v>
      </c>
      <c r="S222" s="99">
        <v>100</v>
      </c>
      <c r="T222" s="99">
        <v>96.768399598010305</v>
      </c>
      <c r="U222" s="99">
        <v>100</v>
      </c>
      <c r="V222" s="99">
        <v>100</v>
      </c>
      <c r="W222" s="99">
        <v>100</v>
      </c>
      <c r="X222" s="99">
        <v>100</v>
      </c>
      <c r="Y222" s="99">
        <v>100</v>
      </c>
      <c r="Z222" s="99">
        <v>100</v>
      </c>
      <c r="AA222" s="99">
        <v>100</v>
      </c>
      <c r="AB222" s="99">
        <v>100</v>
      </c>
      <c r="AC222" s="99">
        <v>100</v>
      </c>
      <c r="AD222" s="99">
        <v>94.438465555579199</v>
      </c>
      <c r="AE222" s="99">
        <v>99.102768491796994</v>
      </c>
      <c r="AF222" s="99">
        <v>99.912324337713102</v>
      </c>
      <c r="AG222" s="99">
        <v>100</v>
      </c>
      <c r="AH222" s="99">
        <v>100</v>
      </c>
      <c r="AI222" s="99">
        <v>99.998851008771894</v>
      </c>
      <c r="AJ222" s="99">
        <v>92.940202995986496</v>
      </c>
      <c r="AK222" s="99">
        <v>100</v>
      </c>
      <c r="AL222" s="99">
        <v>100</v>
      </c>
      <c r="AM222" s="99">
        <v>100</v>
      </c>
      <c r="AN222" s="99">
        <v>100</v>
      </c>
    </row>
    <row r="223" spans="1:40" s="30" customFormat="1" ht="15.6">
      <c r="A223"/>
      <c r="B223" s="29"/>
      <c r="C223" s="44" t="s">
        <v>876</v>
      </c>
      <c r="D223" s="39" t="s">
        <v>27</v>
      </c>
      <c r="E223" s="39" t="s">
        <v>184</v>
      </c>
      <c r="F223" t="s">
        <v>820</v>
      </c>
      <c r="G223" s="41">
        <f>VLOOKUP(F223,'(3) Demographie &amp; Departements'!$G$8:$J$526,4,0)</f>
        <v>24250.505012187463</v>
      </c>
      <c r="H223" s="96">
        <f t="shared" si="12"/>
        <v>11155.232305606234</v>
      </c>
      <c r="I223" s="130">
        <f t="shared" si="13"/>
        <v>0.95</v>
      </c>
      <c r="J223" s="42">
        <f t="shared" si="14"/>
        <v>0.85</v>
      </c>
      <c r="K223" s="131">
        <f t="shared" si="15"/>
        <v>0.75</v>
      </c>
      <c r="L223" s="42"/>
      <c r="M223" s="42"/>
      <c r="N223" s="39" t="s">
        <v>27</v>
      </c>
      <c r="O223" s="39" t="s">
        <v>184</v>
      </c>
      <c r="P223" t="s">
        <v>820</v>
      </c>
      <c r="Q223" s="99">
        <v>100</v>
      </c>
      <c r="R223" s="99">
        <v>100</v>
      </c>
      <c r="S223" s="99">
        <v>100</v>
      </c>
      <c r="T223" s="99">
        <v>100</v>
      </c>
      <c r="U223" s="99">
        <v>100</v>
      </c>
      <c r="V223" s="99">
        <v>100</v>
      </c>
      <c r="W223" s="99">
        <v>100</v>
      </c>
      <c r="X223" s="99">
        <v>100</v>
      </c>
      <c r="Y223" s="99">
        <v>100</v>
      </c>
      <c r="Z223" s="99">
        <v>100</v>
      </c>
      <c r="AA223" s="99">
        <v>100</v>
      </c>
      <c r="AB223" s="99">
        <v>100</v>
      </c>
      <c r="AC223" s="99">
        <v>100</v>
      </c>
      <c r="AD223" s="99">
        <v>100</v>
      </c>
      <c r="AE223" s="99">
        <v>100</v>
      </c>
      <c r="AF223" s="99">
        <v>100</v>
      </c>
      <c r="AG223" s="99">
        <v>100</v>
      </c>
      <c r="AH223" s="99">
        <v>100</v>
      </c>
      <c r="AI223" s="99">
        <v>100</v>
      </c>
      <c r="AJ223" s="99">
        <v>100</v>
      </c>
      <c r="AK223" s="99">
        <v>100</v>
      </c>
      <c r="AL223" s="99">
        <v>100</v>
      </c>
      <c r="AM223" s="99">
        <v>100</v>
      </c>
      <c r="AN223" s="99">
        <v>100</v>
      </c>
    </row>
    <row r="224" spans="1:40" s="30" customFormat="1" ht="15.6">
      <c r="A224"/>
      <c r="B224" s="29"/>
      <c r="C224" s="44" t="s">
        <v>876</v>
      </c>
      <c r="D224" s="39" t="s">
        <v>27</v>
      </c>
      <c r="E224" s="39" t="s">
        <v>537</v>
      </c>
      <c r="F224" t="s">
        <v>821</v>
      </c>
      <c r="G224" s="41">
        <f>VLOOKUP(F224,'(3) Demographie &amp; Departements'!$G$8:$J$526,4,0)</f>
        <v>19282.846105976394</v>
      </c>
      <c r="H224" s="96">
        <f t="shared" si="12"/>
        <v>8870.1092087491415</v>
      </c>
      <c r="I224" s="130">
        <f t="shared" si="13"/>
        <v>0.95</v>
      </c>
      <c r="J224" s="42">
        <f t="shared" si="14"/>
        <v>0.85</v>
      </c>
      <c r="K224" s="131">
        <f t="shared" si="15"/>
        <v>0.75</v>
      </c>
      <c r="L224" s="42"/>
      <c r="M224" s="42"/>
      <c r="N224" s="39" t="s">
        <v>27</v>
      </c>
      <c r="O224" s="39" t="s">
        <v>537</v>
      </c>
      <c r="P224" t="s">
        <v>821</v>
      </c>
      <c r="Q224" s="99">
        <v>99.321324713471</v>
      </c>
      <c r="R224" s="99">
        <v>100</v>
      </c>
      <c r="S224" s="99">
        <v>99.379505875077001</v>
      </c>
      <c r="T224" s="99">
        <v>98.038387002901899</v>
      </c>
      <c r="U224" s="99">
        <v>100</v>
      </c>
      <c r="V224" s="99">
        <v>99.879695886665104</v>
      </c>
      <c r="W224" s="99">
        <v>97.672152115281193</v>
      </c>
      <c r="X224" s="99">
        <v>100</v>
      </c>
      <c r="Y224" s="99">
        <v>98.6843940539014</v>
      </c>
      <c r="Z224" s="99">
        <v>99.157307635802695</v>
      </c>
      <c r="AA224" s="99">
        <v>99.534444742300096</v>
      </c>
      <c r="AB224" s="99">
        <v>100</v>
      </c>
      <c r="AC224" s="99">
        <v>100</v>
      </c>
      <c r="AD224" s="99">
        <v>95.386032328725094</v>
      </c>
      <c r="AE224" s="99">
        <v>93.076957644433193</v>
      </c>
      <c r="AF224" s="99">
        <v>98.641927577275396</v>
      </c>
      <c r="AG224" s="99">
        <v>99.498906962522298</v>
      </c>
      <c r="AH224" s="99">
        <v>99.974413997950094</v>
      </c>
      <c r="AI224" s="99">
        <v>98.973820766808899</v>
      </c>
      <c r="AJ224" s="99">
        <v>98.428190345501505</v>
      </c>
      <c r="AK224" s="99">
        <v>98.581683212109596</v>
      </c>
      <c r="AL224" s="99">
        <v>100</v>
      </c>
      <c r="AM224" s="99">
        <v>99.433281159974598</v>
      </c>
      <c r="AN224" s="99">
        <v>99.145764371301098</v>
      </c>
    </row>
    <row r="225" spans="1:40" s="30" customFormat="1" ht="15.6">
      <c r="A225"/>
      <c r="B225" s="29"/>
      <c r="C225" s="44" t="s">
        <v>876</v>
      </c>
      <c r="D225" s="39" t="s">
        <v>27</v>
      </c>
      <c r="E225" s="39" t="s">
        <v>251</v>
      </c>
      <c r="F225" s="89" t="s">
        <v>255</v>
      </c>
      <c r="G225" s="41">
        <f>VLOOKUP(F225,'(3) Demographie &amp; Departements'!$G$8:$J$526,4,0)</f>
        <v>13666.96747451289</v>
      </c>
      <c r="H225" s="96">
        <f t="shared" si="12"/>
        <v>6286.8050382759302</v>
      </c>
      <c r="I225" s="130">
        <f t="shared" si="13"/>
        <v>0.95</v>
      </c>
      <c r="J225" s="42">
        <f t="shared" si="14"/>
        <v>0.85</v>
      </c>
      <c r="K225" s="131">
        <f t="shared" si="15"/>
        <v>0.75</v>
      </c>
      <c r="L225" s="42"/>
      <c r="M225" s="42"/>
      <c r="N225" s="39" t="s">
        <v>27</v>
      </c>
      <c r="O225" s="39" t="s">
        <v>251</v>
      </c>
      <c r="P225" s="89" t="s">
        <v>255</v>
      </c>
      <c r="Q225" s="99">
        <v>99.595144488263799</v>
      </c>
      <c r="R225" s="99">
        <v>100</v>
      </c>
      <c r="S225" s="99">
        <v>99.9208669179108</v>
      </c>
      <c r="T225" s="99">
        <v>97.838325161946202</v>
      </c>
      <c r="U225" s="99">
        <v>98.570137894359803</v>
      </c>
      <c r="V225" s="99">
        <v>100</v>
      </c>
      <c r="W225" s="99">
        <v>97.921134188130793</v>
      </c>
      <c r="X225" s="99">
        <v>100</v>
      </c>
      <c r="Y225" s="99">
        <v>100</v>
      </c>
      <c r="Z225" s="99">
        <v>97.985804152252499</v>
      </c>
      <c r="AA225" s="99">
        <v>100</v>
      </c>
      <c r="AB225" s="99">
        <v>100</v>
      </c>
      <c r="AC225" s="99">
        <v>100</v>
      </c>
      <c r="AD225" s="99">
        <v>97.154417411770297</v>
      </c>
      <c r="AE225" s="99">
        <v>98.135508583512504</v>
      </c>
      <c r="AF225" s="99">
        <v>98.802318181852897</v>
      </c>
      <c r="AG225" s="99">
        <v>97.751120444108494</v>
      </c>
      <c r="AH225" s="99">
        <v>99.071890953345303</v>
      </c>
      <c r="AI225" s="99">
        <v>98.199767309683196</v>
      </c>
      <c r="AJ225" s="99">
        <v>98.110746322583196</v>
      </c>
      <c r="AK225" s="99">
        <v>99.372086872178301</v>
      </c>
      <c r="AL225" s="99">
        <v>99.952667482449897</v>
      </c>
      <c r="AM225" s="99">
        <v>100</v>
      </c>
      <c r="AN225" s="99">
        <v>100</v>
      </c>
    </row>
    <row r="226" spans="1:40" s="30" customFormat="1" ht="15.6">
      <c r="A226"/>
      <c r="B226" s="29"/>
      <c r="C226" s="44" t="s">
        <v>876</v>
      </c>
      <c r="D226" s="39" t="s">
        <v>27</v>
      </c>
      <c r="E226" s="39" t="s">
        <v>448</v>
      </c>
      <c r="F226" t="s">
        <v>822</v>
      </c>
      <c r="G226" s="41">
        <f>VLOOKUP(F226,'(3) Demographie &amp; Departements'!$G$8:$J$526,4,0)</f>
        <v>10205.874950548321</v>
      </c>
      <c r="H226" s="96">
        <f t="shared" si="12"/>
        <v>4694.7024772522282</v>
      </c>
      <c r="I226" s="130">
        <f t="shared" si="13"/>
        <v>0.95</v>
      </c>
      <c r="J226" s="42">
        <f t="shared" si="14"/>
        <v>0.85</v>
      </c>
      <c r="K226" s="131">
        <f t="shared" si="15"/>
        <v>0.75</v>
      </c>
      <c r="L226" s="42"/>
      <c r="M226" s="42"/>
      <c r="N226" s="39" t="s">
        <v>27</v>
      </c>
      <c r="O226" s="39" t="s">
        <v>448</v>
      </c>
      <c r="P226" t="s">
        <v>822</v>
      </c>
      <c r="Q226" s="99">
        <v>100</v>
      </c>
      <c r="R226" s="99">
        <v>100</v>
      </c>
      <c r="S226" s="99">
        <v>100</v>
      </c>
      <c r="T226" s="99">
        <v>100</v>
      </c>
      <c r="U226" s="99">
        <v>100</v>
      </c>
      <c r="V226" s="99">
        <v>100</v>
      </c>
      <c r="W226" s="99">
        <v>99.874570850808695</v>
      </c>
      <c r="X226" s="99">
        <v>100</v>
      </c>
      <c r="Y226" s="99">
        <v>100</v>
      </c>
      <c r="Z226" s="99">
        <v>100</v>
      </c>
      <c r="AA226" s="99">
        <v>100</v>
      </c>
      <c r="AB226" s="99">
        <v>100</v>
      </c>
      <c r="AC226" s="99">
        <v>100</v>
      </c>
      <c r="AD226" s="99">
        <v>96.256956111600303</v>
      </c>
      <c r="AE226" s="99">
        <v>99.798753459639499</v>
      </c>
      <c r="AF226" s="99">
        <v>100</v>
      </c>
      <c r="AG226" s="99">
        <v>100</v>
      </c>
      <c r="AH226" s="99">
        <v>100</v>
      </c>
      <c r="AI226" s="99">
        <v>100</v>
      </c>
      <c r="AJ226" s="99">
        <v>100</v>
      </c>
      <c r="AK226" s="99">
        <v>100</v>
      </c>
      <c r="AL226" s="99">
        <v>100</v>
      </c>
      <c r="AM226" s="99">
        <v>100</v>
      </c>
      <c r="AN226" s="99">
        <v>100</v>
      </c>
    </row>
    <row r="227" spans="1:40" s="30" customFormat="1" ht="15.6">
      <c r="A227"/>
      <c r="B227" s="29"/>
      <c r="C227" s="44" t="s">
        <v>876</v>
      </c>
      <c r="D227" s="39" t="s">
        <v>27</v>
      </c>
      <c r="E227" s="39" t="s">
        <v>448</v>
      </c>
      <c r="F227" t="s">
        <v>823</v>
      </c>
      <c r="G227" s="41">
        <f>VLOOKUP(F227,'(3) Demographie &amp; Departements'!$G$8:$J$526,4,0)</f>
        <v>31003.889705565554</v>
      </c>
      <c r="H227" s="96">
        <f t="shared" si="12"/>
        <v>14261.789264560155</v>
      </c>
      <c r="I227" s="130">
        <f t="shared" si="13"/>
        <v>0.95</v>
      </c>
      <c r="J227" s="42">
        <f t="shared" si="14"/>
        <v>0.85</v>
      </c>
      <c r="K227" s="131">
        <f t="shared" si="15"/>
        <v>0.75</v>
      </c>
      <c r="L227" s="42"/>
      <c r="M227" s="42"/>
      <c r="N227" s="39" t="s">
        <v>27</v>
      </c>
      <c r="O227" s="39" t="s">
        <v>448</v>
      </c>
      <c r="P227" t="s">
        <v>823</v>
      </c>
      <c r="Q227" s="99">
        <v>100</v>
      </c>
      <c r="R227" s="99">
        <v>100</v>
      </c>
      <c r="S227" s="99">
        <v>100</v>
      </c>
      <c r="T227" s="99">
        <v>100</v>
      </c>
      <c r="U227" s="99">
        <v>100</v>
      </c>
      <c r="V227" s="99">
        <v>100</v>
      </c>
      <c r="W227" s="99">
        <v>100</v>
      </c>
      <c r="X227" s="99">
        <v>100</v>
      </c>
      <c r="Y227" s="99">
        <v>100</v>
      </c>
      <c r="Z227" s="99">
        <v>100</v>
      </c>
      <c r="AA227" s="99">
        <v>100</v>
      </c>
      <c r="AB227" s="99">
        <v>100</v>
      </c>
      <c r="AC227" s="99">
        <v>100</v>
      </c>
      <c r="AD227" s="99">
        <v>96.666387576033699</v>
      </c>
      <c r="AE227" s="99">
        <v>100</v>
      </c>
      <c r="AF227" s="99">
        <v>100</v>
      </c>
      <c r="AG227" s="99">
        <v>100</v>
      </c>
      <c r="AH227" s="99">
        <v>100</v>
      </c>
      <c r="AI227" s="99">
        <v>100</v>
      </c>
      <c r="AJ227" s="99">
        <v>99.731094484378602</v>
      </c>
      <c r="AK227" s="99">
        <v>100</v>
      </c>
      <c r="AL227" s="99">
        <v>100</v>
      </c>
      <c r="AM227" s="99">
        <v>100</v>
      </c>
      <c r="AN227" s="99">
        <v>100</v>
      </c>
    </row>
    <row r="228" spans="1:40" s="30" customFormat="1" ht="15.6">
      <c r="A228"/>
      <c r="B228" s="29"/>
      <c r="C228" s="44" t="s">
        <v>876</v>
      </c>
      <c r="D228" s="39" t="s">
        <v>27</v>
      </c>
      <c r="E228" s="39" t="s">
        <v>613</v>
      </c>
      <c r="F228" t="s">
        <v>824</v>
      </c>
      <c r="G228" s="41">
        <f>VLOOKUP(F228,'(3) Demographie &amp; Departements'!$G$8:$J$526,4,0)</f>
        <v>27159.172440867314</v>
      </c>
      <c r="H228" s="96">
        <f t="shared" si="12"/>
        <v>12493.219322798965</v>
      </c>
      <c r="I228" s="130">
        <f t="shared" si="13"/>
        <v>0.95</v>
      </c>
      <c r="J228" s="42">
        <f t="shared" si="14"/>
        <v>0.85</v>
      </c>
      <c r="K228" s="131">
        <f t="shared" si="15"/>
        <v>0.75</v>
      </c>
      <c r="L228" s="42"/>
      <c r="M228" s="42"/>
      <c r="N228" s="39" t="s">
        <v>27</v>
      </c>
      <c r="O228" s="39" t="s">
        <v>613</v>
      </c>
      <c r="P228" t="s">
        <v>824</v>
      </c>
      <c r="Q228" s="99">
        <v>84.916902942729294</v>
      </c>
      <c r="R228" s="99">
        <v>99.920156983673095</v>
      </c>
      <c r="S228" s="99">
        <v>86.356857374223694</v>
      </c>
      <c r="T228" s="99">
        <v>76.457932338794194</v>
      </c>
      <c r="U228" s="99">
        <v>82.960410246665703</v>
      </c>
      <c r="V228" s="99">
        <v>95.963293121894097</v>
      </c>
      <c r="W228" s="99">
        <v>84.038276180389403</v>
      </c>
      <c r="X228" s="99">
        <v>100</v>
      </c>
      <c r="Y228" s="99">
        <v>90.012696147319105</v>
      </c>
      <c r="Z228" s="99">
        <v>99.657055396406506</v>
      </c>
      <c r="AA228" s="99">
        <v>99.882359850153406</v>
      </c>
      <c r="AB228" s="99">
        <v>100</v>
      </c>
      <c r="AC228" s="99">
        <v>79.1590181101339</v>
      </c>
      <c r="AD228" s="99">
        <v>81.529191693829503</v>
      </c>
      <c r="AE228" s="99">
        <v>72.633351413746396</v>
      </c>
      <c r="AF228" s="99">
        <v>80.758571364966002</v>
      </c>
      <c r="AG228" s="99">
        <v>90.938142800410006</v>
      </c>
      <c r="AH228" s="99">
        <v>77.705834501227002</v>
      </c>
      <c r="AI228" s="99">
        <v>99.561817371368804</v>
      </c>
      <c r="AJ228" s="99">
        <v>82.526601247195799</v>
      </c>
      <c r="AK228" s="99">
        <v>99.248293265634899</v>
      </c>
      <c r="AL228" s="99">
        <v>94.515250410948696</v>
      </c>
      <c r="AM228" s="99">
        <v>99.098708095974203</v>
      </c>
      <c r="AN228" s="99">
        <v>72.858659680876102</v>
      </c>
    </row>
    <row r="229" spans="1:40" s="30" customFormat="1" ht="15.6">
      <c r="A229"/>
      <c r="B229" s="29"/>
      <c r="C229" s="44" t="s">
        <v>876</v>
      </c>
      <c r="D229" s="39" t="s">
        <v>27</v>
      </c>
      <c r="E229" s="39" t="s">
        <v>448</v>
      </c>
      <c r="F229" t="s">
        <v>825</v>
      </c>
      <c r="G229" s="41">
        <f>VLOOKUP(F229,'(3) Demographie &amp; Departements'!$G$8:$J$526,4,0)</f>
        <v>9180.8604125473612</v>
      </c>
      <c r="H229" s="96">
        <f t="shared" si="12"/>
        <v>4223.1957897717866</v>
      </c>
      <c r="I229" s="130">
        <f t="shared" si="13"/>
        <v>0.95</v>
      </c>
      <c r="J229" s="42">
        <f t="shared" si="14"/>
        <v>0.85</v>
      </c>
      <c r="K229" s="131">
        <f t="shared" si="15"/>
        <v>0.75</v>
      </c>
      <c r="L229" s="42"/>
      <c r="M229" s="42"/>
      <c r="N229" s="39" t="s">
        <v>27</v>
      </c>
      <c r="O229" s="39" t="s">
        <v>448</v>
      </c>
      <c r="P229" t="s">
        <v>825</v>
      </c>
      <c r="Q229" s="99">
        <v>100</v>
      </c>
      <c r="R229" s="99">
        <v>100</v>
      </c>
      <c r="S229" s="99">
        <v>100</v>
      </c>
      <c r="T229" s="99">
        <v>99.963012422532501</v>
      </c>
      <c r="U229" s="99">
        <v>100</v>
      </c>
      <c r="V229" s="99">
        <v>100</v>
      </c>
      <c r="W229" s="99">
        <v>100</v>
      </c>
      <c r="X229" s="99">
        <v>100</v>
      </c>
      <c r="Y229" s="99">
        <v>100</v>
      </c>
      <c r="Z229" s="99">
        <v>100</v>
      </c>
      <c r="AA229" s="99">
        <v>100</v>
      </c>
      <c r="AB229" s="99">
        <v>100</v>
      </c>
      <c r="AC229" s="99">
        <v>100</v>
      </c>
      <c r="AD229" s="99">
        <v>97.712331109746501</v>
      </c>
      <c r="AE229" s="99">
        <v>99.347450744395701</v>
      </c>
      <c r="AF229" s="99">
        <v>99.857895341889304</v>
      </c>
      <c r="AG229" s="99">
        <v>100</v>
      </c>
      <c r="AH229" s="99">
        <v>100</v>
      </c>
      <c r="AI229" s="99">
        <v>99.967195676640401</v>
      </c>
      <c r="AJ229" s="99">
        <v>93.651940362081703</v>
      </c>
      <c r="AK229" s="99">
        <v>100</v>
      </c>
      <c r="AL229" s="99">
        <v>100</v>
      </c>
      <c r="AM229" s="99">
        <v>100</v>
      </c>
      <c r="AN229" s="99">
        <v>100</v>
      </c>
    </row>
    <row r="230" spans="1:40" s="30" customFormat="1" ht="15.6">
      <c r="A230"/>
      <c r="B230" s="29"/>
      <c r="C230" s="44" t="s">
        <v>876</v>
      </c>
      <c r="D230" s="39" t="s">
        <v>27</v>
      </c>
      <c r="E230" s="39" t="s">
        <v>169</v>
      </c>
      <c r="F230" s="91" t="s">
        <v>171</v>
      </c>
      <c r="G230" s="41">
        <f>VLOOKUP(F230,'(3) Demographie &amp; Departements'!$G$8:$J$526,4,0)</f>
        <v>10034.880804950875</v>
      </c>
      <c r="H230" s="96">
        <f t="shared" si="12"/>
        <v>4616.0451702774026</v>
      </c>
      <c r="I230" s="130">
        <f t="shared" si="13"/>
        <v>0.95</v>
      </c>
      <c r="J230" s="42">
        <f t="shared" si="14"/>
        <v>0.85</v>
      </c>
      <c r="K230" s="131">
        <f t="shared" si="15"/>
        <v>0.75</v>
      </c>
      <c r="L230" s="42"/>
      <c r="M230" s="42"/>
      <c r="N230" s="39" t="s">
        <v>27</v>
      </c>
      <c r="O230" s="39" t="s">
        <v>169</v>
      </c>
      <c r="P230" s="91" t="s">
        <v>171</v>
      </c>
      <c r="Q230" s="99">
        <v>100</v>
      </c>
      <c r="R230" s="99">
        <v>100</v>
      </c>
      <c r="S230" s="99">
        <v>100</v>
      </c>
      <c r="T230" s="99">
        <v>100</v>
      </c>
      <c r="U230" s="99">
        <v>100</v>
      </c>
      <c r="V230" s="99">
        <v>100</v>
      </c>
      <c r="W230" s="99">
        <v>100</v>
      </c>
      <c r="X230" s="99">
        <v>100</v>
      </c>
      <c r="Y230" s="99">
        <v>100</v>
      </c>
      <c r="Z230" s="99">
        <v>100</v>
      </c>
      <c r="AA230" s="99">
        <v>100</v>
      </c>
      <c r="AB230" s="99">
        <v>100</v>
      </c>
      <c r="AC230" s="99">
        <v>100</v>
      </c>
      <c r="AD230" s="99">
        <v>100</v>
      </c>
      <c r="AE230" s="99">
        <v>99.987870419057202</v>
      </c>
      <c r="AF230" s="99">
        <v>100</v>
      </c>
      <c r="AG230" s="99">
        <v>100</v>
      </c>
      <c r="AH230" s="99">
        <v>100</v>
      </c>
      <c r="AI230" s="99">
        <v>100</v>
      </c>
      <c r="AJ230" s="99">
        <v>100</v>
      </c>
      <c r="AK230" s="99">
        <v>100</v>
      </c>
      <c r="AL230" s="99">
        <v>100</v>
      </c>
      <c r="AM230" s="99">
        <v>100</v>
      </c>
      <c r="AN230" s="99">
        <v>100</v>
      </c>
    </row>
    <row r="231" spans="1:40" s="30" customFormat="1" ht="15.6">
      <c r="A231"/>
      <c r="B231" s="29"/>
      <c r="C231" s="44" t="s">
        <v>876</v>
      </c>
      <c r="D231" s="39" t="s">
        <v>27</v>
      </c>
      <c r="E231" s="39" t="s">
        <v>530</v>
      </c>
      <c r="F231" t="s">
        <v>826</v>
      </c>
      <c r="G231" s="41">
        <f>VLOOKUP(F231,'(3) Demographie &amp; Departements'!$G$8:$J$526,4,0)</f>
        <v>13192.565558244207</v>
      </c>
      <c r="H231" s="96">
        <f t="shared" si="12"/>
        <v>6068.5801567923354</v>
      </c>
      <c r="I231" s="130">
        <f t="shared" si="13"/>
        <v>0.95</v>
      </c>
      <c r="J231" s="42">
        <f t="shared" si="14"/>
        <v>0.85</v>
      </c>
      <c r="K231" s="131">
        <f t="shared" si="15"/>
        <v>0.75</v>
      </c>
      <c r="L231" s="42"/>
      <c r="M231" s="42"/>
      <c r="N231" s="39" t="s">
        <v>27</v>
      </c>
      <c r="O231" s="39" t="s">
        <v>530</v>
      </c>
      <c r="P231" t="s">
        <v>826</v>
      </c>
      <c r="Q231" s="99">
        <v>95.261289583572406</v>
      </c>
      <c r="R231" s="99">
        <v>99.9227040071505</v>
      </c>
      <c r="S231" s="99">
        <v>95.263594461123802</v>
      </c>
      <c r="T231" s="99">
        <v>84.149438072315107</v>
      </c>
      <c r="U231" s="99">
        <v>88.763594944970095</v>
      </c>
      <c r="V231" s="99">
        <v>99.722251501706197</v>
      </c>
      <c r="W231" s="99">
        <v>84.985240347684496</v>
      </c>
      <c r="X231" s="99">
        <v>100</v>
      </c>
      <c r="Y231" s="99">
        <v>99.802080737244395</v>
      </c>
      <c r="Z231" s="99">
        <v>46.492866263594202</v>
      </c>
      <c r="AA231" s="99">
        <v>99.855783468286802</v>
      </c>
      <c r="AB231" s="99">
        <v>100</v>
      </c>
      <c r="AC231" s="99">
        <v>98.499850092687595</v>
      </c>
      <c r="AD231" s="99">
        <v>78.244448597782807</v>
      </c>
      <c r="AE231" s="99">
        <v>81.543623781149904</v>
      </c>
      <c r="AF231" s="99">
        <v>77.942633738039007</v>
      </c>
      <c r="AG231" s="99">
        <v>82.674792636625298</v>
      </c>
      <c r="AH231" s="99">
        <v>89.545544853907003</v>
      </c>
      <c r="AI231" s="99">
        <v>84.568572649868003</v>
      </c>
      <c r="AJ231" s="99">
        <v>78.187473794955295</v>
      </c>
      <c r="AK231" s="99">
        <v>100</v>
      </c>
      <c r="AL231" s="99">
        <v>98.348222370598904</v>
      </c>
      <c r="AM231" s="99">
        <v>98.784865818743</v>
      </c>
      <c r="AN231" s="99">
        <v>92.320320556182494</v>
      </c>
    </row>
    <row r="232" spans="1:40" s="30" customFormat="1" ht="15.6">
      <c r="A232"/>
      <c r="B232" s="29"/>
      <c r="C232" s="44" t="s">
        <v>876</v>
      </c>
      <c r="D232" s="39" t="s">
        <v>27</v>
      </c>
      <c r="E232" s="39" t="s">
        <v>517</v>
      </c>
      <c r="F232" t="s">
        <v>827</v>
      </c>
      <c r="G232" s="41">
        <f>VLOOKUP(F232,'(3) Demographie &amp; Departements'!$G$8:$J$526,4,0)</f>
        <v>16683.534527279273</v>
      </c>
      <c r="H232" s="96">
        <f t="shared" si="12"/>
        <v>7674.4258825484658</v>
      </c>
      <c r="I232" s="130">
        <f t="shared" si="13"/>
        <v>0.95</v>
      </c>
      <c r="J232" s="42">
        <f t="shared" si="14"/>
        <v>0.85</v>
      </c>
      <c r="K232" s="131">
        <f t="shared" si="15"/>
        <v>0.75</v>
      </c>
      <c r="L232" s="42"/>
      <c r="M232" s="42"/>
      <c r="N232" s="39" t="s">
        <v>27</v>
      </c>
      <c r="O232" s="39" t="s">
        <v>517</v>
      </c>
      <c r="P232" t="s">
        <v>827</v>
      </c>
      <c r="Q232" s="99">
        <v>87.016703166780104</v>
      </c>
      <c r="R232" s="99">
        <v>99.755532271939998</v>
      </c>
      <c r="S232" s="99">
        <v>98.383029682565905</v>
      </c>
      <c r="T232" s="99">
        <v>24.501831275505499</v>
      </c>
      <c r="U232" s="99">
        <v>92.839208723964404</v>
      </c>
      <c r="V232" s="99">
        <v>96.998757479437799</v>
      </c>
      <c r="W232" s="99">
        <v>92.137471871601505</v>
      </c>
      <c r="X232" s="99">
        <v>100</v>
      </c>
      <c r="Y232" s="99">
        <v>99.8973814532918</v>
      </c>
      <c r="Z232" s="99">
        <v>92.173555795213304</v>
      </c>
      <c r="AA232" s="99">
        <v>99.651392202899899</v>
      </c>
      <c r="AB232" s="99">
        <v>99.9958386988733</v>
      </c>
      <c r="AC232" s="99">
        <v>87.467457107972393</v>
      </c>
      <c r="AD232" s="99">
        <v>83.671101080574104</v>
      </c>
      <c r="AE232" s="99">
        <v>88.2272010948343</v>
      </c>
      <c r="AF232" s="99">
        <v>70.374318753140898</v>
      </c>
      <c r="AG232" s="99">
        <v>89.468319039080299</v>
      </c>
      <c r="AH232" s="99">
        <v>95.314901901077704</v>
      </c>
      <c r="AI232" s="99">
        <v>98.855905646131504</v>
      </c>
      <c r="AJ232" s="99">
        <v>87.359660937220298</v>
      </c>
      <c r="AK232" s="99">
        <v>99.898436660751898</v>
      </c>
      <c r="AL232" s="99">
        <v>99.824611116145206</v>
      </c>
      <c r="AM232" s="99">
        <v>99.990025526251102</v>
      </c>
      <c r="AN232" s="99">
        <v>83.833926196955105</v>
      </c>
    </row>
    <row r="233" spans="1:40" s="30" customFormat="1" ht="15.6">
      <c r="A233"/>
      <c r="B233" s="29"/>
      <c r="C233" s="44" t="s">
        <v>876</v>
      </c>
      <c r="D233" s="39" t="s">
        <v>27</v>
      </c>
      <c r="E233" s="39" t="s">
        <v>530</v>
      </c>
      <c r="F233" t="s">
        <v>828</v>
      </c>
      <c r="G233" s="41">
        <f>VLOOKUP(F233,'(3) Demographie &amp; Departements'!$G$8:$J$526,4,0)</f>
        <v>78300.953811320403</v>
      </c>
      <c r="H233" s="96">
        <f t="shared" si="12"/>
        <v>36018.438753207389</v>
      </c>
      <c r="I233" s="130">
        <f t="shared" si="13"/>
        <v>0.95</v>
      </c>
      <c r="J233" s="42">
        <f t="shared" si="14"/>
        <v>0.85</v>
      </c>
      <c r="K233" s="131">
        <f t="shared" si="15"/>
        <v>0.75</v>
      </c>
      <c r="L233" s="42"/>
      <c r="M233" s="42"/>
      <c r="N233" s="39" t="s">
        <v>27</v>
      </c>
      <c r="O233" s="39" t="s">
        <v>530</v>
      </c>
      <c r="P233" t="s">
        <v>828</v>
      </c>
      <c r="Q233" s="99">
        <v>84.864566682604107</v>
      </c>
      <c r="R233" s="99">
        <v>99.641728744274801</v>
      </c>
      <c r="S233" s="99">
        <v>89.202825029252196</v>
      </c>
      <c r="T233" s="99">
        <v>81.097622979655796</v>
      </c>
      <c r="U233" s="99">
        <v>86.970118473218207</v>
      </c>
      <c r="V233" s="99">
        <v>95.980604521667701</v>
      </c>
      <c r="W233" s="99">
        <v>82.349469087261497</v>
      </c>
      <c r="X233" s="99">
        <v>99.814559366252595</v>
      </c>
      <c r="Y233" s="99">
        <v>98.062115505447295</v>
      </c>
      <c r="Z233" s="99">
        <v>65.663814263372004</v>
      </c>
      <c r="AA233" s="99">
        <v>98.296421711110696</v>
      </c>
      <c r="AB233" s="99">
        <v>99.676859480604193</v>
      </c>
      <c r="AC233" s="99">
        <v>91.747548983687295</v>
      </c>
      <c r="AD233" s="99">
        <v>78.902539960794897</v>
      </c>
      <c r="AE233" s="99">
        <v>78.736649792284297</v>
      </c>
      <c r="AF233" s="99">
        <v>74.042325250961298</v>
      </c>
      <c r="AG233" s="99">
        <v>80.233448560691201</v>
      </c>
      <c r="AH233" s="99">
        <v>87.490050578877501</v>
      </c>
      <c r="AI233" s="99">
        <v>84.408298974769295</v>
      </c>
      <c r="AJ233" s="99">
        <v>80.444245671597301</v>
      </c>
      <c r="AK233" s="99">
        <v>89.049141611058104</v>
      </c>
      <c r="AL233" s="99">
        <v>97.284634083878601</v>
      </c>
      <c r="AM233" s="99">
        <v>97.647244969496896</v>
      </c>
      <c r="AN233" s="99">
        <v>81.396712215106405</v>
      </c>
    </row>
    <row r="234" spans="1:40" s="30" customFormat="1" ht="15.6">
      <c r="A234"/>
      <c r="B234" s="29"/>
      <c r="C234" s="44" t="s">
        <v>876</v>
      </c>
      <c r="D234" s="39" t="s">
        <v>27</v>
      </c>
      <c r="E234" s="39" t="s">
        <v>609</v>
      </c>
      <c r="F234" t="s">
        <v>829</v>
      </c>
      <c r="G234" s="41">
        <f>VLOOKUP(F234,'(3) Demographie &amp; Departements'!$G$8:$J$526,4,0)</f>
        <v>22423.402932376273</v>
      </c>
      <c r="H234" s="96">
        <f t="shared" si="12"/>
        <v>10314.765348893086</v>
      </c>
      <c r="I234" s="130">
        <f t="shared" si="13"/>
        <v>0.95</v>
      </c>
      <c r="J234" s="42">
        <f t="shared" si="14"/>
        <v>0.85</v>
      </c>
      <c r="K234" s="131">
        <f t="shared" si="15"/>
        <v>0.75</v>
      </c>
      <c r="L234" s="42"/>
      <c r="M234" s="42"/>
      <c r="N234" s="39" t="s">
        <v>27</v>
      </c>
      <c r="O234" s="39" t="s">
        <v>609</v>
      </c>
      <c r="P234" t="s">
        <v>829</v>
      </c>
      <c r="Q234" s="99">
        <v>93.743692129256601</v>
      </c>
      <c r="R234" s="99">
        <v>100</v>
      </c>
      <c r="S234" s="99">
        <v>99.553591789345006</v>
      </c>
      <c r="T234" s="99">
        <v>97.900333735053493</v>
      </c>
      <c r="U234" s="99">
        <v>95.434845810215194</v>
      </c>
      <c r="V234" s="99">
        <v>100</v>
      </c>
      <c r="W234" s="99">
        <v>93.753563805372096</v>
      </c>
      <c r="X234" s="99">
        <v>100</v>
      </c>
      <c r="Y234" s="99">
        <v>99.992913270703099</v>
      </c>
      <c r="Z234" s="99">
        <v>98.252854636782899</v>
      </c>
      <c r="AA234" s="99">
        <v>99.798910444101594</v>
      </c>
      <c r="AB234" s="99">
        <v>100</v>
      </c>
      <c r="AC234" s="99">
        <v>86.324718035115296</v>
      </c>
      <c r="AD234" s="99">
        <v>93.9084759053803</v>
      </c>
      <c r="AE234" s="99">
        <v>99.651804984968805</v>
      </c>
      <c r="AF234" s="99">
        <v>98.214751594343099</v>
      </c>
      <c r="AG234" s="99">
        <v>97.907194841712993</v>
      </c>
      <c r="AH234" s="99">
        <v>99.909255989716499</v>
      </c>
      <c r="AI234" s="99">
        <v>98.693515529357697</v>
      </c>
      <c r="AJ234" s="99">
        <v>97.216535880866402</v>
      </c>
      <c r="AK234" s="99">
        <v>100</v>
      </c>
      <c r="AL234" s="99">
        <v>99.157551849708199</v>
      </c>
      <c r="AM234" s="99">
        <v>99.356516724307994</v>
      </c>
      <c r="AN234" s="99">
        <v>95.271321296638305</v>
      </c>
    </row>
    <row r="235" spans="1:40" s="30" customFormat="1" ht="15.6">
      <c r="A235"/>
      <c r="B235" s="29"/>
      <c r="C235" s="44" t="s">
        <v>876</v>
      </c>
      <c r="D235" s="39" t="s">
        <v>27</v>
      </c>
      <c r="E235" s="39" t="s">
        <v>479</v>
      </c>
      <c r="F235" t="s">
        <v>830</v>
      </c>
      <c r="G235" s="41">
        <f>VLOOKUP(F235,'(3) Demographie &amp; Departements'!$G$8:$J$526,4,0)</f>
        <v>48523.841019373984</v>
      </c>
      <c r="H235" s="96">
        <f t="shared" si="12"/>
        <v>22320.966868912034</v>
      </c>
      <c r="I235" s="130">
        <f t="shared" si="13"/>
        <v>0.95</v>
      </c>
      <c r="J235" s="42">
        <f t="shared" si="14"/>
        <v>0.85</v>
      </c>
      <c r="K235" s="131">
        <f t="shared" si="15"/>
        <v>0.75</v>
      </c>
      <c r="L235" s="42"/>
      <c r="M235" s="42"/>
      <c r="N235" s="39" t="s">
        <v>27</v>
      </c>
      <c r="O235" s="39" t="s">
        <v>479</v>
      </c>
      <c r="P235" t="s">
        <v>830</v>
      </c>
      <c r="Q235" s="99">
        <v>100</v>
      </c>
      <c r="R235" s="99">
        <v>100</v>
      </c>
      <c r="S235" s="99">
        <v>100</v>
      </c>
      <c r="T235" s="99">
        <v>96.735942817145599</v>
      </c>
      <c r="U235" s="99">
        <v>100</v>
      </c>
      <c r="V235" s="99">
        <v>100</v>
      </c>
      <c r="W235" s="99">
        <v>100</v>
      </c>
      <c r="X235" s="99">
        <v>100</v>
      </c>
      <c r="Y235" s="99">
        <v>100</v>
      </c>
      <c r="Z235" s="99">
        <v>100</v>
      </c>
      <c r="AA235" s="99">
        <v>100</v>
      </c>
      <c r="AB235" s="99">
        <v>100</v>
      </c>
      <c r="AC235" s="99">
        <v>100</v>
      </c>
      <c r="AD235" s="99">
        <v>96.063191833228004</v>
      </c>
      <c r="AE235" s="99">
        <v>97.585056337124797</v>
      </c>
      <c r="AF235" s="99">
        <v>99.950412774002601</v>
      </c>
      <c r="AG235" s="99">
        <v>100</v>
      </c>
      <c r="AH235" s="99">
        <v>100</v>
      </c>
      <c r="AI235" s="99">
        <v>100</v>
      </c>
      <c r="AJ235" s="99">
        <v>91.824845775711296</v>
      </c>
      <c r="AK235" s="99">
        <v>100</v>
      </c>
      <c r="AL235" s="99">
        <v>100</v>
      </c>
      <c r="AM235" s="99">
        <v>100</v>
      </c>
      <c r="AN235" s="99">
        <v>100</v>
      </c>
    </row>
    <row r="236" spans="1:40" s="30" customFormat="1" ht="15.6">
      <c r="A236"/>
      <c r="B236" s="29"/>
      <c r="C236" s="44" t="s">
        <v>876</v>
      </c>
      <c r="D236" s="39" t="s">
        <v>27</v>
      </c>
      <c r="E236" s="39" t="s">
        <v>448</v>
      </c>
      <c r="F236" t="s">
        <v>831</v>
      </c>
      <c r="G236" s="41">
        <f>VLOOKUP(F236,'(3) Demographie &amp; Departements'!$G$8:$J$526,4,0)</f>
        <v>36772.28287048018</v>
      </c>
      <c r="H236" s="96">
        <f t="shared" si="12"/>
        <v>16915.250120420882</v>
      </c>
      <c r="I236" s="130">
        <f t="shared" si="13"/>
        <v>0.95</v>
      </c>
      <c r="J236" s="42">
        <f t="shared" si="14"/>
        <v>0.85</v>
      </c>
      <c r="K236" s="131">
        <f t="shared" si="15"/>
        <v>0.75</v>
      </c>
      <c r="L236" s="42"/>
      <c r="M236" s="42"/>
      <c r="N236" s="39" t="s">
        <v>27</v>
      </c>
      <c r="O236" s="39" t="s">
        <v>448</v>
      </c>
      <c r="P236" t="s">
        <v>831</v>
      </c>
      <c r="Q236" s="99">
        <v>100</v>
      </c>
      <c r="R236" s="99">
        <v>100</v>
      </c>
      <c r="S236" s="99">
        <v>100</v>
      </c>
      <c r="T236" s="99">
        <v>100</v>
      </c>
      <c r="U236" s="99">
        <v>100</v>
      </c>
      <c r="V236" s="99">
        <v>100</v>
      </c>
      <c r="W236" s="99">
        <v>100</v>
      </c>
      <c r="X236" s="99">
        <v>100</v>
      </c>
      <c r="Y236" s="99">
        <v>100</v>
      </c>
      <c r="Z236" s="99">
        <v>100</v>
      </c>
      <c r="AA236" s="99">
        <v>100</v>
      </c>
      <c r="AB236" s="99">
        <v>100</v>
      </c>
      <c r="AC236" s="99">
        <v>100</v>
      </c>
      <c r="AD236" s="99">
        <v>99.072928291253703</v>
      </c>
      <c r="AE236" s="99">
        <v>99.867590037381902</v>
      </c>
      <c r="AF236" s="99">
        <v>99.990824986054804</v>
      </c>
      <c r="AG236" s="99">
        <v>100</v>
      </c>
      <c r="AH236" s="99">
        <v>100</v>
      </c>
      <c r="AI236" s="99">
        <v>100</v>
      </c>
      <c r="AJ236" s="99">
        <v>99.254921290550996</v>
      </c>
      <c r="AK236" s="99">
        <v>100</v>
      </c>
      <c r="AL236" s="99">
        <v>100</v>
      </c>
      <c r="AM236" s="99">
        <v>100</v>
      </c>
      <c r="AN236" s="99">
        <v>100</v>
      </c>
    </row>
    <row r="237" spans="1:40" s="30" customFormat="1" ht="15.6">
      <c r="A237"/>
      <c r="B237" s="29"/>
      <c r="C237" s="44" t="s">
        <v>876</v>
      </c>
      <c r="D237" s="39" t="s">
        <v>27</v>
      </c>
      <c r="E237" s="39" t="s">
        <v>561</v>
      </c>
      <c r="F237" t="s">
        <v>832</v>
      </c>
      <c r="G237" s="41">
        <f>VLOOKUP(F237,'(3) Demographie &amp; Departements'!$G$8:$J$526,4,0)</f>
        <v>8346.0797565151406</v>
      </c>
      <c r="H237" s="96">
        <f t="shared" si="12"/>
        <v>3839.196687996965</v>
      </c>
      <c r="I237" s="130">
        <f t="shared" si="13"/>
        <v>0.95</v>
      </c>
      <c r="J237" s="42">
        <f t="shared" si="14"/>
        <v>0.85</v>
      </c>
      <c r="K237" s="131">
        <f t="shared" si="15"/>
        <v>0.75</v>
      </c>
      <c r="L237" s="42"/>
      <c r="M237" s="42"/>
      <c r="N237" s="39" t="s">
        <v>27</v>
      </c>
      <c r="O237" s="39" t="s">
        <v>561</v>
      </c>
      <c r="P237" t="s">
        <v>832</v>
      </c>
      <c r="Q237" s="99">
        <v>100</v>
      </c>
      <c r="R237" s="99">
        <v>100</v>
      </c>
      <c r="S237" s="99">
        <v>100</v>
      </c>
      <c r="T237" s="99">
        <v>100</v>
      </c>
      <c r="U237" s="99">
        <v>100</v>
      </c>
      <c r="V237" s="99">
        <v>100</v>
      </c>
      <c r="W237" s="99">
        <v>100</v>
      </c>
      <c r="X237" s="99">
        <v>100</v>
      </c>
      <c r="Y237" s="99">
        <v>100</v>
      </c>
      <c r="Z237" s="99">
        <v>100</v>
      </c>
      <c r="AA237" s="99">
        <v>100</v>
      </c>
      <c r="AB237" s="99">
        <v>100</v>
      </c>
      <c r="AC237" s="99">
        <v>100</v>
      </c>
      <c r="AD237" s="99">
        <v>99.1422752058469</v>
      </c>
      <c r="AE237" s="99">
        <v>100</v>
      </c>
      <c r="AF237" s="99">
        <v>100</v>
      </c>
      <c r="AG237" s="99">
        <v>100</v>
      </c>
      <c r="AH237" s="99">
        <v>100</v>
      </c>
      <c r="AI237" s="99">
        <v>100</v>
      </c>
      <c r="AJ237" s="99">
        <v>100</v>
      </c>
      <c r="AK237" s="99">
        <v>100</v>
      </c>
      <c r="AL237" s="99">
        <v>100</v>
      </c>
      <c r="AM237" s="99">
        <v>100</v>
      </c>
      <c r="AN237" s="99">
        <v>100</v>
      </c>
    </row>
    <row r="238" spans="1:40" s="30" customFormat="1" ht="15.6">
      <c r="A238"/>
      <c r="B238" s="29"/>
      <c r="C238" s="44" t="s">
        <v>876</v>
      </c>
      <c r="D238" s="39" t="s">
        <v>27</v>
      </c>
      <c r="E238" s="39" t="s">
        <v>172</v>
      </c>
      <c r="F238" t="s">
        <v>833</v>
      </c>
      <c r="G238" s="41">
        <f>VLOOKUP(F238,'(3) Demographie &amp; Departements'!$G$8:$J$526,4,0)</f>
        <v>86278.55194924018</v>
      </c>
      <c r="H238" s="96">
        <f t="shared" si="12"/>
        <v>39688.133896650485</v>
      </c>
      <c r="I238" s="130">
        <f t="shared" si="13"/>
        <v>0.95</v>
      </c>
      <c r="J238" s="42">
        <f t="shared" si="14"/>
        <v>0.85</v>
      </c>
      <c r="K238" s="131">
        <f t="shared" si="15"/>
        <v>0.75</v>
      </c>
      <c r="L238" s="42"/>
      <c r="M238" s="42"/>
      <c r="N238" s="39" t="s">
        <v>27</v>
      </c>
      <c r="O238" s="39" t="s">
        <v>172</v>
      </c>
      <c r="P238" t="s">
        <v>833</v>
      </c>
      <c r="Q238" s="99">
        <v>100</v>
      </c>
      <c r="R238" s="99">
        <v>100</v>
      </c>
      <c r="S238" s="99">
        <v>100</v>
      </c>
      <c r="T238" s="99">
        <v>100</v>
      </c>
      <c r="U238" s="99">
        <v>100</v>
      </c>
      <c r="V238" s="99">
        <v>100</v>
      </c>
      <c r="W238" s="99">
        <v>100</v>
      </c>
      <c r="X238" s="99">
        <v>100</v>
      </c>
      <c r="Y238" s="99">
        <v>100</v>
      </c>
      <c r="Z238" s="99">
        <v>100</v>
      </c>
      <c r="AA238" s="99">
        <v>100</v>
      </c>
      <c r="AB238" s="99">
        <v>100</v>
      </c>
      <c r="AC238" s="99">
        <v>100</v>
      </c>
      <c r="AD238" s="99">
        <v>100</v>
      </c>
      <c r="AE238" s="99">
        <v>100</v>
      </c>
      <c r="AF238" s="99">
        <v>100</v>
      </c>
      <c r="AG238" s="99">
        <v>100</v>
      </c>
      <c r="AH238" s="99">
        <v>100</v>
      </c>
      <c r="AI238" s="99">
        <v>100</v>
      </c>
      <c r="AJ238" s="99">
        <v>100</v>
      </c>
      <c r="AK238" s="99">
        <v>100</v>
      </c>
      <c r="AL238" s="99">
        <v>100</v>
      </c>
      <c r="AM238" s="99">
        <v>100</v>
      </c>
      <c r="AN238" s="99">
        <v>100</v>
      </c>
    </row>
    <row r="239" spans="1:40" s="30" customFormat="1" ht="15.6">
      <c r="A239"/>
      <c r="B239" s="29"/>
      <c r="C239" s="44" t="s">
        <v>876</v>
      </c>
      <c r="D239" s="39" t="s">
        <v>27</v>
      </c>
      <c r="E239" s="39" t="s">
        <v>605</v>
      </c>
      <c r="F239" t="s">
        <v>834</v>
      </c>
      <c r="G239" s="41">
        <f>VLOOKUP(F239,'(3) Demographie &amp; Departements'!$G$8:$J$526,4,0)</f>
        <v>33821.849238585477</v>
      </c>
      <c r="H239" s="96">
        <f t="shared" si="12"/>
        <v>15558.050649749321</v>
      </c>
      <c r="I239" s="130">
        <f t="shared" si="13"/>
        <v>0.95</v>
      </c>
      <c r="J239" s="42">
        <f t="shared" si="14"/>
        <v>0.85</v>
      </c>
      <c r="K239" s="131">
        <f t="shared" si="15"/>
        <v>0.75</v>
      </c>
      <c r="L239" s="42"/>
      <c r="M239" s="42"/>
      <c r="N239" s="39" t="s">
        <v>27</v>
      </c>
      <c r="O239" s="39" t="s">
        <v>605</v>
      </c>
      <c r="P239" t="s">
        <v>834</v>
      </c>
      <c r="Q239" s="99">
        <v>86.068651550564496</v>
      </c>
      <c r="R239" s="99">
        <v>99.750828562625699</v>
      </c>
      <c r="S239" s="99">
        <v>89.995781597541693</v>
      </c>
      <c r="T239" s="99">
        <v>94.4355409509933</v>
      </c>
      <c r="U239" s="99">
        <v>98.248364847359198</v>
      </c>
      <c r="V239" s="99">
        <v>98.122531086000905</v>
      </c>
      <c r="W239" s="99">
        <v>92.7404127546843</v>
      </c>
      <c r="X239" s="99">
        <v>99.909483225363303</v>
      </c>
      <c r="Y239" s="99">
        <v>100</v>
      </c>
      <c r="Z239" s="99">
        <v>95.741386007864193</v>
      </c>
      <c r="AA239" s="99">
        <v>99.779949284684704</v>
      </c>
      <c r="AB239" s="99">
        <v>98.054482353338003</v>
      </c>
      <c r="AC239" s="99">
        <v>74.628090219774194</v>
      </c>
      <c r="AD239" s="99">
        <v>90.243340786070505</v>
      </c>
      <c r="AE239" s="99">
        <v>85.715651307876499</v>
      </c>
      <c r="AF239" s="99">
        <v>98.900118103904902</v>
      </c>
      <c r="AG239" s="99">
        <v>85.254810139222698</v>
      </c>
      <c r="AH239" s="99">
        <v>92.9777739721129</v>
      </c>
      <c r="AI239" s="99">
        <v>98.784979126623796</v>
      </c>
      <c r="AJ239" s="99">
        <v>94.365469970204401</v>
      </c>
      <c r="AK239" s="99">
        <v>100</v>
      </c>
      <c r="AL239" s="99">
        <v>98.790575451566795</v>
      </c>
      <c r="AM239" s="99">
        <v>100</v>
      </c>
      <c r="AN239" s="99">
        <v>88.222830192791307</v>
      </c>
    </row>
    <row r="240" spans="1:40" s="30" customFormat="1" ht="15.6">
      <c r="A240"/>
      <c r="B240" s="29"/>
      <c r="C240" s="44" t="s">
        <v>876</v>
      </c>
      <c r="D240" s="39" t="s">
        <v>27</v>
      </c>
      <c r="E240" s="39" t="s">
        <v>479</v>
      </c>
      <c r="F240" t="s">
        <v>835</v>
      </c>
      <c r="G240" s="41">
        <f>VLOOKUP(F240,'(3) Demographie &amp; Departements'!$G$8:$J$526,4,0)</f>
        <v>82800.576121600447</v>
      </c>
      <c r="H240" s="96">
        <f t="shared" si="12"/>
        <v>38088.265015936209</v>
      </c>
      <c r="I240" s="130">
        <f t="shared" si="13"/>
        <v>0.95</v>
      </c>
      <c r="J240" s="42">
        <f t="shared" si="14"/>
        <v>0.85</v>
      </c>
      <c r="K240" s="131">
        <f t="shared" si="15"/>
        <v>0.75</v>
      </c>
      <c r="L240" s="42"/>
      <c r="M240" s="42"/>
      <c r="N240" s="39" t="s">
        <v>27</v>
      </c>
      <c r="O240" s="39" t="s">
        <v>479</v>
      </c>
      <c r="P240" t="s">
        <v>835</v>
      </c>
      <c r="Q240" s="99">
        <v>99.768542674639093</v>
      </c>
      <c r="R240" s="99">
        <v>100</v>
      </c>
      <c r="S240" s="99">
        <v>100</v>
      </c>
      <c r="T240" s="99">
        <v>97.808694084211098</v>
      </c>
      <c r="U240" s="99">
        <v>100</v>
      </c>
      <c r="V240" s="99">
        <v>99.860036865487103</v>
      </c>
      <c r="W240" s="99">
        <v>99.956317351761996</v>
      </c>
      <c r="X240" s="99">
        <v>100</v>
      </c>
      <c r="Y240" s="99">
        <v>94.213224450908299</v>
      </c>
      <c r="Z240" s="99">
        <v>100</v>
      </c>
      <c r="AA240" s="99">
        <v>100</v>
      </c>
      <c r="AB240" s="99">
        <v>100</v>
      </c>
      <c r="AC240" s="99">
        <v>100</v>
      </c>
      <c r="AD240" s="99">
        <v>100</v>
      </c>
      <c r="AE240" s="99">
        <v>97.978297854579594</v>
      </c>
      <c r="AF240" s="99">
        <v>96.496735539979198</v>
      </c>
      <c r="AG240" s="99">
        <v>94.080069059875896</v>
      </c>
      <c r="AH240" s="99">
        <v>100</v>
      </c>
      <c r="AI240" s="99">
        <v>99.409926845984202</v>
      </c>
      <c r="AJ240" s="99">
        <v>85.173456578169507</v>
      </c>
      <c r="AK240" s="99">
        <v>100</v>
      </c>
      <c r="AL240" s="99">
        <v>100</v>
      </c>
      <c r="AM240" s="99">
        <v>100</v>
      </c>
      <c r="AN240" s="99">
        <v>100</v>
      </c>
    </row>
    <row r="241" spans="1:40" s="30" customFormat="1" ht="15.6">
      <c r="A241"/>
      <c r="B241" s="29"/>
      <c r="C241" s="44" t="s">
        <v>876</v>
      </c>
      <c r="D241" s="39" t="s">
        <v>27</v>
      </c>
      <c r="E241" s="39" t="s">
        <v>566</v>
      </c>
      <c r="F241" t="s">
        <v>836</v>
      </c>
      <c r="G241" s="41">
        <f>VLOOKUP(F241,'(3) Demographie &amp; Departements'!$G$8:$J$526,4,0)</f>
        <v>27918.657120861972</v>
      </c>
      <c r="H241" s="96">
        <f t="shared" si="12"/>
        <v>12842.582275596507</v>
      </c>
      <c r="I241" s="130">
        <f t="shared" si="13"/>
        <v>0.95</v>
      </c>
      <c r="J241" s="42">
        <f t="shared" si="14"/>
        <v>0.85</v>
      </c>
      <c r="K241" s="131">
        <f t="shared" si="15"/>
        <v>0.75</v>
      </c>
      <c r="L241" s="42"/>
      <c r="M241" s="42"/>
      <c r="N241" s="39" t="s">
        <v>27</v>
      </c>
      <c r="O241" s="39" t="s">
        <v>566</v>
      </c>
      <c r="P241" t="s">
        <v>836</v>
      </c>
      <c r="Q241" s="99">
        <v>100</v>
      </c>
      <c r="R241" s="99">
        <v>100</v>
      </c>
      <c r="S241" s="99">
        <v>100</v>
      </c>
      <c r="T241" s="99">
        <v>100</v>
      </c>
      <c r="U241" s="99">
        <v>100</v>
      </c>
      <c r="V241" s="99">
        <v>100</v>
      </c>
      <c r="W241" s="99">
        <v>100</v>
      </c>
      <c r="X241" s="99">
        <v>100</v>
      </c>
      <c r="Y241" s="99">
        <v>100</v>
      </c>
      <c r="Z241" s="99">
        <v>100</v>
      </c>
      <c r="AA241" s="99">
        <v>100</v>
      </c>
      <c r="AB241" s="99">
        <v>100</v>
      </c>
      <c r="AC241" s="99">
        <v>100</v>
      </c>
      <c r="AD241" s="99">
        <v>100</v>
      </c>
      <c r="AE241" s="99">
        <v>100</v>
      </c>
      <c r="AF241" s="99">
        <v>100</v>
      </c>
      <c r="AG241" s="99">
        <v>100</v>
      </c>
      <c r="AH241" s="99">
        <v>100</v>
      </c>
      <c r="AI241" s="99">
        <v>100</v>
      </c>
      <c r="AJ241" s="99">
        <v>100</v>
      </c>
      <c r="AK241" s="99">
        <v>100</v>
      </c>
      <c r="AL241" s="99">
        <v>100</v>
      </c>
      <c r="AM241" s="99">
        <v>100</v>
      </c>
      <c r="AN241" s="99">
        <v>100</v>
      </c>
    </row>
    <row r="242" spans="1:40" s="30" customFormat="1" ht="15.6">
      <c r="A242"/>
      <c r="B242" s="29"/>
      <c r="C242" s="44" t="s">
        <v>876</v>
      </c>
      <c r="D242" s="39" t="s">
        <v>27</v>
      </c>
      <c r="E242" s="39" t="s">
        <v>494</v>
      </c>
      <c r="F242" t="s">
        <v>837</v>
      </c>
      <c r="G242" s="41">
        <f>VLOOKUP(F242,'(3) Demographie &amp; Departements'!$G$8:$J$526,4,0)</f>
        <v>13448.441246149136</v>
      </c>
      <c r="H242" s="96">
        <f t="shared" si="12"/>
        <v>6186.2829732286027</v>
      </c>
      <c r="I242" s="130">
        <f t="shared" si="13"/>
        <v>0.95</v>
      </c>
      <c r="J242" s="42">
        <f t="shared" si="14"/>
        <v>0.85</v>
      </c>
      <c r="K242" s="131">
        <f t="shared" si="15"/>
        <v>0.75</v>
      </c>
      <c r="L242" s="42"/>
      <c r="M242" s="42"/>
      <c r="N242" s="39" t="s">
        <v>27</v>
      </c>
      <c r="O242" s="39" t="s">
        <v>494</v>
      </c>
      <c r="P242" t="s">
        <v>837</v>
      </c>
      <c r="Q242" s="99">
        <v>100</v>
      </c>
      <c r="R242" s="99">
        <v>100</v>
      </c>
      <c r="S242" s="99">
        <v>100</v>
      </c>
      <c r="T242" s="99">
        <v>92.868410360898807</v>
      </c>
      <c r="U242" s="99">
        <v>100</v>
      </c>
      <c r="V242" s="99">
        <v>100</v>
      </c>
      <c r="W242" s="99">
        <v>100</v>
      </c>
      <c r="X242" s="99">
        <v>100</v>
      </c>
      <c r="Y242" s="99">
        <v>100</v>
      </c>
      <c r="Z242" s="99">
        <v>100</v>
      </c>
      <c r="AA242" s="99">
        <v>100</v>
      </c>
      <c r="AB242" s="99">
        <v>100</v>
      </c>
      <c r="AC242" s="99">
        <v>100</v>
      </c>
      <c r="AD242" s="99">
        <v>95.190812862857101</v>
      </c>
      <c r="AE242" s="99">
        <v>99.523082194682004</v>
      </c>
      <c r="AF242" s="99">
        <v>99.689782422824507</v>
      </c>
      <c r="AG242" s="99">
        <v>100</v>
      </c>
      <c r="AH242" s="99">
        <v>100</v>
      </c>
      <c r="AI242" s="99">
        <v>99.746752305496003</v>
      </c>
      <c r="AJ242" s="99">
        <v>97.4300791003852</v>
      </c>
      <c r="AK242" s="99">
        <v>100</v>
      </c>
      <c r="AL242" s="99">
        <v>100</v>
      </c>
      <c r="AM242" s="99">
        <v>100</v>
      </c>
      <c r="AN242" s="99">
        <v>100</v>
      </c>
    </row>
    <row r="243" spans="1:40" s="30" customFormat="1" ht="15.6">
      <c r="A243"/>
      <c r="B243" s="29"/>
      <c r="C243" s="44" t="s">
        <v>876</v>
      </c>
      <c r="D243" s="39" t="s">
        <v>27</v>
      </c>
      <c r="E243" s="39">
        <v>1</v>
      </c>
      <c r="F243" s="91" t="s">
        <v>838</v>
      </c>
      <c r="G243" s="98">
        <v>10000</v>
      </c>
      <c r="H243" s="96">
        <f t="shared" si="12"/>
        <v>4600</v>
      </c>
      <c r="I243" s="130">
        <f t="shared" si="13"/>
        <v>0.95</v>
      </c>
      <c r="J243" s="42">
        <f t="shared" si="14"/>
        <v>0.85</v>
      </c>
      <c r="K243" s="131">
        <f t="shared" si="15"/>
        <v>0.75</v>
      </c>
      <c r="L243" s="42"/>
      <c r="M243" s="42"/>
      <c r="N243" s="39" t="s">
        <v>27</v>
      </c>
      <c r="O243" s="39">
        <v>1</v>
      </c>
      <c r="P243" s="91" t="s">
        <v>838</v>
      </c>
      <c r="Q243" s="99">
        <v>91.333459429466203</v>
      </c>
      <c r="R243" s="99">
        <v>99.700932822880304</v>
      </c>
      <c r="S243" s="99">
        <v>92.800783787467296</v>
      </c>
      <c r="T243" s="99">
        <v>90.001410667021403</v>
      </c>
      <c r="U243" s="99">
        <v>91.620959108780696</v>
      </c>
      <c r="V243" s="99">
        <v>98.327543615162597</v>
      </c>
      <c r="W243" s="99">
        <v>90.878500478717896</v>
      </c>
      <c r="X243" s="99">
        <v>99.999561710348601</v>
      </c>
      <c r="Y243" s="99">
        <v>98.784294160104906</v>
      </c>
      <c r="Z243" s="99">
        <v>96.172962619363005</v>
      </c>
      <c r="AA243" s="99">
        <v>99.9594537630513</v>
      </c>
      <c r="AB243" s="99">
        <v>99.453858156124795</v>
      </c>
      <c r="AC243" s="99">
        <v>84.360097085428194</v>
      </c>
      <c r="AD243" s="99">
        <v>86.939893257844105</v>
      </c>
      <c r="AE243" s="99">
        <v>90.331896038611802</v>
      </c>
      <c r="AF243" s="99">
        <v>94.283878413607695</v>
      </c>
      <c r="AG243" s="99">
        <v>90.735153967645005</v>
      </c>
      <c r="AH243" s="99">
        <v>96.107808428606205</v>
      </c>
      <c r="AI243" s="99">
        <v>98.820810785413201</v>
      </c>
      <c r="AJ243" s="99">
        <v>87.669908429953495</v>
      </c>
      <c r="AK243" s="99">
        <v>99.994716137134404</v>
      </c>
      <c r="AL243" s="99">
        <v>98.9869133495081</v>
      </c>
      <c r="AM243" s="99">
        <v>99.648759134375098</v>
      </c>
      <c r="AN243" s="99">
        <v>82.872726284237203</v>
      </c>
    </row>
    <row r="244" spans="1:40" s="30" customFormat="1" ht="15.6">
      <c r="A244"/>
      <c r="B244" s="29"/>
      <c r="C244" s="44" t="s">
        <v>876</v>
      </c>
      <c r="D244" s="39" t="s">
        <v>27</v>
      </c>
      <c r="E244" s="39" t="s">
        <v>468</v>
      </c>
      <c r="F244" t="s">
        <v>471</v>
      </c>
      <c r="G244" s="41">
        <f>VLOOKUP(F244,'(3) Demographie &amp; Departements'!$G$8:$J$526,4,0)</f>
        <v>6599.7005375502395</v>
      </c>
      <c r="H244" s="96">
        <f t="shared" si="12"/>
        <v>3035.8622472731104</v>
      </c>
      <c r="I244" s="130">
        <f t="shared" si="13"/>
        <v>0.95</v>
      </c>
      <c r="J244" s="42">
        <f t="shared" si="14"/>
        <v>0.85</v>
      </c>
      <c r="K244" s="131">
        <f t="shared" si="15"/>
        <v>0.75</v>
      </c>
      <c r="L244" s="42"/>
      <c r="M244" s="42"/>
      <c r="N244" s="39" t="s">
        <v>27</v>
      </c>
      <c r="O244" s="39" t="s">
        <v>468</v>
      </c>
      <c r="P244" t="s">
        <v>471</v>
      </c>
      <c r="Q244" s="99">
        <v>100</v>
      </c>
      <c r="R244" s="99">
        <v>100</v>
      </c>
      <c r="S244" s="99">
        <v>100</v>
      </c>
      <c r="T244" s="99">
        <v>99.362876351410506</v>
      </c>
      <c r="U244" s="99">
        <v>100</v>
      </c>
      <c r="V244" s="99">
        <v>100</v>
      </c>
      <c r="W244" s="99">
        <v>100</v>
      </c>
      <c r="X244" s="99">
        <v>100</v>
      </c>
      <c r="Y244" s="99">
        <v>100</v>
      </c>
      <c r="Z244" s="99">
        <v>100</v>
      </c>
      <c r="AA244" s="99">
        <v>100</v>
      </c>
      <c r="AB244" s="99">
        <v>100</v>
      </c>
      <c r="AC244" s="99">
        <v>100</v>
      </c>
      <c r="AD244" s="99">
        <v>89.873845825364199</v>
      </c>
      <c r="AE244" s="99">
        <v>100</v>
      </c>
      <c r="AF244" s="99">
        <v>99.306361169732696</v>
      </c>
      <c r="AG244" s="99">
        <v>100</v>
      </c>
      <c r="AH244" s="99">
        <v>100</v>
      </c>
      <c r="AI244" s="99">
        <v>97.825246331614906</v>
      </c>
      <c r="AJ244" s="99">
        <v>92.482438318823398</v>
      </c>
      <c r="AK244" s="99">
        <v>100</v>
      </c>
      <c r="AL244" s="99">
        <v>100</v>
      </c>
      <c r="AM244" s="99">
        <v>100</v>
      </c>
      <c r="AN244" s="99">
        <v>100</v>
      </c>
    </row>
    <row r="245" spans="1:40" s="30" customFormat="1" ht="15.6">
      <c r="A245"/>
      <c r="B245" s="29"/>
      <c r="C245" s="44" t="s">
        <v>876</v>
      </c>
      <c r="D245" s="39" t="s">
        <v>27</v>
      </c>
      <c r="E245" s="39" t="s">
        <v>542</v>
      </c>
      <c r="F245" t="s">
        <v>839</v>
      </c>
      <c r="G245" s="41">
        <f>VLOOKUP(F245,'(3) Demographie &amp; Departements'!$G$8:$J$526,4,0)</f>
        <v>103979.63444182962</v>
      </c>
      <c r="H245" s="96">
        <f t="shared" si="12"/>
        <v>47830.63184324163</v>
      </c>
      <c r="I245" s="130">
        <f t="shared" si="13"/>
        <v>0.95</v>
      </c>
      <c r="J245" s="42">
        <f t="shared" si="14"/>
        <v>0.85</v>
      </c>
      <c r="K245" s="131">
        <f t="shared" si="15"/>
        <v>0.75</v>
      </c>
      <c r="L245" s="42"/>
      <c r="M245" s="42"/>
      <c r="N245" s="39" t="s">
        <v>27</v>
      </c>
      <c r="O245" s="39" t="s">
        <v>542</v>
      </c>
      <c r="P245" t="s">
        <v>839</v>
      </c>
      <c r="Q245" s="99">
        <v>89.209121076665497</v>
      </c>
      <c r="R245" s="99">
        <v>100</v>
      </c>
      <c r="S245" s="99">
        <v>100</v>
      </c>
      <c r="T245" s="99">
        <v>83.915639391799999</v>
      </c>
      <c r="U245" s="99">
        <v>96.028324008393994</v>
      </c>
      <c r="V245" s="99">
        <v>99.675340888051394</v>
      </c>
      <c r="W245" s="99">
        <v>87.330560908049705</v>
      </c>
      <c r="X245" s="99">
        <v>100</v>
      </c>
      <c r="Y245" s="99">
        <v>98.4024093657858</v>
      </c>
      <c r="Z245" s="99">
        <v>93.285716626009602</v>
      </c>
      <c r="AA245" s="99">
        <v>87.391117932453994</v>
      </c>
      <c r="AB245" s="99">
        <v>99.5876790985063</v>
      </c>
      <c r="AC245" s="99">
        <v>95.947839374159599</v>
      </c>
      <c r="AD245" s="99">
        <v>86.593274048230498</v>
      </c>
      <c r="AE245" s="99">
        <v>88.588476388414193</v>
      </c>
      <c r="AF245" s="99">
        <v>76.752653242854507</v>
      </c>
      <c r="AG245" s="99">
        <v>90.645862199476994</v>
      </c>
      <c r="AH245" s="99">
        <v>99.734676509504993</v>
      </c>
      <c r="AI245" s="99">
        <v>94.227843483832402</v>
      </c>
      <c r="AJ245" s="99">
        <v>87.373999609846095</v>
      </c>
      <c r="AK245" s="99">
        <v>100</v>
      </c>
      <c r="AL245" s="99">
        <v>96.100990614249895</v>
      </c>
      <c r="AM245" s="99">
        <v>100</v>
      </c>
      <c r="AN245" s="99">
        <v>90.651856453997695</v>
      </c>
    </row>
    <row r="246" spans="1:40" s="30" customFormat="1" ht="15.6">
      <c r="A246"/>
      <c r="B246" s="29"/>
      <c r="C246" s="44" t="s">
        <v>876</v>
      </c>
      <c r="D246" s="39" t="s">
        <v>27</v>
      </c>
      <c r="E246" s="39" t="s">
        <v>179</v>
      </c>
      <c r="F246" t="s">
        <v>840</v>
      </c>
      <c r="G246" s="41">
        <f>VLOOKUP(F246,'(3) Demographie &amp; Departements'!$G$8:$J$526,4,0)</f>
        <v>21213.266845088874</v>
      </c>
      <c r="H246" s="96">
        <f t="shared" si="12"/>
        <v>9758.1027487408828</v>
      </c>
      <c r="I246" s="130">
        <f t="shared" si="13"/>
        <v>0.95</v>
      </c>
      <c r="J246" s="42">
        <f t="shared" si="14"/>
        <v>0.85</v>
      </c>
      <c r="K246" s="131">
        <f t="shared" si="15"/>
        <v>0.75</v>
      </c>
      <c r="L246" s="42"/>
      <c r="M246" s="42"/>
      <c r="N246" s="39" t="s">
        <v>27</v>
      </c>
      <c r="O246" s="39" t="s">
        <v>179</v>
      </c>
      <c r="P246" t="s">
        <v>840</v>
      </c>
      <c r="Q246" s="99">
        <v>100</v>
      </c>
      <c r="R246" s="99">
        <v>100</v>
      </c>
      <c r="S246" s="99">
        <v>100</v>
      </c>
      <c r="T246" s="99">
        <v>100</v>
      </c>
      <c r="U246" s="99">
        <v>100</v>
      </c>
      <c r="V246" s="99">
        <v>100</v>
      </c>
      <c r="W246" s="99">
        <v>100</v>
      </c>
      <c r="X246" s="99">
        <v>100</v>
      </c>
      <c r="Y246" s="99">
        <v>100</v>
      </c>
      <c r="Z246" s="99">
        <v>100</v>
      </c>
      <c r="AA246" s="99">
        <v>100</v>
      </c>
      <c r="AB246" s="99">
        <v>100</v>
      </c>
      <c r="AC246" s="99">
        <v>100</v>
      </c>
      <c r="AD246" s="99">
        <v>100</v>
      </c>
      <c r="AE246" s="99">
        <v>99.972607570335498</v>
      </c>
      <c r="AF246" s="99">
        <v>100</v>
      </c>
      <c r="AG246" s="99">
        <v>100</v>
      </c>
      <c r="AH246" s="99">
        <v>100</v>
      </c>
      <c r="AI246" s="99">
        <v>100</v>
      </c>
      <c r="AJ246" s="99">
        <v>100</v>
      </c>
      <c r="AK246" s="99">
        <v>100</v>
      </c>
      <c r="AL246" s="99">
        <v>100</v>
      </c>
      <c r="AM246" s="99">
        <v>100</v>
      </c>
      <c r="AN246" s="99">
        <v>100</v>
      </c>
    </row>
    <row r="247" spans="1:40" s="30" customFormat="1" ht="15.6">
      <c r="A247"/>
      <c r="B247" s="29"/>
      <c r="C247" s="44" t="s">
        <v>876</v>
      </c>
      <c r="D247" s="39" t="s">
        <v>27</v>
      </c>
      <c r="E247" s="39" t="s">
        <v>566</v>
      </c>
      <c r="F247" t="s">
        <v>841</v>
      </c>
      <c r="G247" s="41">
        <f>VLOOKUP(F247,'(3) Demographie &amp; Departements'!$G$8:$J$526,4,0)</f>
        <v>5225.2745292731788</v>
      </c>
      <c r="H247" s="96">
        <f t="shared" si="12"/>
        <v>2403.6262834656623</v>
      </c>
      <c r="I247" s="130">
        <f t="shared" si="13"/>
        <v>0.95</v>
      </c>
      <c r="J247" s="42">
        <f t="shared" si="14"/>
        <v>0.85</v>
      </c>
      <c r="K247" s="131">
        <f t="shared" si="15"/>
        <v>0.75</v>
      </c>
      <c r="L247" s="42"/>
      <c r="M247" s="42"/>
      <c r="N247" s="39" t="s">
        <v>27</v>
      </c>
      <c r="O247" s="39" t="s">
        <v>566</v>
      </c>
      <c r="P247" t="s">
        <v>841</v>
      </c>
      <c r="Q247" s="99">
        <v>100</v>
      </c>
      <c r="R247" s="99">
        <v>100</v>
      </c>
      <c r="S247" s="99">
        <v>100</v>
      </c>
      <c r="T247" s="99">
        <v>100</v>
      </c>
      <c r="U247" s="99">
        <v>100</v>
      </c>
      <c r="V247" s="99">
        <v>100</v>
      </c>
      <c r="W247" s="99">
        <v>100</v>
      </c>
      <c r="X247" s="99">
        <v>100</v>
      </c>
      <c r="Y247" s="99">
        <v>100</v>
      </c>
      <c r="Z247" s="99">
        <v>100</v>
      </c>
      <c r="AA247" s="99">
        <v>100</v>
      </c>
      <c r="AB247" s="99">
        <v>100</v>
      </c>
      <c r="AC247" s="99">
        <v>100</v>
      </c>
      <c r="AD247" s="99">
        <v>100</v>
      </c>
      <c r="AE247" s="99">
        <v>100</v>
      </c>
      <c r="AF247" s="99">
        <v>100</v>
      </c>
      <c r="AG247" s="99">
        <v>100</v>
      </c>
      <c r="AH247" s="99">
        <v>100</v>
      </c>
      <c r="AI247" s="99">
        <v>100</v>
      </c>
      <c r="AJ247" s="99">
        <v>100</v>
      </c>
      <c r="AK247" s="99">
        <v>100</v>
      </c>
      <c r="AL247" s="99">
        <v>100</v>
      </c>
      <c r="AM247" s="99">
        <v>100</v>
      </c>
      <c r="AN247" s="99">
        <v>100</v>
      </c>
    </row>
    <row r="248" spans="1:40" s="30" customFormat="1" ht="15.6">
      <c r="A248"/>
      <c r="B248" s="29"/>
      <c r="C248" s="44" t="s">
        <v>876</v>
      </c>
      <c r="D248" s="39" t="s">
        <v>27</v>
      </c>
      <c r="E248" s="39" t="s">
        <v>166</v>
      </c>
      <c r="F248" t="s">
        <v>842</v>
      </c>
      <c r="G248" s="41">
        <f>VLOOKUP(F248,'(3) Demographie &amp; Departements'!$G$8:$J$526,4,0)</f>
        <v>17218.82098621667</v>
      </c>
      <c r="H248" s="96">
        <f t="shared" si="12"/>
        <v>7920.6576536596685</v>
      </c>
      <c r="I248" s="130">
        <f t="shared" si="13"/>
        <v>0.95</v>
      </c>
      <c r="J248" s="42">
        <f t="shared" si="14"/>
        <v>0.85</v>
      </c>
      <c r="K248" s="131">
        <f t="shared" si="15"/>
        <v>0.75</v>
      </c>
      <c r="L248" s="42"/>
      <c r="M248" s="42"/>
      <c r="N248" s="39" t="s">
        <v>27</v>
      </c>
      <c r="O248" s="39" t="s">
        <v>166</v>
      </c>
      <c r="P248" t="s">
        <v>842</v>
      </c>
      <c r="Q248" s="99">
        <v>100</v>
      </c>
      <c r="R248" s="99">
        <v>100</v>
      </c>
      <c r="S248" s="99">
        <v>100</v>
      </c>
      <c r="T248" s="99">
        <v>100</v>
      </c>
      <c r="U248" s="99">
        <v>100</v>
      </c>
      <c r="V248" s="99">
        <v>100</v>
      </c>
      <c r="W248" s="99">
        <v>100</v>
      </c>
      <c r="X248" s="99">
        <v>100</v>
      </c>
      <c r="Y248" s="99">
        <v>100</v>
      </c>
      <c r="Z248" s="99">
        <v>100</v>
      </c>
      <c r="AA248" s="99">
        <v>100</v>
      </c>
      <c r="AB248" s="99">
        <v>100</v>
      </c>
      <c r="AC248" s="99">
        <v>100</v>
      </c>
      <c r="AD248" s="99">
        <v>100</v>
      </c>
      <c r="AE248" s="99">
        <v>100</v>
      </c>
      <c r="AF248" s="99">
        <v>100</v>
      </c>
      <c r="AG248" s="99">
        <v>100</v>
      </c>
      <c r="AH248" s="99">
        <v>100</v>
      </c>
      <c r="AI248" s="99">
        <v>100</v>
      </c>
      <c r="AJ248" s="99">
        <v>100</v>
      </c>
      <c r="AK248" s="99">
        <v>100</v>
      </c>
      <c r="AL248" s="99">
        <v>100</v>
      </c>
      <c r="AM248" s="99">
        <v>100</v>
      </c>
      <c r="AN248" s="99">
        <v>100</v>
      </c>
    </row>
    <row r="249" spans="1:40" s="30" customFormat="1" ht="15.6">
      <c r="A249"/>
      <c r="B249" s="29"/>
      <c r="C249" s="44" t="s">
        <v>876</v>
      </c>
      <c r="D249" s="39" t="s">
        <v>27</v>
      </c>
      <c r="E249" s="39" t="s">
        <v>177</v>
      </c>
      <c r="F249" t="s">
        <v>843</v>
      </c>
      <c r="G249" s="41">
        <f>VLOOKUP(F249,'(3) Demographie &amp; Departements'!$G$8:$J$526,4,0)</f>
        <v>7777.0845951849815</v>
      </c>
      <c r="H249" s="96">
        <f t="shared" si="12"/>
        <v>3577.4589137850917</v>
      </c>
      <c r="I249" s="130">
        <f t="shared" si="13"/>
        <v>0.95</v>
      </c>
      <c r="J249" s="42">
        <f t="shared" si="14"/>
        <v>0.85</v>
      </c>
      <c r="K249" s="131">
        <f t="shared" si="15"/>
        <v>0.75</v>
      </c>
      <c r="L249" s="42"/>
      <c r="M249" s="42"/>
      <c r="N249" s="39" t="s">
        <v>27</v>
      </c>
      <c r="O249" s="39" t="s">
        <v>177</v>
      </c>
      <c r="P249" t="s">
        <v>843</v>
      </c>
      <c r="Q249" s="99">
        <v>100</v>
      </c>
      <c r="R249" s="99">
        <v>100</v>
      </c>
      <c r="S249" s="99">
        <v>100</v>
      </c>
      <c r="T249" s="99">
        <v>100</v>
      </c>
      <c r="U249" s="99">
        <v>100</v>
      </c>
      <c r="V249" s="99">
        <v>100</v>
      </c>
      <c r="W249" s="99">
        <v>100</v>
      </c>
      <c r="X249" s="99">
        <v>100</v>
      </c>
      <c r="Y249" s="99">
        <v>100</v>
      </c>
      <c r="Z249" s="99">
        <v>100</v>
      </c>
      <c r="AA249" s="99">
        <v>100</v>
      </c>
      <c r="AB249" s="99">
        <v>100</v>
      </c>
      <c r="AC249" s="99">
        <v>100</v>
      </c>
      <c r="AD249" s="99">
        <v>100</v>
      </c>
      <c r="AE249" s="99">
        <v>100</v>
      </c>
      <c r="AF249" s="99">
        <v>100</v>
      </c>
      <c r="AG249" s="99">
        <v>100</v>
      </c>
      <c r="AH249" s="99">
        <v>100</v>
      </c>
      <c r="AI249" s="99">
        <v>100</v>
      </c>
      <c r="AJ249" s="99">
        <v>100</v>
      </c>
      <c r="AK249" s="99">
        <v>100</v>
      </c>
      <c r="AL249" s="99">
        <v>100</v>
      </c>
      <c r="AM249" s="99">
        <v>100</v>
      </c>
      <c r="AN249" s="99">
        <v>100</v>
      </c>
    </row>
    <row r="250" spans="1:40" s="30" customFormat="1" ht="15.6">
      <c r="A250"/>
      <c r="B250" s="29"/>
      <c r="C250" s="44" t="s">
        <v>876</v>
      </c>
      <c r="D250" s="39" t="s">
        <v>26</v>
      </c>
      <c r="E250" s="39" t="s">
        <v>594</v>
      </c>
      <c r="F250" t="s">
        <v>708</v>
      </c>
      <c r="G250" s="41">
        <f>VLOOKUP(F250,'(3) Demographie &amp; Departements'!$G$8:$J$526,4,0)</f>
        <v>26917.943956954281</v>
      </c>
      <c r="H250" s="96">
        <f t="shared" si="12"/>
        <v>12382.254220198969</v>
      </c>
      <c r="I250" s="130">
        <f t="shared" si="13"/>
        <v>0.95</v>
      </c>
      <c r="J250" s="42">
        <f t="shared" si="14"/>
        <v>0.85</v>
      </c>
      <c r="K250" s="131">
        <f t="shared" si="15"/>
        <v>0.75</v>
      </c>
      <c r="L250" s="42"/>
      <c r="M250" s="42"/>
      <c r="N250" s="39" t="s">
        <v>26</v>
      </c>
      <c r="O250" s="39" t="s">
        <v>594</v>
      </c>
      <c r="P250" t="s">
        <v>708</v>
      </c>
      <c r="Q250" s="99">
        <v>79.004428480451296</v>
      </c>
      <c r="R250" s="99">
        <v>99.699541609315801</v>
      </c>
      <c r="S250" s="99">
        <v>84.799858122632202</v>
      </c>
      <c r="T250" s="99">
        <v>71.390932803046297</v>
      </c>
      <c r="U250" s="99">
        <v>70.928668066501402</v>
      </c>
      <c r="V250" s="99">
        <v>93.094511525708597</v>
      </c>
      <c r="W250" s="99">
        <v>81.830857229744893</v>
      </c>
      <c r="X250" s="99">
        <v>100</v>
      </c>
      <c r="Y250" s="99">
        <v>84.451565868552805</v>
      </c>
      <c r="Z250" s="99">
        <v>100</v>
      </c>
      <c r="AA250" s="99">
        <v>100</v>
      </c>
      <c r="AB250" s="99">
        <v>100</v>
      </c>
      <c r="AC250" s="99">
        <v>79.092851241760798</v>
      </c>
      <c r="AD250" s="99">
        <v>75.5260147205896</v>
      </c>
      <c r="AE250" s="99">
        <v>70.354035095344301</v>
      </c>
      <c r="AF250" s="99">
        <v>66.8565539964452</v>
      </c>
      <c r="AG250" s="99">
        <v>93.700516055551404</v>
      </c>
      <c r="AH250" s="99">
        <v>73.674919972815403</v>
      </c>
      <c r="AI250" s="99">
        <v>97.433680196832796</v>
      </c>
      <c r="AJ250" s="99">
        <v>82.720458899123798</v>
      </c>
      <c r="AK250" s="99">
        <v>99.634895389072298</v>
      </c>
      <c r="AL250" s="99">
        <v>93.948774012500706</v>
      </c>
      <c r="AM250" s="99">
        <v>100</v>
      </c>
      <c r="AN250" s="99">
        <v>74.764580292776998</v>
      </c>
    </row>
    <row r="251" spans="1:40" s="30" customFormat="1" ht="15.6">
      <c r="A251"/>
      <c r="B251" s="29"/>
      <c r="C251" s="44" t="s">
        <v>876</v>
      </c>
      <c r="D251" s="39" t="s">
        <v>27</v>
      </c>
      <c r="E251" s="39" t="s">
        <v>331</v>
      </c>
      <c r="F251" s="89" t="s">
        <v>337</v>
      </c>
      <c r="G251" s="41">
        <f>VLOOKUP(F251,'(3) Demographie &amp; Departements'!$G$8:$J$526,4,0)</f>
        <v>51818.758151605769</v>
      </c>
      <c r="H251" s="96">
        <f t="shared" si="12"/>
        <v>23836.628749738655</v>
      </c>
      <c r="I251" s="130">
        <f t="shared" si="13"/>
        <v>0.95</v>
      </c>
      <c r="J251" s="42">
        <f t="shared" si="14"/>
        <v>0.85</v>
      </c>
      <c r="K251" s="131">
        <f t="shared" si="15"/>
        <v>0.75</v>
      </c>
      <c r="L251" s="42"/>
      <c r="M251" s="42"/>
      <c r="N251" s="39" t="s">
        <v>27</v>
      </c>
      <c r="O251" s="39" t="s">
        <v>331</v>
      </c>
      <c r="P251" s="89" t="s">
        <v>337</v>
      </c>
      <c r="Q251" s="99">
        <v>100</v>
      </c>
      <c r="R251" s="99">
        <v>100</v>
      </c>
      <c r="S251" s="99">
        <v>100</v>
      </c>
      <c r="T251" s="99">
        <v>100</v>
      </c>
      <c r="U251" s="99">
        <v>100</v>
      </c>
      <c r="V251" s="99">
        <v>100</v>
      </c>
      <c r="W251" s="99">
        <v>100</v>
      </c>
      <c r="X251" s="99">
        <v>100</v>
      </c>
      <c r="Y251" s="99">
        <v>100</v>
      </c>
      <c r="Z251" s="99">
        <v>100</v>
      </c>
      <c r="AA251" s="99">
        <v>100</v>
      </c>
      <c r="AB251" s="99">
        <v>100</v>
      </c>
      <c r="AC251" s="99">
        <v>100</v>
      </c>
      <c r="AD251" s="99">
        <v>100</v>
      </c>
      <c r="AE251" s="99">
        <v>100</v>
      </c>
      <c r="AF251" s="99">
        <v>100</v>
      </c>
      <c r="AG251" s="99">
        <v>100</v>
      </c>
      <c r="AH251" s="99">
        <v>100</v>
      </c>
      <c r="AI251" s="99">
        <v>100</v>
      </c>
      <c r="AJ251" s="99">
        <v>100</v>
      </c>
      <c r="AK251" s="99">
        <v>100</v>
      </c>
      <c r="AL251" s="99">
        <v>100</v>
      </c>
      <c r="AM251" s="99">
        <v>100</v>
      </c>
      <c r="AN251" s="99">
        <v>100</v>
      </c>
    </row>
    <row r="252" spans="1:40" s="30" customFormat="1" ht="15.6">
      <c r="A252"/>
      <c r="B252" s="29"/>
      <c r="C252" s="44" t="s">
        <v>876</v>
      </c>
      <c r="D252" s="39" t="s">
        <v>27</v>
      </c>
      <c r="E252" s="39" t="s">
        <v>555</v>
      </c>
      <c r="F252" t="s">
        <v>844</v>
      </c>
      <c r="G252" s="41">
        <f>VLOOKUP(F252,'(3) Demographie &amp; Departements'!$G$8:$J$526,4,0)</f>
        <v>42450.425175532589</v>
      </c>
      <c r="H252" s="96">
        <f t="shared" si="12"/>
        <v>19527.195580744992</v>
      </c>
      <c r="I252" s="130">
        <f t="shared" si="13"/>
        <v>0.95</v>
      </c>
      <c r="J252" s="42">
        <f t="shared" si="14"/>
        <v>0.85</v>
      </c>
      <c r="K252" s="131">
        <f t="shared" si="15"/>
        <v>0.75</v>
      </c>
      <c r="L252" s="42"/>
      <c r="M252" s="42"/>
      <c r="N252" s="39" t="s">
        <v>27</v>
      </c>
      <c r="O252" s="39" t="s">
        <v>555</v>
      </c>
      <c r="P252" t="s">
        <v>844</v>
      </c>
      <c r="Q252" s="99">
        <v>90.272977583424506</v>
      </c>
      <c r="R252" s="99">
        <v>99.841572261618794</v>
      </c>
      <c r="S252" s="99">
        <v>80.554481199664806</v>
      </c>
      <c r="T252" s="99">
        <v>75.701858622607702</v>
      </c>
      <c r="U252" s="99">
        <v>90.2189319929481</v>
      </c>
      <c r="V252" s="99">
        <v>88.648751134186199</v>
      </c>
      <c r="W252" s="99">
        <v>80.882221731456397</v>
      </c>
      <c r="X252" s="99">
        <v>99.945145396331597</v>
      </c>
      <c r="Y252" s="99">
        <v>89.679260361005504</v>
      </c>
      <c r="Z252" s="99">
        <v>71.435811139345901</v>
      </c>
      <c r="AA252" s="99">
        <v>88.875573323591297</v>
      </c>
      <c r="AB252" s="99">
        <v>100</v>
      </c>
      <c r="AC252" s="99">
        <v>99.371247543321402</v>
      </c>
      <c r="AD252" s="99">
        <v>79.102726418783305</v>
      </c>
      <c r="AE252" s="99">
        <v>74.166182384404607</v>
      </c>
      <c r="AF252" s="99">
        <v>82.593397028044507</v>
      </c>
      <c r="AG252" s="99">
        <v>82.279743775685802</v>
      </c>
      <c r="AH252" s="99">
        <v>90.849439632114795</v>
      </c>
      <c r="AI252" s="99">
        <v>84.598806823131895</v>
      </c>
      <c r="AJ252" s="99">
        <v>86.813690955617702</v>
      </c>
      <c r="AK252" s="99">
        <v>88.325482618724806</v>
      </c>
      <c r="AL252" s="99">
        <v>99.708997868429293</v>
      </c>
      <c r="AM252" s="99">
        <v>97.109969991444501</v>
      </c>
      <c r="AN252" s="99">
        <v>85.490111488616606</v>
      </c>
    </row>
    <row r="253" spans="1:40" s="30" customFormat="1" ht="15.6">
      <c r="A253"/>
      <c r="B253" s="29"/>
      <c r="C253" s="44" t="s">
        <v>876</v>
      </c>
      <c r="D253" s="39" t="s">
        <v>27</v>
      </c>
      <c r="E253" s="39" t="s">
        <v>517</v>
      </c>
      <c r="F253" t="s">
        <v>845</v>
      </c>
      <c r="G253" s="41">
        <f>VLOOKUP(F253,'(3) Demographie &amp; Departements'!$G$8:$J$526,4,0)</f>
        <v>26162.873138257499</v>
      </c>
      <c r="H253" s="96">
        <f t="shared" si="12"/>
        <v>12034.921643598451</v>
      </c>
      <c r="I253" s="130">
        <f t="shared" si="13"/>
        <v>0.95</v>
      </c>
      <c r="J253" s="42">
        <f t="shared" si="14"/>
        <v>0.85</v>
      </c>
      <c r="K253" s="131">
        <f t="shared" si="15"/>
        <v>0.75</v>
      </c>
      <c r="L253" s="42"/>
      <c r="M253" s="42"/>
      <c r="N253" s="39" t="s">
        <v>27</v>
      </c>
      <c r="O253" s="39" t="s">
        <v>517</v>
      </c>
      <c r="P253" t="s">
        <v>845</v>
      </c>
      <c r="Q253" s="99">
        <v>78.473866402996507</v>
      </c>
      <c r="R253" s="99">
        <v>95.5930373547491</v>
      </c>
      <c r="S253" s="99">
        <v>82.529412212194202</v>
      </c>
      <c r="T253" s="99">
        <v>85.853235939942607</v>
      </c>
      <c r="U253" s="99">
        <v>71.365730581263506</v>
      </c>
      <c r="V253" s="99">
        <v>89.538596918757406</v>
      </c>
      <c r="W253" s="99">
        <v>91.274767046757304</v>
      </c>
      <c r="X253" s="99">
        <v>100</v>
      </c>
      <c r="Y253" s="99">
        <v>87.364988949501097</v>
      </c>
      <c r="Z253" s="99">
        <v>90.829496055447706</v>
      </c>
      <c r="AA253" s="99">
        <v>91.421123858577602</v>
      </c>
      <c r="AB253" s="99">
        <v>91.780095463807598</v>
      </c>
      <c r="AC253" s="99">
        <v>74.652271104371394</v>
      </c>
      <c r="AD253" s="99">
        <v>72.245757568694998</v>
      </c>
      <c r="AE253" s="99">
        <v>70.596850953715503</v>
      </c>
      <c r="AF253" s="99">
        <v>65.272497025963105</v>
      </c>
      <c r="AG253" s="99">
        <v>93.835114118262197</v>
      </c>
      <c r="AH253" s="99">
        <v>93.921810188679899</v>
      </c>
      <c r="AI253" s="99">
        <v>87.373770499878901</v>
      </c>
      <c r="AJ253" s="99">
        <v>74.115436016803699</v>
      </c>
      <c r="AK253" s="99">
        <v>100</v>
      </c>
      <c r="AL253" s="99">
        <v>99.478899239843201</v>
      </c>
      <c r="AM253" s="99">
        <v>94.352173418685297</v>
      </c>
      <c r="AN253" s="99">
        <v>81.820732096407696</v>
      </c>
    </row>
    <row r="254" spans="1:40" s="30" customFormat="1" ht="15.6">
      <c r="A254"/>
      <c r="B254" s="29"/>
      <c r="C254" s="44" t="s">
        <v>876</v>
      </c>
      <c r="D254" s="39" t="s">
        <v>27</v>
      </c>
      <c r="E254" s="39" t="s">
        <v>517</v>
      </c>
      <c r="F254" t="s">
        <v>846</v>
      </c>
      <c r="G254" s="41">
        <f>VLOOKUP(F254,'(3) Demographie &amp; Departements'!$G$8:$J$526,4,0)</f>
        <v>13066.550178003945</v>
      </c>
      <c r="H254" s="96">
        <f t="shared" si="12"/>
        <v>6010.6130818818147</v>
      </c>
      <c r="I254" s="130">
        <f t="shared" si="13"/>
        <v>0.95</v>
      </c>
      <c r="J254" s="42">
        <f t="shared" si="14"/>
        <v>0.85</v>
      </c>
      <c r="K254" s="131">
        <f t="shared" si="15"/>
        <v>0.75</v>
      </c>
      <c r="L254" s="42"/>
      <c r="M254" s="42"/>
      <c r="N254" s="39" t="s">
        <v>27</v>
      </c>
      <c r="O254" s="39" t="s">
        <v>517</v>
      </c>
      <c r="P254" t="s">
        <v>846</v>
      </c>
      <c r="Q254" s="99">
        <v>75.382830553971004</v>
      </c>
      <c r="R254" s="99">
        <v>93.214100935017797</v>
      </c>
      <c r="S254" s="99">
        <v>81.118368951000704</v>
      </c>
      <c r="T254" s="99">
        <v>92.199860113941696</v>
      </c>
      <c r="U254" s="99">
        <v>70.230293055179303</v>
      </c>
      <c r="V254" s="99">
        <v>90.276192135784498</v>
      </c>
      <c r="W254" s="99">
        <v>88.948510801118104</v>
      </c>
      <c r="X254" s="99">
        <v>100</v>
      </c>
      <c r="Y254" s="99">
        <v>87.930619511942893</v>
      </c>
      <c r="Z254" s="99">
        <v>94.744695544600404</v>
      </c>
      <c r="AA254" s="99">
        <v>92.094551194237198</v>
      </c>
      <c r="AB254" s="99">
        <v>92.988773464876502</v>
      </c>
      <c r="AC254" s="99">
        <v>72.382869006761496</v>
      </c>
      <c r="AD254" s="99">
        <v>70.546689098287004</v>
      </c>
      <c r="AE254" s="99">
        <v>71.371881986056493</v>
      </c>
      <c r="AF254" s="99">
        <v>62.052120656137603</v>
      </c>
      <c r="AG254" s="99">
        <v>95.7267699286854</v>
      </c>
      <c r="AH254" s="99">
        <v>93.123288516021105</v>
      </c>
      <c r="AI254" s="99">
        <v>82.994977331702401</v>
      </c>
      <c r="AJ254" s="99">
        <v>69.927546742406093</v>
      </c>
      <c r="AK254" s="99">
        <v>100</v>
      </c>
      <c r="AL254" s="99">
        <v>95.587950876789904</v>
      </c>
      <c r="AM254" s="99">
        <v>92.239661188826105</v>
      </c>
      <c r="AN254" s="99">
        <v>81.909808688004006</v>
      </c>
    </row>
    <row r="255" spans="1:40" s="30" customFormat="1" ht="15.6">
      <c r="A255"/>
      <c r="B255" s="29"/>
      <c r="C255" s="44" t="s">
        <v>876</v>
      </c>
      <c r="D255" s="39" t="s">
        <v>27</v>
      </c>
      <c r="E255" s="39" t="s">
        <v>166</v>
      </c>
      <c r="F255" t="s">
        <v>847</v>
      </c>
      <c r="G255" s="41">
        <f>VLOOKUP(F255,'(3) Demographie &amp; Departements'!$G$8:$J$526,4,0)</f>
        <v>7806.2263624062753</v>
      </c>
      <c r="H255" s="96">
        <f t="shared" si="12"/>
        <v>3590.864126706887</v>
      </c>
      <c r="I255" s="130">
        <f t="shared" si="13"/>
        <v>0.95</v>
      </c>
      <c r="J255" s="42">
        <f t="shared" si="14"/>
        <v>0.85</v>
      </c>
      <c r="K255" s="131">
        <f t="shared" si="15"/>
        <v>0.75</v>
      </c>
      <c r="L255" s="42"/>
      <c r="M255" s="42"/>
      <c r="N255" s="39" t="s">
        <v>27</v>
      </c>
      <c r="O255" s="39" t="s">
        <v>166</v>
      </c>
      <c r="P255" t="s">
        <v>847</v>
      </c>
      <c r="Q255" s="99">
        <v>100</v>
      </c>
      <c r="R255" s="99">
        <v>100</v>
      </c>
      <c r="S255" s="99">
        <v>100</v>
      </c>
      <c r="T255" s="99">
        <v>100</v>
      </c>
      <c r="U255" s="99">
        <v>100</v>
      </c>
      <c r="V255" s="99">
        <v>100</v>
      </c>
      <c r="W255" s="99">
        <v>100</v>
      </c>
      <c r="X255" s="99">
        <v>100</v>
      </c>
      <c r="Y255" s="99">
        <v>100</v>
      </c>
      <c r="Z255" s="99">
        <v>100</v>
      </c>
      <c r="AA255" s="99">
        <v>100</v>
      </c>
      <c r="AB255" s="99">
        <v>100</v>
      </c>
      <c r="AC255" s="99">
        <v>100</v>
      </c>
      <c r="AD255" s="99">
        <v>100</v>
      </c>
      <c r="AE255" s="99">
        <v>100</v>
      </c>
      <c r="AF255" s="99">
        <v>100</v>
      </c>
      <c r="AG255" s="99">
        <v>100</v>
      </c>
      <c r="AH255" s="99">
        <v>100</v>
      </c>
      <c r="AI255" s="99">
        <v>100</v>
      </c>
      <c r="AJ255" s="99">
        <v>100</v>
      </c>
      <c r="AK255" s="99">
        <v>100</v>
      </c>
      <c r="AL255" s="99">
        <v>100</v>
      </c>
      <c r="AM255" s="99">
        <v>100</v>
      </c>
      <c r="AN255" s="99">
        <v>100</v>
      </c>
    </row>
    <row r="256" spans="1:40" s="30" customFormat="1" ht="15.6">
      <c r="A256"/>
      <c r="B256" s="29"/>
      <c r="C256" s="44" t="s">
        <v>876</v>
      </c>
      <c r="D256" s="39" t="s">
        <v>27</v>
      </c>
      <c r="E256" s="39" t="s">
        <v>489</v>
      </c>
      <c r="F256" t="s">
        <v>848</v>
      </c>
      <c r="G256" s="41">
        <f>VLOOKUP(F256,'(3) Demographie &amp; Departements'!$G$8:$J$526,4,0)</f>
        <v>34047.918700228547</v>
      </c>
      <c r="H256" s="96">
        <f t="shared" si="12"/>
        <v>15662.042602105132</v>
      </c>
      <c r="I256" s="130">
        <f t="shared" si="13"/>
        <v>0.95</v>
      </c>
      <c r="J256" s="42">
        <f t="shared" si="14"/>
        <v>0.85</v>
      </c>
      <c r="K256" s="131">
        <f t="shared" si="15"/>
        <v>0.75</v>
      </c>
      <c r="L256" s="42"/>
      <c r="M256" s="42"/>
      <c r="N256" s="39" t="s">
        <v>27</v>
      </c>
      <c r="O256" s="39" t="s">
        <v>489</v>
      </c>
      <c r="P256" t="s">
        <v>848</v>
      </c>
      <c r="Q256" s="99">
        <v>100</v>
      </c>
      <c r="R256" s="99">
        <v>100</v>
      </c>
      <c r="S256" s="99">
        <v>100</v>
      </c>
      <c r="T256" s="99">
        <v>100</v>
      </c>
      <c r="U256" s="99">
        <v>100</v>
      </c>
      <c r="V256" s="99">
        <v>100</v>
      </c>
      <c r="W256" s="99">
        <v>100</v>
      </c>
      <c r="X256" s="99">
        <v>100</v>
      </c>
      <c r="Y256" s="99">
        <v>100</v>
      </c>
      <c r="Z256" s="99">
        <v>100</v>
      </c>
      <c r="AA256" s="99">
        <v>100</v>
      </c>
      <c r="AB256" s="99">
        <v>100</v>
      </c>
      <c r="AC256" s="99">
        <v>100</v>
      </c>
      <c r="AD256" s="99">
        <v>100</v>
      </c>
      <c r="AE256" s="99">
        <v>100</v>
      </c>
      <c r="AF256" s="99">
        <v>100</v>
      </c>
      <c r="AG256" s="99">
        <v>100</v>
      </c>
      <c r="AH256" s="99">
        <v>100</v>
      </c>
      <c r="AI256" s="99">
        <v>100</v>
      </c>
      <c r="AJ256" s="99">
        <v>100</v>
      </c>
      <c r="AK256" s="99">
        <v>100</v>
      </c>
      <c r="AL256" s="99">
        <v>100</v>
      </c>
      <c r="AM256" s="99">
        <v>100</v>
      </c>
      <c r="AN256" s="99">
        <v>100</v>
      </c>
    </row>
    <row r="257" spans="1:40" s="30" customFormat="1" ht="15.6">
      <c r="A257"/>
      <c r="B257" s="29"/>
      <c r="C257" s="44" t="s">
        <v>876</v>
      </c>
      <c r="D257" s="39" t="s">
        <v>27</v>
      </c>
      <c r="E257" s="39" t="s">
        <v>484</v>
      </c>
      <c r="F257" t="s">
        <v>849</v>
      </c>
      <c r="G257" s="41">
        <f>VLOOKUP(F257,'(3) Demographie &amp; Departements'!$G$8:$J$526,4,0)</f>
        <v>24712.81668754527</v>
      </c>
      <c r="H257" s="96">
        <f t="shared" si="12"/>
        <v>11367.895676270824</v>
      </c>
      <c r="I257" s="130">
        <f t="shared" si="13"/>
        <v>0.95</v>
      </c>
      <c r="J257" s="42">
        <f t="shared" si="14"/>
        <v>0.85</v>
      </c>
      <c r="K257" s="131">
        <f t="shared" si="15"/>
        <v>0.75</v>
      </c>
      <c r="L257" s="42"/>
      <c r="M257" s="42"/>
      <c r="N257" s="39" t="s">
        <v>27</v>
      </c>
      <c r="O257" s="39" t="s">
        <v>484</v>
      </c>
      <c r="P257" t="s">
        <v>849</v>
      </c>
      <c r="Q257" s="99">
        <v>100</v>
      </c>
      <c r="R257" s="99">
        <v>100</v>
      </c>
      <c r="S257" s="99">
        <v>100</v>
      </c>
      <c r="T257" s="99">
        <v>100</v>
      </c>
      <c r="U257" s="99">
        <v>100</v>
      </c>
      <c r="V257" s="99">
        <v>100</v>
      </c>
      <c r="W257" s="99">
        <v>100</v>
      </c>
      <c r="X257" s="99">
        <v>100</v>
      </c>
      <c r="Y257" s="99">
        <v>100</v>
      </c>
      <c r="Z257" s="99">
        <v>100</v>
      </c>
      <c r="AA257" s="99">
        <v>100</v>
      </c>
      <c r="AB257" s="99">
        <v>100</v>
      </c>
      <c r="AC257" s="99">
        <v>100</v>
      </c>
      <c r="AD257" s="99">
        <v>95.4344400252631</v>
      </c>
      <c r="AE257" s="99">
        <v>98.336050201109799</v>
      </c>
      <c r="AF257" s="99">
        <v>100</v>
      </c>
      <c r="AG257" s="99">
        <v>100</v>
      </c>
      <c r="AH257" s="99">
        <v>100</v>
      </c>
      <c r="AI257" s="99">
        <v>99.968517765119202</v>
      </c>
      <c r="AJ257" s="99">
        <v>99.624611859712104</v>
      </c>
      <c r="AK257" s="99">
        <v>100</v>
      </c>
      <c r="AL257" s="99">
        <v>100</v>
      </c>
      <c r="AM257" s="99">
        <v>100</v>
      </c>
      <c r="AN257" s="99">
        <v>100</v>
      </c>
    </row>
    <row r="258" spans="1:40" s="30" customFormat="1" ht="15.6">
      <c r="A258"/>
      <c r="B258" s="29"/>
      <c r="C258" s="44" t="s">
        <v>876</v>
      </c>
      <c r="D258" s="39" t="s">
        <v>27</v>
      </c>
      <c r="E258" s="39" t="s">
        <v>542</v>
      </c>
      <c r="F258" t="s">
        <v>850</v>
      </c>
      <c r="G258" s="41">
        <f>VLOOKUP(F258,'(3) Demographie &amp; Departements'!$G$8:$J$526,4,0)</f>
        <v>31263.547712602227</v>
      </c>
      <c r="H258" s="96">
        <f t="shared" si="12"/>
        <v>14381.231947797025</v>
      </c>
      <c r="I258" s="130">
        <f t="shared" si="13"/>
        <v>0.95</v>
      </c>
      <c r="J258" s="42">
        <f t="shared" si="14"/>
        <v>0.85</v>
      </c>
      <c r="K258" s="131">
        <f t="shared" si="15"/>
        <v>0.75</v>
      </c>
      <c r="L258" s="42"/>
      <c r="M258" s="42"/>
      <c r="N258" s="39" t="s">
        <v>27</v>
      </c>
      <c r="O258" s="39" t="s">
        <v>542</v>
      </c>
      <c r="P258" t="s">
        <v>850</v>
      </c>
      <c r="Q258" s="99">
        <v>99.599904435013002</v>
      </c>
      <c r="R258" s="99">
        <v>100</v>
      </c>
      <c r="S258" s="99">
        <v>100</v>
      </c>
      <c r="T258" s="99">
        <v>97.355253019538907</v>
      </c>
      <c r="U258" s="99">
        <v>100</v>
      </c>
      <c r="V258" s="99">
        <v>100</v>
      </c>
      <c r="W258" s="99">
        <v>91.506068406989002</v>
      </c>
      <c r="X258" s="99">
        <v>100</v>
      </c>
      <c r="Y258" s="99">
        <v>100</v>
      </c>
      <c r="Z258" s="99">
        <v>100</v>
      </c>
      <c r="AA258" s="99">
        <v>92.139082394806593</v>
      </c>
      <c r="AB258" s="99">
        <v>100</v>
      </c>
      <c r="AC258" s="99">
        <v>100</v>
      </c>
      <c r="AD258" s="99">
        <v>94.602554249259597</v>
      </c>
      <c r="AE258" s="99">
        <v>98.294140282274498</v>
      </c>
      <c r="AF258" s="99">
        <v>92.550244663719099</v>
      </c>
      <c r="AG258" s="99">
        <v>98.3989873159301</v>
      </c>
      <c r="AH258" s="99">
        <v>100</v>
      </c>
      <c r="AI258" s="99">
        <v>100</v>
      </c>
      <c r="AJ258" s="99">
        <v>98.8606422217822</v>
      </c>
      <c r="AK258" s="99">
        <v>100</v>
      </c>
      <c r="AL258" s="99">
        <v>100</v>
      </c>
      <c r="AM258" s="99">
        <v>100</v>
      </c>
      <c r="AN258" s="99">
        <v>99.512449817988696</v>
      </c>
    </row>
    <row r="259" spans="1:40" s="30" customFormat="1" ht="15.6">
      <c r="A259"/>
      <c r="B259" s="29"/>
      <c r="C259" s="44" t="s">
        <v>876</v>
      </c>
      <c r="D259" s="39" t="s">
        <v>27</v>
      </c>
      <c r="E259" s="39" t="s">
        <v>475</v>
      </c>
      <c r="F259" t="s">
        <v>851</v>
      </c>
      <c r="G259" s="41">
        <f>VLOOKUP(F259,'(3) Demographie &amp; Departements'!$G$8:$J$526,4,0)</f>
        <v>27732.92544813226</v>
      </c>
      <c r="H259" s="96">
        <f t="shared" si="12"/>
        <v>12757.14570614084</v>
      </c>
      <c r="I259" s="130">
        <f t="shared" si="13"/>
        <v>0.95</v>
      </c>
      <c r="J259" s="42">
        <f t="shared" si="14"/>
        <v>0.85</v>
      </c>
      <c r="K259" s="131">
        <f t="shared" si="15"/>
        <v>0.75</v>
      </c>
      <c r="L259" s="42"/>
      <c r="M259" s="42"/>
      <c r="N259" s="39" t="s">
        <v>27</v>
      </c>
      <c r="O259" s="39" t="s">
        <v>475</v>
      </c>
      <c r="P259" t="s">
        <v>851</v>
      </c>
      <c r="Q259" s="99">
        <v>99.093584597978904</v>
      </c>
      <c r="R259" s="99">
        <v>100</v>
      </c>
      <c r="S259" s="99">
        <v>99.9204782725309</v>
      </c>
      <c r="T259" s="99">
        <v>99.168247199638799</v>
      </c>
      <c r="U259" s="99">
        <v>99.524649162992603</v>
      </c>
      <c r="V259" s="99">
        <v>99.330119429016193</v>
      </c>
      <c r="W259" s="99">
        <v>98.597914787051593</v>
      </c>
      <c r="X259" s="99">
        <v>100</v>
      </c>
      <c r="Y259" s="99">
        <v>99.226357888747899</v>
      </c>
      <c r="Z259" s="99">
        <v>99.353564326193705</v>
      </c>
      <c r="AA259" s="99">
        <v>100</v>
      </c>
      <c r="AB259" s="99">
        <v>99.816224969742706</v>
      </c>
      <c r="AC259" s="99">
        <v>99.904189809786899</v>
      </c>
      <c r="AD259" s="99">
        <v>94.280795512069005</v>
      </c>
      <c r="AE259" s="99">
        <v>99.668002088491804</v>
      </c>
      <c r="AF259" s="99">
        <v>98.1661106870759</v>
      </c>
      <c r="AG259" s="99">
        <v>97.907623579947398</v>
      </c>
      <c r="AH259" s="99">
        <v>100</v>
      </c>
      <c r="AI259" s="99">
        <v>99.494661339861096</v>
      </c>
      <c r="AJ259" s="99">
        <v>94.138511451713299</v>
      </c>
      <c r="AK259" s="99">
        <v>100</v>
      </c>
      <c r="AL259" s="99">
        <v>100</v>
      </c>
      <c r="AM259" s="99">
        <v>100</v>
      </c>
      <c r="AN259" s="99">
        <v>99.727783401880103</v>
      </c>
    </row>
    <row r="260" spans="1:40" s="30" customFormat="1" ht="15.6">
      <c r="A260"/>
      <c r="B260" s="29"/>
      <c r="C260" s="44" t="s">
        <v>876</v>
      </c>
      <c r="D260" s="39" t="s">
        <v>27</v>
      </c>
      <c r="E260" s="39" t="s">
        <v>468</v>
      </c>
      <c r="F260" t="s">
        <v>852</v>
      </c>
      <c r="G260" s="41">
        <f>VLOOKUP(F260,'(3) Demographie &amp; Departements'!$G$8:$J$526,4,0)</f>
        <v>51928.672838455132</v>
      </c>
      <c r="H260" s="96">
        <f t="shared" si="12"/>
        <v>23887.189505689363</v>
      </c>
      <c r="I260" s="130">
        <f t="shared" si="13"/>
        <v>0.95</v>
      </c>
      <c r="J260" s="42">
        <f t="shared" si="14"/>
        <v>0.85</v>
      </c>
      <c r="K260" s="131">
        <f t="shared" si="15"/>
        <v>0.75</v>
      </c>
      <c r="L260" s="42"/>
      <c r="M260" s="42"/>
      <c r="N260" s="39" t="s">
        <v>27</v>
      </c>
      <c r="O260" s="39" t="s">
        <v>468</v>
      </c>
      <c r="P260" t="s">
        <v>852</v>
      </c>
      <c r="Q260" s="99">
        <v>100</v>
      </c>
      <c r="R260" s="99">
        <v>100</v>
      </c>
      <c r="S260" s="99">
        <v>100</v>
      </c>
      <c r="T260" s="99">
        <v>99.085728462777396</v>
      </c>
      <c r="U260" s="99">
        <v>100</v>
      </c>
      <c r="V260" s="99">
        <v>100</v>
      </c>
      <c r="W260" s="99">
        <v>100</v>
      </c>
      <c r="X260" s="99">
        <v>100</v>
      </c>
      <c r="Y260" s="99">
        <v>100</v>
      </c>
      <c r="Z260" s="99">
        <v>100</v>
      </c>
      <c r="AA260" s="99">
        <v>100</v>
      </c>
      <c r="AB260" s="99">
        <v>100</v>
      </c>
      <c r="AC260" s="99">
        <v>100</v>
      </c>
      <c r="AD260" s="99">
        <v>89.061627226934903</v>
      </c>
      <c r="AE260" s="99">
        <v>100</v>
      </c>
      <c r="AF260" s="99">
        <v>99.549834959522499</v>
      </c>
      <c r="AG260" s="99">
        <v>99.571233233066494</v>
      </c>
      <c r="AH260" s="99">
        <v>100</v>
      </c>
      <c r="AI260" s="99">
        <v>98.372610532621096</v>
      </c>
      <c r="AJ260" s="99">
        <v>91.9081474507352</v>
      </c>
      <c r="AK260" s="99">
        <v>100</v>
      </c>
      <c r="AL260" s="99">
        <v>100</v>
      </c>
      <c r="AM260" s="99">
        <v>100</v>
      </c>
      <c r="AN260" s="99">
        <v>100</v>
      </c>
    </row>
    <row r="261" spans="1:40" s="30" customFormat="1" ht="15.6">
      <c r="A261"/>
      <c r="B261" s="29"/>
      <c r="C261" s="44" t="s">
        <v>876</v>
      </c>
      <c r="D261" s="39" t="s">
        <v>27</v>
      </c>
      <c r="E261" s="39" t="s">
        <v>448</v>
      </c>
      <c r="F261" t="s">
        <v>853</v>
      </c>
      <c r="G261" s="41">
        <f>VLOOKUP(F261,'(3) Demographie &amp; Departements'!$G$8:$J$526,4,0)</f>
        <v>29633.435678197271</v>
      </c>
      <c r="H261" s="96">
        <f t="shared" si="12"/>
        <v>13631.380411970746</v>
      </c>
      <c r="I261" s="130">
        <f t="shared" si="13"/>
        <v>0.95</v>
      </c>
      <c r="J261" s="42">
        <f t="shared" si="14"/>
        <v>0.85</v>
      </c>
      <c r="K261" s="131">
        <f t="shared" si="15"/>
        <v>0.75</v>
      </c>
      <c r="L261" s="42"/>
      <c r="M261" s="42"/>
      <c r="N261" s="39" t="s">
        <v>27</v>
      </c>
      <c r="O261" s="39" t="s">
        <v>448</v>
      </c>
      <c r="P261" t="s">
        <v>853</v>
      </c>
      <c r="Q261" s="99">
        <v>100</v>
      </c>
      <c r="R261" s="99">
        <v>100</v>
      </c>
      <c r="S261" s="99">
        <v>100</v>
      </c>
      <c r="T261" s="99">
        <v>100</v>
      </c>
      <c r="U261" s="99">
        <v>100</v>
      </c>
      <c r="V261" s="99">
        <v>100</v>
      </c>
      <c r="W261" s="99">
        <v>100</v>
      </c>
      <c r="X261" s="99">
        <v>100</v>
      </c>
      <c r="Y261" s="99">
        <v>100</v>
      </c>
      <c r="Z261" s="99">
        <v>100</v>
      </c>
      <c r="AA261" s="99">
        <v>100</v>
      </c>
      <c r="AB261" s="99">
        <v>100</v>
      </c>
      <c r="AC261" s="99">
        <v>100</v>
      </c>
      <c r="AD261" s="99">
        <v>98.590004948738795</v>
      </c>
      <c r="AE261" s="99">
        <v>100</v>
      </c>
      <c r="AF261" s="99">
        <v>100</v>
      </c>
      <c r="AG261" s="99">
        <v>100</v>
      </c>
      <c r="AH261" s="99">
        <v>100</v>
      </c>
      <c r="AI261" s="99">
        <v>100</v>
      </c>
      <c r="AJ261" s="99">
        <v>100</v>
      </c>
      <c r="AK261" s="99">
        <v>100</v>
      </c>
      <c r="AL261" s="99">
        <v>100</v>
      </c>
      <c r="AM261" s="99">
        <v>100</v>
      </c>
      <c r="AN261" s="99">
        <v>100</v>
      </c>
    </row>
    <row r="262" spans="1:40" s="30" customFormat="1" ht="15.6">
      <c r="A262"/>
      <c r="B262" s="29"/>
      <c r="C262" s="44" t="s">
        <v>876</v>
      </c>
      <c r="D262" s="39" t="s">
        <v>27</v>
      </c>
      <c r="E262" s="39" t="s">
        <v>448</v>
      </c>
      <c r="F262" t="s">
        <v>854</v>
      </c>
      <c r="G262" s="41">
        <f>VLOOKUP(F262,'(3) Demographie &amp; Departements'!$G$8:$J$526,4,0)</f>
        <v>11433.933356177844</v>
      </c>
      <c r="H262" s="96">
        <f t="shared" si="12"/>
        <v>5259.6093438418084</v>
      </c>
      <c r="I262" s="130">
        <f t="shared" si="13"/>
        <v>0.95</v>
      </c>
      <c r="J262" s="42">
        <f t="shared" si="14"/>
        <v>0.85</v>
      </c>
      <c r="K262" s="131">
        <f t="shared" si="15"/>
        <v>0.75</v>
      </c>
      <c r="L262" s="42"/>
      <c r="M262" s="42"/>
      <c r="N262" s="39" t="s">
        <v>27</v>
      </c>
      <c r="O262" s="39" t="s">
        <v>448</v>
      </c>
      <c r="P262" t="s">
        <v>854</v>
      </c>
      <c r="Q262" s="99">
        <v>100</v>
      </c>
      <c r="R262" s="99">
        <v>100</v>
      </c>
      <c r="S262" s="99">
        <v>100</v>
      </c>
      <c r="T262" s="99">
        <v>98.367890110601707</v>
      </c>
      <c r="U262" s="99">
        <v>100</v>
      </c>
      <c r="V262" s="99">
        <v>100</v>
      </c>
      <c r="W262" s="99">
        <v>100</v>
      </c>
      <c r="X262" s="99">
        <v>100</v>
      </c>
      <c r="Y262" s="99">
        <v>100</v>
      </c>
      <c r="Z262" s="99">
        <v>100</v>
      </c>
      <c r="AA262" s="99">
        <v>100</v>
      </c>
      <c r="AB262" s="99">
        <v>100</v>
      </c>
      <c r="AC262" s="99">
        <v>100</v>
      </c>
      <c r="AD262" s="99">
        <v>90.320959171667795</v>
      </c>
      <c r="AE262" s="99">
        <v>100</v>
      </c>
      <c r="AF262" s="99">
        <v>99.987094467974202</v>
      </c>
      <c r="AG262" s="99">
        <v>100</v>
      </c>
      <c r="AH262" s="99">
        <v>100</v>
      </c>
      <c r="AI262" s="99">
        <v>99.776344490869107</v>
      </c>
      <c r="AJ262" s="99">
        <v>92.487023683001794</v>
      </c>
      <c r="AK262" s="99">
        <v>100</v>
      </c>
      <c r="AL262" s="99">
        <v>100</v>
      </c>
      <c r="AM262" s="99">
        <v>100</v>
      </c>
      <c r="AN262" s="99">
        <v>100</v>
      </c>
    </row>
    <row r="263" spans="1:40" s="30" customFormat="1" ht="15.6">
      <c r="A263"/>
      <c r="B263" s="29"/>
      <c r="C263" s="44" t="s">
        <v>876</v>
      </c>
      <c r="D263" s="39" t="s">
        <v>27</v>
      </c>
      <c r="E263" s="39" t="s">
        <v>517</v>
      </c>
      <c r="F263" t="s">
        <v>855</v>
      </c>
      <c r="G263" s="41">
        <f>VLOOKUP(F263,'(3) Demographie &amp; Departements'!$G$8:$J$526,4,0)</f>
        <v>17823.828944811012</v>
      </c>
      <c r="H263" s="96">
        <f t="shared" si="12"/>
        <v>8198.961314613065</v>
      </c>
      <c r="I263" s="130">
        <f t="shared" si="13"/>
        <v>0.95</v>
      </c>
      <c r="J263" s="42">
        <f t="shared" si="14"/>
        <v>0.85</v>
      </c>
      <c r="K263" s="131">
        <f t="shared" si="15"/>
        <v>0.75</v>
      </c>
      <c r="L263" s="42"/>
      <c r="M263" s="42"/>
      <c r="N263" s="39" t="s">
        <v>27</v>
      </c>
      <c r="O263" s="39" t="s">
        <v>517</v>
      </c>
      <c r="P263" t="s">
        <v>855</v>
      </c>
      <c r="Q263" s="99">
        <v>89.962799841697503</v>
      </c>
      <c r="R263" s="99">
        <v>99.880471027843896</v>
      </c>
      <c r="S263" s="99">
        <v>95.775585977168205</v>
      </c>
      <c r="T263" s="99">
        <v>36.229614105949601</v>
      </c>
      <c r="U263" s="99">
        <v>86.972977854924594</v>
      </c>
      <c r="V263" s="99">
        <v>91.598013010172906</v>
      </c>
      <c r="W263" s="99">
        <v>91.122725600306893</v>
      </c>
      <c r="X263" s="99">
        <v>100</v>
      </c>
      <c r="Y263" s="99">
        <v>100</v>
      </c>
      <c r="Z263" s="99">
        <v>94.466184169257701</v>
      </c>
      <c r="AA263" s="99">
        <v>100</v>
      </c>
      <c r="AB263" s="99">
        <v>98.122825157667904</v>
      </c>
      <c r="AC263" s="99">
        <v>84.381272180018598</v>
      </c>
      <c r="AD263" s="99">
        <v>82.986439526051399</v>
      </c>
      <c r="AE263" s="99">
        <v>88.127770065188002</v>
      </c>
      <c r="AF263" s="99">
        <v>71.142921406418907</v>
      </c>
      <c r="AG263" s="99">
        <v>96.518357276820495</v>
      </c>
      <c r="AH263" s="99">
        <v>95.973872989499696</v>
      </c>
      <c r="AI263" s="99">
        <v>98.709234392538605</v>
      </c>
      <c r="AJ263" s="99">
        <v>83.740697361274599</v>
      </c>
      <c r="AK263" s="99">
        <v>100</v>
      </c>
      <c r="AL263" s="99">
        <v>100</v>
      </c>
      <c r="AM263" s="99">
        <v>100</v>
      </c>
      <c r="AN263" s="99">
        <v>79.146881830696699</v>
      </c>
    </row>
    <row r="264" spans="1:40" s="30" customFormat="1" ht="15.6">
      <c r="A264"/>
      <c r="B264" s="29"/>
      <c r="C264" s="44" t="s">
        <v>876</v>
      </c>
      <c r="D264" s="39" t="s">
        <v>27</v>
      </c>
      <c r="E264" s="39" t="s">
        <v>184</v>
      </c>
      <c r="F264" t="s">
        <v>856</v>
      </c>
      <c r="G264" s="41">
        <f>VLOOKUP(F264,'(3) Demographie &amp; Departements'!$G$8:$J$526,4,0)</f>
        <v>8109.3580022059468</v>
      </c>
      <c r="H264" s="96">
        <f t="shared" ref="H264:H284" si="16">$H$3*G264</f>
        <v>3730.3046810147357</v>
      </c>
      <c r="I264" s="130">
        <f t="shared" si="13"/>
        <v>0.95</v>
      </c>
      <c r="J264" s="42">
        <f t="shared" si="14"/>
        <v>0.85</v>
      </c>
      <c r="K264" s="131">
        <f t="shared" si="15"/>
        <v>0.75</v>
      </c>
      <c r="L264" s="42"/>
      <c r="M264" s="42"/>
      <c r="N264" s="39" t="s">
        <v>27</v>
      </c>
      <c r="O264" s="39" t="s">
        <v>184</v>
      </c>
      <c r="P264" t="s">
        <v>856</v>
      </c>
      <c r="Q264" s="99">
        <v>100</v>
      </c>
      <c r="R264" s="99">
        <v>100</v>
      </c>
      <c r="S264" s="99">
        <v>100</v>
      </c>
      <c r="T264" s="99">
        <v>100</v>
      </c>
      <c r="U264" s="99">
        <v>100</v>
      </c>
      <c r="V264" s="99">
        <v>100</v>
      </c>
      <c r="W264" s="99">
        <v>100</v>
      </c>
      <c r="X264" s="99">
        <v>100</v>
      </c>
      <c r="Y264" s="99">
        <v>100</v>
      </c>
      <c r="Z264" s="99">
        <v>100</v>
      </c>
      <c r="AA264" s="99">
        <v>100</v>
      </c>
      <c r="AB264" s="99">
        <v>100</v>
      </c>
      <c r="AC264" s="99">
        <v>100</v>
      </c>
      <c r="AD264" s="99">
        <v>100</v>
      </c>
      <c r="AE264" s="99">
        <v>100</v>
      </c>
      <c r="AF264" s="99">
        <v>100</v>
      </c>
      <c r="AG264" s="99">
        <v>100</v>
      </c>
      <c r="AH264" s="99">
        <v>100</v>
      </c>
      <c r="AI264" s="99">
        <v>100</v>
      </c>
      <c r="AJ264" s="99">
        <v>100</v>
      </c>
      <c r="AK264" s="99">
        <v>100</v>
      </c>
      <c r="AL264" s="99">
        <v>100</v>
      </c>
      <c r="AM264" s="99">
        <v>100</v>
      </c>
      <c r="AN264" s="99">
        <v>100</v>
      </c>
    </row>
    <row r="265" spans="1:40" s="30" customFormat="1" ht="15.6">
      <c r="A265"/>
      <c r="B265" s="29"/>
      <c r="C265" s="44" t="s">
        <v>876</v>
      </c>
      <c r="D265" s="39" t="s">
        <v>27</v>
      </c>
      <c r="E265" s="39" t="s">
        <v>613</v>
      </c>
      <c r="F265" t="s">
        <v>857</v>
      </c>
      <c r="G265" s="41">
        <f>VLOOKUP(F265,'(3) Demographie &amp; Departements'!$G$8:$J$526,4,0)</f>
        <v>11371.11746687636</v>
      </c>
      <c r="H265" s="96">
        <f t="shared" si="16"/>
        <v>5230.7140347631257</v>
      </c>
      <c r="I265" s="130">
        <f t="shared" si="13"/>
        <v>0.95</v>
      </c>
      <c r="J265" s="42">
        <f t="shared" si="14"/>
        <v>0.85</v>
      </c>
      <c r="K265" s="131">
        <f t="shared" si="15"/>
        <v>0.75</v>
      </c>
      <c r="L265" s="42"/>
      <c r="M265" s="42"/>
      <c r="N265" s="39" t="s">
        <v>27</v>
      </c>
      <c r="O265" s="39" t="s">
        <v>613</v>
      </c>
      <c r="P265" t="s">
        <v>857</v>
      </c>
      <c r="Q265" s="99">
        <v>78.650402837920296</v>
      </c>
      <c r="R265" s="99">
        <v>98.9275359649873</v>
      </c>
      <c r="S265" s="99">
        <v>84.100393640066997</v>
      </c>
      <c r="T265" s="99">
        <v>69.428954099921299</v>
      </c>
      <c r="U265" s="99">
        <v>73.357724793547007</v>
      </c>
      <c r="V265" s="99">
        <v>89.682014292535996</v>
      </c>
      <c r="W265" s="99">
        <v>79.733269260979796</v>
      </c>
      <c r="X265" s="99">
        <v>99.993452704974899</v>
      </c>
      <c r="Y265" s="99">
        <v>84.600639758390699</v>
      </c>
      <c r="Z265" s="99">
        <v>97.733392266341994</v>
      </c>
      <c r="AA265" s="99">
        <v>100</v>
      </c>
      <c r="AB265" s="99">
        <v>99.047358481937493</v>
      </c>
      <c r="AC265" s="99">
        <v>75.314173369107607</v>
      </c>
      <c r="AD265" s="99">
        <v>74.730584091524804</v>
      </c>
      <c r="AE265" s="99">
        <v>70.757132227046398</v>
      </c>
      <c r="AF265" s="99">
        <v>70.185428157832604</v>
      </c>
      <c r="AG265" s="99">
        <v>88.501808546119605</v>
      </c>
      <c r="AH265" s="99">
        <v>76.090522871923596</v>
      </c>
      <c r="AI265" s="99">
        <v>97.751515972450505</v>
      </c>
      <c r="AJ265" s="99">
        <v>80.949353968592106</v>
      </c>
      <c r="AK265" s="99">
        <v>99.984310098154594</v>
      </c>
      <c r="AL265" s="99">
        <v>90.497438605106694</v>
      </c>
      <c r="AM265" s="99">
        <v>97.660802282981606</v>
      </c>
      <c r="AN265" s="99">
        <v>72.704007297933899</v>
      </c>
    </row>
    <row r="266" spans="1:40" s="30" customFormat="1" ht="15.6">
      <c r="A266"/>
      <c r="B266" s="29"/>
      <c r="C266" s="44" t="s">
        <v>876</v>
      </c>
      <c r="D266" s="39" t="s">
        <v>27</v>
      </c>
      <c r="E266" s="39" t="s">
        <v>618</v>
      </c>
      <c r="F266" t="s">
        <v>858</v>
      </c>
      <c r="G266" s="41">
        <f>VLOOKUP(F266,'(3) Demographie &amp; Departements'!$G$8:$J$526,4,0)</f>
        <v>29754.825905726681</v>
      </c>
      <c r="H266" s="96">
        <f t="shared" si="16"/>
        <v>13687.219916634274</v>
      </c>
      <c r="I266" s="130">
        <f t="shared" ref="I266:I284" si="17">I265</f>
        <v>0.95</v>
      </c>
      <c r="J266" s="42">
        <f t="shared" ref="J266:J284" si="18">J265</f>
        <v>0.85</v>
      </c>
      <c r="K266" s="131">
        <f t="shared" ref="K266:K284" si="19">K265</f>
        <v>0.75</v>
      </c>
      <c r="L266" s="42"/>
      <c r="M266" s="42"/>
      <c r="N266" s="39" t="s">
        <v>27</v>
      </c>
      <c r="O266" s="39" t="s">
        <v>618</v>
      </c>
      <c r="P266" t="s">
        <v>858</v>
      </c>
      <c r="Q266" s="99">
        <v>90.776317684227806</v>
      </c>
      <c r="R266" s="99">
        <v>99.965177377888807</v>
      </c>
      <c r="S266" s="99">
        <v>99.525947470399402</v>
      </c>
      <c r="T266" s="99">
        <v>89.532882864967405</v>
      </c>
      <c r="U266" s="99">
        <v>88.313921886079797</v>
      </c>
      <c r="V266" s="99">
        <v>99.962123874843897</v>
      </c>
      <c r="W266" s="99">
        <v>88.783109366629901</v>
      </c>
      <c r="X266" s="99">
        <v>100</v>
      </c>
      <c r="Y266" s="99">
        <v>99.118298613307502</v>
      </c>
      <c r="Z266" s="99">
        <v>92.6764095608833</v>
      </c>
      <c r="AA266" s="99">
        <v>99.946908229555106</v>
      </c>
      <c r="AB266" s="99">
        <v>99.950743011112607</v>
      </c>
      <c r="AC266" s="99">
        <v>95.217899465198897</v>
      </c>
      <c r="AD266" s="99">
        <v>83.164016417258296</v>
      </c>
      <c r="AE266" s="99">
        <v>95.402011885591506</v>
      </c>
      <c r="AF266" s="99">
        <v>91.7996370579841</v>
      </c>
      <c r="AG266" s="99">
        <v>88.377146905756902</v>
      </c>
      <c r="AH266" s="99">
        <v>99.962892509445197</v>
      </c>
      <c r="AI266" s="99">
        <v>92.077419882600793</v>
      </c>
      <c r="AJ266" s="99">
        <v>91.431567252465697</v>
      </c>
      <c r="AK266" s="99">
        <v>100</v>
      </c>
      <c r="AL266" s="99">
        <v>98.714314221457897</v>
      </c>
      <c r="AM266" s="99">
        <v>98.922128027075601</v>
      </c>
      <c r="AN266" s="99">
        <v>86.717707078295803</v>
      </c>
    </row>
    <row r="267" spans="1:40" s="30" customFormat="1" ht="15.6">
      <c r="A267"/>
      <c r="B267" s="29"/>
      <c r="C267" s="44" t="s">
        <v>876</v>
      </c>
      <c r="D267" s="39" t="s">
        <v>27</v>
      </c>
      <c r="E267" s="39" t="s">
        <v>530</v>
      </c>
      <c r="F267" t="s">
        <v>859</v>
      </c>
      <c r="G267" s="41">
        <f>VLOOKUP(F267,'(3) Demographie &amp; Departements'!$G$8:$J$526,4,0)</f>
        <v>32239.796053551629</v>
      </c>
      <c r="H267" s="96">
        <f t="shared" si="16"/>
        <v>14830.30618463375</v>
      </c>
      <c r="I267" s="130">
        <f t="shared" si="17"/>
        <v>0.95</v>
      </c>
      <c r="J267" s="42">
        <f t="shared" si="18"/>
        <v>0.85</v>
      </c>
      <c r="K267" s="131">
        <f t="shared" si="19"/>
        <v>0.75</v>
      </c>
      <c r="L267" s="42"/>
      <c r="M267" s="42"/>
      <c r="N267" s="39" t="s">
        <v>27</v>
      </c>
      <c r="O267" s="39" t="s">
        <v>530</v>
      </c>
      <c r="P267" t="s">
        <v>859</v>
      </c>
      <c r="Q267" s="99">
        <v>98.390816173309105</v>
      </c>
      <c r="R267" s="99">
        <v>100</v>
      </c>
      <c r="S267" s="99">
        <v>97.137484213493394</v>
      </c>
      <c r="T267" s="99">
        <v>86.319429631820199</v>
      </c>
      <c r="U267" s="99">
        <v>91.750895020610201</v>
      </c>
      <c r="V267" s="99">
        <v>99.967716415543094</v>
      </c>
      <c r="W267" s="99">
        <v>89.940432662535798</v>
      </c>
      <c r="X267" s="99">
        <v>100</v>
      </c>
      <c r="Y267" s="99">
        <v>100</v>
      </c>
      <c r="Z267" s="99">
        <v>88.100235678825499</v>
      </c>
      <c r="AA267" s="99">
        <v>99.894426736733294</v>
      </c>
      <c r="AB267" s="99">
        <v>100</v>
      </c>
      <c r="AC267" s="99">
        <v>99.843987888114896</v>
      </c>
      <c r="AD267" s="99">
        <v>83.547117853707704</v>
      </c>
      <c r="AE267" s="99">
        <v>86.682697255506099</v>
      </c>
      <c r="AF267" s="99">
        <v>91.571430391359996</v>
      </c>
      <c r="AG267" s="99">
        <v>87.250267755866801</v>
      </c>
      <c r="AH267" s="99">
        <v>92.9001405219921</v>
      </c>
      <c r="AI267" s="99">
        <v>88.392104909106394</v>
      </c>
      <c r="AJ267" s="99">
        <v>86.433139155440699</v>
      </c>
      <c r="AK267" s="99">
        <v>98.244675999094596</v>
      </c>
      <c r="AL267" s="99">
        <v>98.236704073163295</v>
      </c>
      <c r="AM267" s="99">
        <v>99.987407586777493</v>
      </c>
      <c r="AN267" s="99">
        <v>97.440490527627901</v>
      </c>
    </row>
    <row r="268" spans="1:40" s="30" customFormat="1" ht="15.6">
      <c r="A268"/>
      <c r="B268" s="29"/>
      <c r="C268" s="44" t="s">
        <v>876</v>
      </c>
      <c r="D268" s="39" t="s">
        <v>26</v>
      </c>
      <c r="E268" s="39" t="s">
        <v>576</v>
      </c>
      <c r="F268" t="s">
        <v>712</v>
      </c>
      <c r="G268" s="41">
        <f>VLOOKUP(F268,'(3) Demographie &amp; Departements'!$G$8:$J$526,4,0)</f>
        <v>35143.013946797881</v>
      </c>
      <c r="H268" s="96">
        <f t="shared" si="16"/>
        <v>16165.786415527025</v>
      </c>
      <c r="I268" s="130">
        <f t="shared" si="17"/>
        <v>0.95</v>
      </c>
      <c r="J268" s="42">
        <f t="shared" si="18"/>
        <v>0.85</v>
      </c>
      <c r="K268" s="131">
        <f t="shared" si="19"/>
        <v>0.75</v>
      </c>
      <c r="L268" s="42"/>
      <c r="M268" s="42"/>
      <c r="N268" s="39" t="s">
        <v>26</v>
      </c>
      <c r="O268" s="39" t="s">
        <v>576</v>
      </c>
      <c r="P268" t="s">
        <v>712</v>
      </c>
      <c r="Q268" s="99">
        <v>84.586441476338706</v>
      </c>
      <c r="R268" s="99">
        <v>100</v>
      </c>
      <c r="S268" s="99">
        <v>89.659632597300302</v>
      </c>
      <c r="T268" s="99">
        <v>94.241328022005902</v>
      </c>
      <c r="U268" s="99">
        <v>89.0610179074841</v>
      </c>
      <c r="V268" s="99">
        <v>91.665306047975605</v>
      </c>
      <c r="W268" s="99">
        <v>96.131446125917407</v>
      </c>
      <c r="X268" s="99">
        <v>100</v>
      </c>
      <c r="Y268" s="99">
        <v>100</v>
      </c>
      <c r="Z268" s="99">
        <v>100</v>
      </c>
      <c r="AA268" s="99">
        <v>99.9264530336457</v>
      </c>
      <c r="AB268" s="99">
        <v>100</v>
      </c>
      <c r="AC268" s="99">
        <v>76.447703587518802</v>
      </c>
      <c r="AD268" s="99">
        <v>95.473251176180298</v>
      </c>
      <c r="AE268" s="99">
        <v>81.014748147662502</v>
      </c>
      <c r="AF268" s="99">
        <v>89.000463948224805</v>
      </c>
      <c r="AG268" s="99">
        <v>88.187128085165597</v>
      </c>
      <c r="AH268" s="99">
        <v>80.283788860289107</v>
      </c>
      <c r="AI268" s="99">
        <v>100</v>
      </c>
      <c r="AJ268" s="99">
        <v>87.299588713325505</v>
      </c>
      <c r="AK268" s="99">
        <v>100</v>
      </c>
      <c r="AL268" s="99">
        <v>100</v>
      </c>
      <c r="AM268" s="99">
        <v>100</v>
      </c>
      <c r="AN268" s="99">
        <v>91.325726731596802</v>
      </c>
    </row>
    <row r="269" spans="1:40" s="30" customFormat="1" ht="15.6">
      <c r="A269"/>
      <c r="B269" s="29"/>
      <c r="C269" s="44" t="s">
        <v>876</v>
      </c>
      <c r="D269" s="39" t="s">
        <v>27</v>
      </c>
      <c r="E269" s="39" t="s">
        <v>517</v>
      </c>
      <c r="F269" t="s">
        <v>860</v>
      </c>
      <c r="G269" s="41">
        <f>VLOOKUP(F269,'(3) Demographie &amp; Departements'!$G$8:$J$526,4,0)</f>
        <v>15237.643115975092</v>
      </c>
      <c r="H269" s="96">
        <f t="shared" si="16"/>
        <v>7009.3158333485426</v>
      </c>
      <c r="I269" s="130">
        <f t="shared" si="17"/>
        <v>0.95</v>
      </c>
      <c r="J269" s="42">
        <f t="shared" si="18"/>
        <v>0.85</v>
      </c>
      <c r="K269" s="131">
        <f t="shared" si="19"/>
        <v>0.75</v>
      </c>
      <c r="L269" s="42"/>
      <c r="M269" s="42"/>
      <c r="N269" s="39" t="s">
        <v>27</v>
      </c>
      <c r="O269" s="39" t="s">
        <v>517</v>
      </c>
      <c r="P269" t="s">
        <v>860</v>
      </c>
      <c r="Q269" s="99">
        <v>82.345411072550903</v>
      </c>
      <c r="R269" s="99">
        <v>97.912320485771701</v>
      </c>
      <c r="S269" s="99">
        <v>91.660483867101902</v>
      </c>
      <c r="T269" s="99">
        <v>6.0129755956793103</v>
      </c>
      <c r="U269" s="99">
        <v>82.207234303577394</v>
      </c>
      <c r="V269" s="99">
        <v>88.585427054803901</v>
      </c>
      <c r="W269" s="99">
        <v>87.793911597968503</v>
      </c>
      <c r="X269" s="99">
        <v>99.923938674950406</v>
      </c>
      <c r="Y269" s="99">
        <v>89.597891782784103</v>
      </c>
      <c r="Z269" s="99">
        <v>95.919506012677999</v>
      </c>
      <c r="AA269" s="99">
        <v>99.968842283836807</v>
      </c>
      <c r="AB269" s="99">
        <v>94.987614050934695</v>
      </c>
      <c r="AC269" s="99">
        <v>75.439722823625701</v>
      </c>
      <c r="AD269" s="99">
        <v>82.577937954344193</v>
      </c>
      <c r="AE269" s="99">
        <v>80.745724164880997</v>
      </c>
      <c r="AF269" s="99">
        <v>73.166884311630994</v>
      </c>
      <c r="AG269" s="99">
        <v>94.877583059402596</v>
      </c>
      <c r="AH269" s="99">
        <v>88.330602919752593</v>
      </c>
      <c r="AI269" s="99">
        <v>97.334606160707906</v>
      </c>
      <c r="AJ269" s="99">
        <v>82.357060289730597</v>
      </c>
      <c r="AK269" s="99">
        <v>99.584549927575495</v>
      </c>
      <c r="AL269" s="99">
        <v>97.563915586617796</v>
      </c>
      <c r="AM269" s="99">
        <v>98.183419505529201</v>
      </c>
      <c r="AN269" s="99">
        <v>76.047525336950102</v>
      </c>
    </row>
    <row r="270" spans="1:40" s="30" customFormat="1" ht="15.6">
      <c r="A270"/>
      <c r="B270" s="29"/>
      <c r="C270" s="44" t="s">
        <v>876</v>
      </c>
      <c r="D270" s="39" t="s">
        <v>27</v>
      </c>
      <c r="E270" s="39" t="s">
        <v>494</v>
      </c>
      <c r="F270" t="s">
        <v>861</v>
      </c>
      <c r="G270" s="41">
        <f>VLOOKUP(F270,'(3) Demographie &amp; Departements'!$G$8:$J$526,4,0)</f>
        <v>92453.677419793647</v>
      </c>
      <c r="H270" s="96">
        <f t="shared" si="16"/>
        <v>42528.691613105082</v>
      </c>
      <c r="I270" s="130">
        <f t="shared" si="17"/>
        <v>0.95</v>
      </c>
      <c r="J270" s="42">
        <f t="shared" si="18"/>
        <v>0.85</v>
      </c>
      <c r="K270" s="131">
        <f t="shared" si="19"/>
        <v>0.75</v>
      </c>
      <c r="L270" s="42"/>
      <c r="M270" s="42"/>
      <c r="N270" s="39" t="s">
        <v>27</v>
      </c>
      <c r="O270" s="39" t="s">
        <v>494</v>
      </c>
      <c r="P270" t="s">
        <v>861</v>
      </c>
      <c r="Q270" s="99">
        <v>99.998745928195504</v>
      </c>
      <c r="R270" s="99">
        <v>100</v>
      </c>
      <c r="S270" s="99">
        <v>100</v>
      </c>
      <c r="T270" s="99">
        <v>99.168400006290298</v>
      </c>
      <c r="U270" s="99">
        <v>100</v>
      </c>
      <c r="V270" s="99">
        <v>100</v>
      </c>
      <c r="W270" s="99">
        <v>100</v>
      </c>
      <c r="X270" s="99">
        <v>100</v>
      </c>
      <c r="Y270" s="99">
        <v>100</v>
      </c>
      <c r="Z270" s="99">
        <v>100</v>
      </c>
      <c r="AA270" s="99">
        <v>100</v>
      </c>
      <c r="AB270" s="99">
        <v>100</v>
      </c>
      <c r="AC270" s="99">
        <v>100</v>
      </c>
      <c r="AD270" s="99">
        <v>99.642326904268799</v>
      </c>
      <c r="AE270" s="99">
        <v>100</v>
      </c>
      <c r="AF270" s="99">
        <v>99.963966135672806</v>
      </c>
      <c r="AG270" s="99">
        <v>100</v>
      </c>
      <c r="AH270" s="99">
        <v>100</v>
      </c>
      <c r="AI270" s="99">
        <v>100</v>
      </c>
      <c r="AJ270" s="99">
        <v>99.959676719002601</v>
      </c>
      <c r="AK270" s="99">
        <v>100</v>
      </c>
      <c r="AL270" s="99">
        <v>100</v>
      </c>
      <c r="AM270" s="99">
        <v>100</v>
      </c>
      <c r="AN270" s="99">
        <v>100</v>
      </c>
    </row>
    <row r="271" spans="1:40" s="30" customFormat="1" ht="15.6">
      <c r="A271"/>
      <c r="B271" s="29"/>
      <c r="C271" s="44" t="s">
        <v>876</v>
      </c>
      <c r="D271" s="39" t="s">
        <v>27</v>
      </c>
      <c r="E271" s="39" t="s">
        <v>172</v>
      </c>
      <c r="F271" t="s">
        <v>862</v>
      </c>
      <c r="G271" s="41">
        <f>VLOOKUP(F271,'(3) Demographie &amp; Departements'!$G$8:$J$526,4,0)</f>
        <v>11643.847489936677</v>
      </c>
      <c r="H271" s="96">
        <f t="shared" si="16"/>
        <v>5356.1698453708723</v>
      </c>
      <c r="I271" s="130">
        <f t="shared" si="17"/>
        <v>0.95</v>
      </c>
      <c r="J271" s="42">
        <f t="shared" si="18"/>
        <v>0.85</v>
      </c>
      <c r="K271" s="131">
        <f t="shared" si="19"/>
        <v>0.75</v>
      </c>
      <c r="L271" s="42"/>
      <c r="M271" s="42"/>
      <c r="N271" s="39" t="s">
        <v>27</v>
      </c>
      <c r="O271" s="39" t="s">
        <v>172</v>
      </c>
      <c r="P271" t="s">
        <v>862</v>
      </c>
      <c r="Q271" s="99">
        <v>100</v>
      </c>
      <c r="R271" s="99">
        <v>100</v>
      </c>
      <c r="S271" s="99">
        <v>100</v>
      </c>
      <c r="T271" s="99">
        <v>100</v>
      </c>
      <c r="U271" s="99">
        <v>100</v>
      </c>
      <c r="V271" s="99">
        <v>100</v>
      </c>
      <c r="W271" s="99">
        <v>100</v>
      </c>
      <c r="X271" s="99">
        <v>100</v>
      </c>
      <c r="Y271" s="99">
        <v>100</v>
      </c>
      <c r="Z271" s="99">
        <v>100</v>
      </c>
      <c r="AA271" s="99">
        <v>100</v>
      </c>
      <c r="AB271" s="99">
        <v>100</v>
      </c>
      <c r="AC271" s="99">
        <v>100</v>
      </c>
      <c r="AD271" s="99">
        <v>100</v>
      </c>
      <c r="AE271" s="99">
        <v>100</v>
      </c>
      <c r="AF271" s="99">
        <v>100</v>
      </c>
      <c r="AG271" s="99">
        <v>100</v>
      </c>
      <c r="AH271" s="99">
        <v>100</v>
      </c>
      <c r="AI271" s="99">
        <v>100</v>
      </c>
      <c r="AJ271" s="99">
        <v>100</v>
      </c>
      <c r="AK271" s="99">
        <v>100</v>
      </c>
      <c r="AL271" s="99">
        <v>100</v>
      </c>
      <c r="AM271" s="99">
        <v>100</v>
      </c>
      <c r="AN271" s="99">
        <v>100</v>
      </c>
    </row>
    <row r="272" spans="1:40" s="30" customFormat="1" ht="15.6">
      <c r="A272"/>
      <c r="B272" s="29"/>
      <c r="C272" s="44" t="s">
        <v>876</v>
      </c>
      <c r="D272" s="39" t="s">
        <v>27</v>
      </c>
      <c r="E272" s="39" t="s">
        <v>555</v>
      </c>
      <c r="F272" t="s">
        <v>863</v>
      </c>
      <c r="G272" s="41">
        <f>VLOOKUP(F272,'(3) Demographie &amp; Departements'!$G$8:$J$526,4,0)</f>
        <v>67055.31726118004</v>
      </c>
      <c r="H272" s="96">
        <f t="shared" si="16"/>
        <v>30845.445940142821</v>
      </c>
      <c r="I272" s="130">
        <f t="shared" si="17"/>
        <v>0.95</v>
      </c>
      <c r="J272" s="42">
        <f t="shared" si="18"/>
        <v>0.85</v>
      </c>
      <c r="K272" s="131">
        <f t="shared" si="19"/>
        <v>0.75</v>
      </c>
      <c r="L272" s="42"/>
      <c r="M272" s="42"/>
      <c r="N272" s="39" t="s">
        <v>27</v>
      </c>
      <c r="O272" s="39" t="s">
        <v>555</v>
      </c>
      <c r="P272" t="s">
        <v>863</v>
      </c>
      <c r="Q272" s="99">
        <v>82.060055920421604</v>
      </c>
      <c r="R272" s="99">
        <v>99.851315898169702</v>
      </c>
      <c r="S272" s="99">
        <v>80.272010124856607</v>
      </c>
      <c r="T272" s="99">
        <v>73.448931926162103</v>
      </c>
      <c r="U272" s="99">
        <v>86.564909788317905</v>
      </c>
      <c r="V272" s="99">
        <v>91.094326995091507</v>
      </c>
      <c r="W272" s="99">
        <v>81.506031191817399</v>
      </c>
      <c r="X272" s="99">
        <v>99.244528722976099</v>
      </c>
      <c r="Y272" s="99">
        <v>90.020217651762806</v>
      </c>
      <c r="Z272" s="99">
        <v>78.531459679116693</v>
      </c>
      <c r="AA272" s="99">
        <v>91.961304600102594</v>
      </c>
      <c r="AB272" s="99">
        <v>99.436306949658999</v>
      </c>
      <c r="AC272" s="99">
        <v>99.287669142787294</v>
      </c>
      <c r="AD272" s="99">
        <v>83.214281247613599</v>
      </c>
      <c r="AE272" s="99">
        <v>79.336576823253395</v>
      </c>
      <c r="AF272" s="99">
        <v>83.093409676017799</v>
      </c>
      <c r="AG272" s="99">
        <v>86.473983253327006</v>
      </c>
      <c r="AH272" s="99">
        <v>91.567545615680103</v>
      </c>
      <c r="AI272" s="99">
        <v>81.451743776679606</v>
      </c>
      <c r="AJ272" s="99">
        <v>89.692924597188195</v>
      </c>
      <c r="AK272" s="99">
        <v>93.374436213135098</v>
      </c>
      <c r="AL272" s="99">
        <v>99.962660145203799</v>
      </c>
      <c r="AM272" s="99">
        <v>99.858301184935698</v>
      </c>
      <c r="AN272" s="99">
        <v>86.898938258942493</v>
      </c>
    </row>
    <row r="273" spans="1:40" s="30" customFormat="1" ht="15.6">
      <c r="A273"/>
      <c r="B273" s="29"/>
      <c r="C273" s="44" t="s">
        <v>876</v>
      </c>
      <c r="D273" s="39" t="s">
        <v>27</v>
      </c>
      <c r="E273" s="39" t="s">
        <v>184</v>
      </c>
      <c r="F273" t="s">
        <v>864</v>
      </c>
      <c r="G273" s="41">
        <f>VLOOKUP(F273,'(3) Demographie &amp; Departements'!$G$8:$J$526,4,0)</f>
        <v>19862.475505910606</v>
      </c>
      <c r="H273" s="96">
        <f t="shared" si="16"/>
        <v>9136.738732718879</v>
      </c>
      <c r="I273" s="130">
        <f t="shared" si="17"/>
        <v>0.95</v>
      </c>
      <c r="J273" s="42">
        <f t="shared" si="18"/>
        <v>0.85</v>
      </c>
      <c r="K273" s="131">
        <f t="shared" si="19"/>
        <v>0.75</v>
      </c>
      <c r="L273" s="42"/>
      <c r="M273" s="42"/>
      <c r="N273" s="39" t="s">
        <v>27</v>
      </c>
      <c r="O273" s="39" t="s">
        <v>184</v>
      </c>
      <c r="P273" t="s">
        <v>864</v>
      </c>
      <c r="Q273" s="99">
        <v>100</v>
      </c>
      <c r="R273" s="99">
        <v>100</v>
      </c>
      <c r="S273" s="99">
        <v>100</v>
      </c>
      <c r="T273" s="99">
        <v>100</v>
      </c>
      <c r="U273" s="99">
        <v>100</v>
      </c>
      <c r="V273" s="99">
        <v>100</v>
      </c>
      <c r="W273" s="99">
        <v>100</v>
      </c>
      <c r="X273" s="99">
        <v>100</v>
      </c>
      <c r="Y273" s="99">
        <v>100</v>
      </c>
      <c r="Z273" s="99">
        <v>100</v>
      </c>
      <c r="AA273" s="99">
        <v>100</v>
      </c>
      <c r="AB273" s="99">
        <v>100</v>
      </c>
      <c r="AC273" s="99">
        <v>100</v>
      </c>
      <c r="AD273" s="99">
        <v>100</v>
      </c>
      <c r="AE273" s="99">
        <v>100</v>
      </c>
      <c r="AF273" s="99">
        <v>100</v>
      </c>
      <c r="AG273" s="99">
        <v>100</v>
      </c>
      <c r="AH273" s="99">
        <v>100</v>
      </c>
      <c r="AI273" s="99">
        <v>100</v>
      </c>
      <c r="AJ273" s="99">
        <v>100</v>
      </c>
      <c r="AK273" s="99">
        <v>100</v>
      </c>
      <c r="AL273" s="99">
        <v>100</v>
      </c>
      <c r="AM273" s="99">
        <v>100</v>
      </c>
      <c r="AN273" s="99">
        <v>100</v>
      </c>
    </row>
    <row r="274" spans="1:40" s="30" customFormat="1" ht="15.6">
      <c r="A274"/>
      <c r="B274" s="29"/>
      <c r="C274" s="44" t="s">
        <v>876</v>
      </c>
      <c r="D274" s="39" t="s">
        <v>26</v>
      </c>
      <c r="E274" s="39" t="s">
        <v>527</v>
      </c>
      <c r="F274" t="s">
        <v>721</v>
      </c>
      <c r="G274" s="41">
        <f>VLOOKUP(F274,'(3) Demographie &amp; Departements'!$G$8:$J$526,4,0)</f>
        <v>15035.158234613638</v>
      </c>
      <c r="H274" s="96">
        <f t="shared" si="16"/>
        <v>6916.1727879222735</v>
      </c>
      <c r="I274" s="130">
        <f t="shared" si="17"/>
        <v>0.95</v>
      </c>
      <c r="J274" s="42">
        <f t="shared" si="18"/>
        <v>0.85</v>
      </c>
      <c r="K274" s="131">
        <f t="shared" si="19"/>
        <v>0.75</v>
      </c>
      <c r="L274" s="42"/>
      <c r="M274" s="42"/>
      <c r="N274" s="39" t="s">
        <v>26</v>
      </c>
      <c r="O274" s="39" t="s">
        <v>527</v>
      </c>
      <c r="P274" t="s">
        <v>721</v>
      </c>
      <c r="Q274" s="99">
        <v>82.011920511037204</v>
      </c>
      <c r="R274" s="99">
        <v>99.552623181464895</v>
      </c>
      <c r="S274" s="99">
        <v>89.576445693669399</v>
      </c>
      <c r="T274" s="99">
        <v>80.816048232507896</v>
      </c>
      <c r="U274" s="99">
        <v>79.430763384568905</v>
      </c>
      <c r="V274" s="99">
        <v>88.269215144834902</v>
      </c>
      <c r="W274" s="99">
        <v>92.678688420139196</v>
      </c>
      <c r="X274" s="99">
        <v>100</v>
      </c>
      <c r="Y274" s="99">
        <v>94.5098763521612</v>
      </c>
      <c r="Z274" s="99">
        <v>94.6928433766045</v>
      </c>
      <c r="AA274" s="99">
        <v>90.454622527627805</v>
      </c>
      <c r="AB274" s="99">
        <v>89.940983199257801</v>
      </c>
      <c r="AC274" s="99">
        <v>77.423517651233396</v>
      </c>
      <c r="AD274" s="99">
        <v>73.184397166833506</v>
      </c>
      <c r="AE274" s="99">
        <v>71.8284324038774</v>
      </c>
      <c r="AF274" s="99">
        <v>65.427647006062003</v>
      </c>
      <c r="AG274" s="99">
        <v>92.2585505505822</v>
      </c>
      <c r="AH274" s="99">
        <v>92.021526793891198</v>
      </c>
      <c r="AI274" s="99">
        <v>91.626091686539695</v>
      </c>
      <c r="AJ274" s="99">
        <v>80.575231096528896</v>
      </c>
      <c r="AK274" s="99">
        <v>100</v>
      </c>
      <c r="AL274" s="99">
        <v>100</v>
      </c>
      <c r="AM274" s="99">
        <v>98.734648856970495</v>
      </c>
      <c r="AN274" s="99">
        <v>79.785183600393097</v>
      </c>
    </row>
    <row r="275" spans="1:40" s="30" customFormat="1" ht="15.6">
      <c r="A275"/>
      <c r="B275" s="29"/>
      <c r="C275" s="44" t="s">
        <v>876</v>
      </c>
      <c r="D275" s="39" t="s">
        <v>27</v>
      </c>
      <c r="E275" s="39" t="s">
        <v>448</v>
      </c>
      <c r="F275" t="s">
        <v>865</v>
      </c>
      <c r="G275" s="41">
        <f>VLOOKUP(F275,'(3) Demographie &amp; Departements'!$G$8:$J$526,4,0)</f>
        <v>21464.078061285203</v>
      </c>
      <c r="H275" s="96">
        <f t="shared" si="16"/>
        <v>9873.4759081911943</v>
      </c>
      <c r="I275" s="130">
        <f t="shared" si="17"/>
        <v>0.95</v>
      </c>
      <c r="J275" s="42">
        <f t="shared" si="18"/>
        <v>0.85</v>
      </c>
      <c r="K275" s="131">
        <f t="shared" si="19"/>
        <v>0.75</v>
      </c>
      <c r="L275" s="42"/>
      <c r="M275" s="42"/>
      <c r="N275" s="39" t="s">
        <v>27</v>
      </c>
      <c r="O275" s="39" t="s">
        <v>448</v>
      </c>
      <c r="P275" t="s">
        <v>865</v>
      </c>
      <c r="Q275" s="99">
        <v>100</v>
      </c>
      <c r="R275" s="99">
        <v>100</v>
      </c>
      <c r="S275" s="99">
        <v>100</v>
      </c>
      <c r="T275" s="99">
        <v>100</v>
      </c>
      <c r="U275" s="99">
        <v>100</v>
      </c>
      <c r="V275" s="99">
        <v>100</v>
      </c>
      <c r="W275" s="99">
        <v>100</v>
      </c>
      <c r="X275" s="99">
        <v>100</v>
      </c>
      <c r="Y275" s="99">
        <v>100</v>
      </c>
      <c r="Z275" s="99">
        <v>100</v>
      </c>
      <c r="AA275" s="99">
        <v>100</v>
      </c>
      <c r="AB275" s="99">
        <v>100</v>
      </c>
      <c r="AC275" s="99">
        <v>100</v>
      </c>
      <c r="AD275" s="99">
        <v>99.270235485882907</v>
      </c>
      <c r="AE275" s="99">
        <v>100</v>
      </c>
      <c r="AF275" s="99">
        <v>100</v>
      </c>
      <c r="AG275" s="99">
        <v>100</v>
      </c>
      <c r="AH275" s="99">
        <v>100</v>
      </c>
      <c r="AI275" s="99">
        <v>100</v>
      </c>
      <c r="AJ275" s="99">
        <v>100</v>
      </c>
      <c r="AK275" s="99">
        <v>100</v>
      </c>
      <c r="AL275" s="99">
        <v>100</v>
      </c>
      <c r="AM275" s="99">
        <v>100</v>
      </c>
      <c r="AN275" s="99">
        <v>100</v>
      </c>
    </row>
    <row r="276" spans="1:40" s="30" customFormat="1" ht="15.6">
      <c r="A276"/>
      <c r="B276" s="29"/>
      <c r="C276" s="44" t="s">
        <v>876</v>
      </c>
      <c r="D276" s="39" t="s">
        <v>27</v>
      </c>
      <c r="E276" s="39" t="s">
        <v>472</v>
      </c>
      <c r="F276" t="s">
        <v>866</v>
      </c>
      <c r="G276" s="41">
        <f>VLOOKUP(F276,'(3) Demographie &amp; Departements'!$G$8:$J$526,4,0)</f>
        <v>15342.478975362705</v>
      </c>
      <c r="H276" s="96">
        <f t="shared" si="16"/>
        <v>7057.5403286668443</v>
      </c>
      <c r="I276" s="130">
        <f t="shared" si="17"/>
        <v>0.95</v>
      </c>
      <c r="J276" s="42">
        <f t="shared" si="18"/>
        <v>0.85</v>
      </c>
      <c r="K276" s="131">
        <f t="shared" si="19"/>
        <v>0.75</v>
      </c>
      <c r="L276" s="42"/>
      <c r="M276" s="42"/>
      <c r="N276" s="39" t="s">
        <v>27</v>
      </c>
      <c r="O276" s="39" t="s">
        <v>472</v>
      </c>
      <c r="P276" t="s">
        <v>866</v>
      </c>
      <c r="Q276" s="99">
        <v>100</v>
      </c>
      <c r="R276" s="99">
        <v>100</v>
      </c>
      <c r="S276" s="99">
        <v>100</v>
      </c>
      <c r="T276" s="99">
        <v>98.871850585955002</v>
      </c>
      <c r="U276" s="99">
        <v>100</v>
      </c>
      <c r="V276" s="99">
        <v>99.804664937228495</v>
      </c>
      <c r="W276" s="99">
        <v>99.817648158709801</v>
      </c>
      <c r="X276" s="99">
        <v>100</v>
      </c>
      <c r="Y276" s="99">
        <v>98.754778075006598</v>
      </c>
      <c r="Z276" s="99">
        <v>100</v>
      </c>
      <c r="AA276" s="99">
        <v>100</v>
      </c>
      <c r="AB276" s="99">
        <v>100</v>
      </c>
      <c r="AC276" s="99">
        <v>100</v>
      </c>
      <c r="AD276" s="99">
        <v>94.301115808904697</v>
      </c>
      <c r="AE276" s="99">
        <v>99.625883809550999</v>
      </c>
      <c r="AF276" s="99">
        <v>97.629950744693005</v>
      </c>
      <c r="AG276" s="99">
        <v>95.441396018989906</v>
      </c>
      <c r="AH276" s="99">
        <v>100</v>
      </c>
      <c r="AI276" s="99">
        <v>99.920192576717298</v>
      </c>
      <c r="AJ276" s="99">
        <v>90.575311194518704</v>
      </c>
      <c r="AK276" s="99">
        <v>100</v>
      </c>
      <c r="AL276" s="99">
        <v>100</v>
      </c>
      <c r="AM276" s="99">
        <v>100</v>
      </c>
      <c r="AN276" s="99">
        <v>100</v>
      </c>
    </row>
    <row r="277" spans="1:40" s="30" customFormat="1" ht="15.6">
      <c r="A277"/>
      <c r="B277" s="29"/>
      <c r="C277" s="44" t="s">
        <v>876</v>
      </c>
      <c r="D277" s="39" t="s">
        <v>27</v>
      </c>
      <c r="E277" s="39" t="s">
        <v>530</v>
      </c>
      <c r="F277" t="s">
        <v>867</v>
      </c>
      <c r="G277" s="41">
        <f>VLOOKUP(F277,'(3) Demographie &amp; Departements'!$G$8:$J$526,4,0)</f>
        <v>30409.009238406048</v>
      </c>
      <c r="H277" s="96">
        <f t="shared" si="16"/>
        <v>13988.144249666782</v>
      </c>
      <c r="I277" s="130">
        <f t="shared" si="17"/>
        <v>0.95</v>
      </c>
      <c r="J277" s="42">
        <f t="shared" si="18"/>
        <v>0.85</v>
      </c>
      <c r="K277" s="131">
        <f t="shared" si="19"/>
        <v>0.75</v>
      </c>
      <c r="L277" s="42"/>
      <c r="M277" s="42"/>
      <c r="N277" s="39" t="s">
        <v>27</v>
      </c>
      <c r="O277" s="39" t="s">
        <v>530</v>
      </c>
      <c r="P277" t="s">
        <v>867</v>
      </c>
      <c r="Q277" s="99">
        <v>91.775421752592607</v>
      </c>
      <c r="R277" s="99">
        <v>99.857370289579194</v>
      </c>
      <c r="S277" s="99">
        <v>90.788584134109698</v>
      </c>
      <c r="T277" s="99">
        <v>83.568040131916305</v>
      </c>
      <c r="U277" s="99">
        <v>89.982368481825006</v>
      </c>
      <c r="V277" s="99">
        <v>98.511003668387801</v>
      </c>
      <c r="W277" s="99">
        <v>84.388589086397204</v>
      </c>
      <c r="X277" s="99">
        <v>99.939487775221195</v>
      </c>
      <c r="Y277" s="99">
        <v>95.084493028512995</v>
      </c>
      <c r="Z277" s="99">
        <v>69.360225477005201</v>
      </c>
      <c r="AA277" s="99">
        <v>93.951052870976696</v>
      </c>
      <c r="AB277" s="99">
        <v>99.809144035920895</v>
      </c>
      <c r="AC277" s="99">
        <v>96.883819927199198</v>
      </c>
      <c r="AD277" s="99">
        <v>81.612219892001306</v>
      </c>
      <c r="AE277" s="99">
        <v>80.991295015704395</v>
      </c>
      <c r="AF277" s="99">
        <v>78.105517698879098</v>
      </c>
      <c r="AG277" s="99">
        <v>84.258058041981698</v>
      </c>
      <c r="AH277" s="99">
        <v>93.342902464737904</v>
      </c>
      <c r="AI277" s="99">
        <v>79.759656259578307</v>
      </c>
      <c r="AJ277" s="99">
        <v>82.686423783947504</v>
      </c>
      <c r="AK277" s="99">
        <v>92.013977258611405</v>
      </c>
      <c r="AL277" s="99">
        <v>98.659745196852398</v>
      </c>
      <c r="AM277" s="99">
        <v>98.578104687424897</v>
      </c>
      <c r="AN277" s="99">
        <v>86.031292586544794</v>
      </c>
    </row>
    <row r="278" spans="1:40" s="30" customFormat="1" ht="15.6">
      <c r="A278"/>
      <c r="B278" s="29"/>
      <c r="C278" s="44" t="s">
        <v>876</v>
      </c>
      <c r="D278" s="39" t="s">
        <v>27</v>
      </c>
      <c r="E278" s="39" t="s">
        <v>572</v>
      </c>
      <c r="F278" t="s">
        <v>868</v>
      </c>
      <c r="G278" s="41">
        <f>VLOOKUP(F278,'(3) Demographie &amp; Departements'!$G$8:$J$526,4,0)</f>
        <v>55012.527731052221</v>
      </c>
      <c r="H278" s="96">
        <f t="shared" si="16"/>
        <v>25305.762756284024</v>
      </c>
      <c r="I278" s="130">
        <f t="shared" si="17"/>
        <v>0.95</v>
      </c>
      <c r="J278" s="42">
        <f t="shared" si="18"/>
        <v>0.85</v>
      </c>
      <c r="K278" s="131">
        <f t="shared" si="19"/>
        <v>0.75</v>
      </c>
      <c r="L278" s="42"/>
      <c r="M278" s="42"/>
      <c r="N278" s="39" t="s">
        <v>27</v>
      </c>
      <c r="O278" s="39" t="s">
        <v>572</v>
      </c>
      <c r="P278" t="s">
        <v>868</v>
      </c>
      <c r="Q278" s="99">
        <v>100</v>
      </c>
      <c r="R278" s="99">
        <v>100</v>
      </c>
      <c r="S278" s="99">
        <v>100</v>
      </c>
      <c r="T278" s="99">
        <v>100</v>
      </c>
      <c r="U278" s="99">
        <v>100</v>
      </c>
      <c r="V278" s="99">
        <v>100</v>
      </c>
      <c r="W278" s="99">
        <v>99.979315180212396</v>
      </c>
      <c r="X278" s="99">
        <v>100</v>
      </c>
      <c r="Y278" s="99">
        <v>100</v>
      </c>
      <c r="Z278" s="99">
        <v>100</v>
      </c>
      <c r="AA278" s="99">
        <v>100</v>
      </c>
      <c r="AB278" s="99">
        <v>100</v>
      </c>
      <c r="AC278" s="99">
        <v>100</v>
      </c>
      <c r="AD278" s="99">
        <v>98.813496572901499</v>
      </c>
      <c r="AE278" s="99">
        <v>100</v>
      </c>
      <c r="AF278" s="99">
        <v>100</v>
      </c>
      <c r="AG278" s="99">
        <v>100</v>
      </c>
      <c r="AH278" s="99">
        <v>100</v>
      </c>
      <c r="AI278" s="99">
        <v>100</v>
      </c>
      <c r="AJ278" s="99">
        <v>100</v>
      </c>
      <c r="AK278" s="99">
        <v>100</v>
      </c>
      <c r="AL278" s="99">
        <v>100</v>
      </c>
      <c r="AM278" s="99">
        <v>100</v>
      </c>
      <c r="AN278" s="99">
        <v>100</v>
      </c>
    </row>
    <row r="279" spans="1:40" s="30" customFormat="1" ht="15.6">
      <c r="A279"/>
      <c r="B279" s="29"/>
      <c r="C279" s="44" t="s">
        <v>876</v>
      </c>
      <c r="D279" s="39" t="s">
        <v>27</v>
      </c>
      <c r="E279" s="39" t="s">
        <v>618</v>
      </c>
      <c r="F279" t="s">
        <v>869</v>
      </c>
      <c r="G279" s="41">
        <f>VLOOKUP(F279,'(3) Demographie &amp; Departements'!$G$8:$J$526,4,0)</f>
        <v>30582.104650236513</v>
      </c>
      <c r="H279" s="96">
        <f t="shared" si="16"/>
        <v>14067.768139108797</v>
      </c>
      <c r="I279" s="130">
        <f t="shared" si="17"/>
        <v>0.95</v>
      </c>
      <c r="J279" s="42">
        <f t="shared" si="18"/>
        <v>0.85</v>
      </c>
      <c r="K279" s="131">
        <f t="shared" si="19"/>
        <v>0.75</v>
      </c>
      <c r="L279" s="42"/>
      <c r="M279" s="42"/>
      <c r="N279" s="39" t="s">
        <v>27</v>
      </c>
      <c r="O279" s="39" t="s">
        <v>618</v>
      </c>
      <c r="P279" t="s">
        <v>869</v>
      </c>
      <c r="Q279" s="99">
        <v>94.862919091002993</v>
      </c>
      <c r="R279" s="99">
        <v>100</v>
      </c>
      <c r="S279" s="99">
        <v>99.946436263570007</v>
      </c>
      <c r="T279" s="99">
        <v>90.452249938562503</v>
      </c>
      <c r="U279" s="99">
        <v>90.446369884104101</v>
      </c>
      <c r="V279" s="99">
        <v>100</v>
      </c>
      <c r="W279" s="99">
        <v>87.703915067212805</v>
      </c>
      <c r="X279" s="99">
        <v>100</v>
      </c>
      <c r="Y279" s="99">
        <v>99.337010355489795</v>
      </c>
      <c r="Z279" s="99">
        <v>94.178174788483901</v>
      </c>
      <c r="AA279" s="99">
        <v>99.993629269585796</v>
      </c>
      <c r="AB279" s="99">
        <v>99.857934540268005</v>
      </c>
      <c r="AC279" s="99">
        <v>99.888259429110207</v>
      </c>
      <c r="AD279" s="99">
        <v>83.216028592498404</v>
      </c>
      <c r="AE279" s="99">
        <v>93.658306099800399</v>
      </c>
      <c r="AF279" s="99">
        <v>91.394285972841303</v>
      </c>
      <c r="AG279" s="99">
        <v>89.212864111105603</v>
      </c>
      <c r="AH279" s="99">
        <v>99.538559527557894</v>
      </c>
      <c r="AI279" s="99">
        <v>90.228805592681496</v>
      </c>
      <c r="AJ279" s="99">
        <v>91.511086726972806</v>
      </c>
      <c r="AK279" s="99">
        <v>100</v>
      </c>
      <c r="AL279" s="99">
        <v>99.449352553305999</v>
      </c>
      <c r="AM279" s="99">
        <v>100</v>
      </c>
      <c r="AN279" s="99">
        <v>88.788124554706798</v>
      </c>
    </row>
    <row r="280" spans="1:40" s="30" customFormat="1" ht="15.6">
      <c r="A280"/>
      <c r="B280" s="29"/>
      <c r="C280" s="44" t="s">
        <v>876</v>
      </c>
      <c r="D280" s="39" t="s">
        <v>27</v>
      </c>
      <c r="E280" s="39" t="s">
        <v>479</v>
      </c>
      <c r="F280" t="s">
        <v>870</v>
      </c>
      <c r="G280" s="41">
        <f>VLOOKUP(F280,'(3) Demographie &amp; Departements'!$G$8:$J$526,4,0)</f>
        <v>44422.69600700603</v>
      </c>
      <c r="H280" s="96">
        <f t="shared" si="16"/>
        <v>20434.440163222775</v>
      </c>
      <c r="I280" s="130">
        <f t="shared" si="17"/>
        <v>0.95</v>
      </c>
      <c r="J280" s="42">
        <f t="shared" si="18"/>
        <v>0.85</v>
      </c>
      <c r="K280" s="131">
        <f t="shared" si="19"/>
        <v>0.75</v>
      </c>
      <c r="L280" s="42"/>
      <c r="M280" s="42"/>
      <c r="N280" s="39" t="s">
        <v>27</v>
      </c>
      <c r="O280" s="39" t="s">
        <v>479</v>
      </c>
      <c r="P280" t="s">
        <v>870</v>
      </c>
      <c r="Q280" s="99">
        <v>100</v>
      </c>
      <c r="R280" s="99">
        <v>100</v>
      </c>
      <c r="S280" s="99">
        <v>100</v>
      </c>
      <c r="T280" s="99">
        <v>95.549213978873496</v>
      </c>
      <c r="U280" s="99">
        <v>100</v>
      </c>
      <c r="V280" s="99">
        <v>100</v>
      </c>
      <c r="W280" s="99">
        <v>100</v>
      </c>
      <c r="X280" s="99">
        <v>100</v>
      </c>
      <c r="Y280" s="99">
        <v>100</v>
      </c>
      <c r="Z280" s="99">
        <v>100</v>
      </c>
      <c r="AA280" s="99">
        <v>100</v>
      </c>
      <c r="AB280" s="99">
        <v>100</v>
      </c>
      <c r="AC280" s="99">
        <v>100</v>
      </c>
      <c r="AD280" s="99">
        <v>97.955125439331795</v>
      </c>
      <c r="AE280" s="99">
        <v>95.749381183007102</v>
      </c>
      <c r="AF280" s="99">
        <v>99.362340263888498</v>
      </c>
      <c r="AG280" s="99">
        <v>100</v>
      </c>
      <c r="AH280" s="99">
        <v>100</v>
      </c>
      <c r="AI280" s="99">
        <v>100</v>
      </c>
      <c r="AJ280" s="99">
        <v>96.3415857140524</v>
      </c>
      <c r="AK280" s="99">
        <v>100</v>
      </c>
      <c r="AL280" s="99">
        <v>100</v>
      </c>
      <c r="AM280" s="99">
        <v>100</v>
      </c>
      <c r="AN280" s="99">
        <v>100</v>
      </c>
    </row>
    <row r="281" spans="1:40" s="30" customFormat="1" ht="15.6">
      <c r="A281"/>
      <c r="B281" s="29"/>
      <c r="C281" s="44" t="s">
        <v>876</v>
      </c>
      <c r="D281" s="39" t="s">
        <v>27</v>
      </c>
      <c r="E281" s="39" t="s">
        <v>542</v>
      </c>
      <c r="F281" t="s">
        <v>871</v>
      </c>
      <c r="G281" s="41">
        <f>VLOOKUP(F281,'(3) Demographie &amp; Departements'!$G$8:$J$526,4,0)</f>
        <v>66712.566364684579</v>
      </c>
      <c r="H281" s="96">
        <f t="shared" si="16"/>
        <v>30687.780527754909</v>
      </c>
      <c r="I281" s="130">
        <f t="shared" si="17"/>
        <v>0.95</v>
      </c>
      <c r="J281" s="42">
        <f t="shared" si="18"/>
        <v>0.85</v>
      </c>
      <c r="K281" s="131">
        <f t="shared" si="19"/>
        <v>0.75</v>
      </c>
      <c r="L281" s="42"/>
      <c r="M281" s="42"/>
      <c r="N281" s="39" t="s">
        <v>27</v>
      </c>
      <c r="O281" s="39" t="s">
        <v>542</v>
      </c>
      <c r="P281" t="s">
        <v>871</v>
      </c>
      <c r="Q281" s="99">
        <v>99.711620667601096</v>
      </c>
      <c r="R281" s="99">
        <v>100</v>
      </c>
      <c r="S281" s="99">
        <v>98.717948717948701</v>
      </c>
      <c r="T281" s="99">
        <v>97.908881211881507</v>
      </c>
      <c r="U281" s="99">
        <v>100</v>
      </c>
      <c r="V281" s="99">
        <v>100</v>
      </c>
      <c r="W281" s="99">
        <v>94.542614589675907</v>
      </c>
      <c r="X281" s="99">
        <v>100</v>
      </c>
      <c r="Y281" s="99">
        <v>99.8715240843581</v>
      </c>
      <c r="Z281" s="99">
        <v>99.831964736089404</v>
      </c>
      <c r="AA281" s="99">
        <v>98.555183524329905</v>
      </c>
      <c r="AB281" s="99">
        <v>100</v>
      </c>
      <c r="AC281" s="99">
        <v>100</v>
      </c>
      <c r="AD281" s="99">
        <v>96.625415703371999</v>
      </c>
      <c r="AE281" s="99">
        <v>98.889988692165801</v>
      </c>
      <c r="AF281" s="99">
        <v>96.526673492226607</v>
      </c>
      <c r="AG281" s="99">
        <v>99.469820691275999</v>
      </c>
      <c r="AH281" s="99">
        <v>100</v>
      </c>
      <c r="AI281" s="99">
        <v>100</v>
      </c>
      <c r="AJ281" s="99">
        <v>99.075684958239094</v>
      </c>
      <c r="AK281" s="99">
        <v>100</v>
      </c>
      <c r="AL281" s="99">
        <v>100</v>
      </c>
      <c r="AM281" s="99">
        <v>100</v>
      </c>
      <c r="AN281" s="99">
        <v>99.71466164441</v>
      </c>
    </row>
    <row r="282" spans="1:40" s="30" customFormat="1" ht="15.6">
      <c r="A282"/>
      <c r="B282" s="29"/>
      <c r="C282" s="44" t="s">
        <v>876</v>
      </c>
      <c r="D282" s="39" t="s">
        <v>27</v>
      </c>
      <c r="E282" s="39" t="s">
        <v>517</v>
      </c>
      <c r="F282" t="s">
        <v>872</v>
      </c>
      <c r="G282" s="41">
        <f>VLOOKUP(F282,'(3) Demographie &amp; Departements'!$G$8:$J$526,4,0)</f>
        <v>8616.1180349450769</v>
      </c>
      <c r="H282" s="96">
        <f t="shared" si="16"/>
        <v>3963.4142960747354</v>
      </c>
      <c r="I282" s="130">
        <f t="shared" si="17"/>
        <v>0.95</v>
      </c>
      <c r="J282" s="42">
        <f t="shared" si="18"/>
        <v>0.85</v>
      </c>
      <c r="K282" s="131">
        <f t="shared" si="19"/>
        <v>0.75</v>
      </c>
      <c r="L282" s="42"/>
      <c r="M282" s="42"/>
      <c r="N282" s="39" t="s">
        <v>27</v>
      </c>
      <c r="O282" s="39" t="s">
        <v>517</v>
      </c>
      <c r="P282" t="s">
        <v>872</v>
      </c>
      <c r="Q282" s="99">
        <v>76.392005755019198</v>
      </c>
      <c r="R282" s="99">
        <v>93.570382777956596</v>
      </c>
      <c r="S282" s="99">
        <v>86.302246536495502</v>
      </c>
      <c r="T282" s="99">
        <v>16.2277889368311</v>
      </c>
      <c r="U282" s="99">
        <v>76.436928078114903</v>
      </c>
      <c r="V282" s="99">
        <v>83.711906476976694</v>
      </c>
      <c r="W282" s="99">
        <v>86.191188711544896</v>
      </c>
      <c r="X282" s="99">
        <v>100</v>
      </c>
      <c r="Y282" s="99">
        <v>86.808259476726207</v>
      </c>
      <c r="Z282" s="99">
        <v>97.506879820874005</v>
      </c>
      <c r="AA282" s="99">
        <v>98.780147988848597</v>
      </c>
      <c r="AB282" s="99">
        <v>91.170133774412406</v>
      </c>
      <c r="AC282" s="99">
        <v>69.804217416403105</v>
      </c>
      <c r="AD282" s="99">
        <v>73.775648568056397</v>
      </c>
      <c r="AE282" s="99">
        <v>71.531223318315597</v>
      </c>
      <c r="AF282" s="99">
        <v>61.122245081174398</v>
      </c>
      <c r="AG282" s="99">
        <v>95.710711560825303</v>
      </c>
      <c r="AH282" s="99">
        <v>86.450701666932702</v>
      </c>
      <c r="AI282" s="99">
        <v>89.352412489270606</v>
      </c>
      <c r="AJ282" s="99">
        <v>77.161342129059904</v>
      </c>
      <c r="AK282" s="99">
        <v>100</v>
      </c>
      <c r="AL282" s="99">
        <v>94.904193720601796</v>
      </c>
      <c r="AM282" s="99">
        <v>93.897967437783294</v>
      </c>
      <c r="AN282" s="99">
        <v>81.195296514066101</v>
      </c>
    </row>
    <row r="283" spans="1:40" s="30" customFormat="1" ht="15.6">
      <c r="A283"/>
      <c r="B283" s="29"/>
      <c r="C283" s="44" t="s">
        <v>876</v>
      </c>
      <c r="D283" s="39" t="s">
        <v>26</v>
      </c>
      <c r="E283" s="39" t="s">
        <v>594</v>
      </c>
      <c r="F283" t="s">
        <v>729</v>
      </c>
      <c r="G283" s="41">
        <f>VLOOKUP(F283,'(3) Demographie &amp; Departements'!$G$8:$J$526,4,0)</f>
        <v>22369.356980152003</v>
      </c>
      <c r="H283" s="96">
        <f t="shared" si="16"/>
        <v>10289.904210869921</v>
      </c>
      <c r="I283" s="130">
        <f t="shared" si="17"/>
        <v>0.95</v>
      </c>
      <c r="J283" s="42">
        <f t="shared" si="18"/>
        <v>0.85</v>
      </c>
      <c r="K283" s="131">
        <f t="shared" si="19"/>
        <v>0.75</v>
      </c>
      <c r="L283" s="42"/>
      <c r="M283" s="42"/>
      <c r="N283" s="39" t="s">
        <v>26</v>
      </c>
      <c r="O283" s="39" t="s">
        <v>594</v>
      </c>
      <c r="P283" t="s">
        <v>729</v>
      </c>
      <c r="Q283" s="99">
        <v>75.503148705753304</v>
      </c>
      <c r="R283" s="99">
        <v>96.605601413203303</v>
      </c>
      <c r="S283" s="99">
        <v>82.616569806516097</v>
      </c>
      <c r="T283" s="99">
        <v>51.001378239713503</v>
      </c>
      <c r="U283" s="99">
        <v>69.942568702992006</v>
      </c>
      <c r="V283" s="99">
        <v>87.069905045798706</v>
      </c>
      <c r="W283" s="99">
        <v>78.941416715196297</v>
      </c>
      <c r="X283" s="99">
        <v>100</v>
      </c>
      <c r="Y283" s="99">
        <v>81.252521514468199</v>
      </c>
      <c r="Z283" s="99">
        <v>97.555954613040697</v>
      </c>
      <c r="AA283" s="99">
        <v>98.976997186465098</v>
      </c>
      <c r="AB283" s="99">
        <v>94.210590127011201</v>
      </c>
      <c r="AC283" s="99">
        <v>72.729212302587797</v>
      </c>
      <c r="AD283" s="99">
        <v>71.051342552723696</v>
      </c>
      <c r="AE283" s="99">
        <v>68.414876175194905</v>
      </c>
      <c r="AF283" s="99">
        <v>63.932282644232998</v>
      </c>
      <c r="AG283" s="99">
        <v>90.682040844461298</v>
      </c>
      <c r="AH283" s="99">
        <v>72.233886730299304</v>
      </c>
      <c r="AI283" s="99">
        <v>90.6534319508594</v>
      </c>
      <c r="AJ283" s="99">
        <v>77.229264035859899</v>
      </c>
      <c r="AK283" s="99">
        <v>99.584825854176799</v>
      </c>
      <c r="AL283" s="99">
        <v>88.526636439013998</v>
      </c>
      <c r="AM283" s="99">
        <v>95.941540980494693</v>
      </c>
      <c r="AN283" s="99">
        <v>77.729059027477007</v>
      </c>
    </row>
    <row r="284" spans="1:40" s="30" customFormat="1" ht="16.2" thickBot="1">
      <c r="A284"/>
      <c r="B284" s="29"/>
      <c r="C284" s="44" t="s">
        <v>876</v>
      </c>
      <c r="D284" s="39" t="s">
        <v>27</v>
      </c>
      <c r="E284" s="39" t="s">
        <v>605</v>
      </c>
      <c r="F284" t="s">
        <v>873</v>
      </c>
      <c r="G284" s="41">
        <f>VLOOKUP(F284,'(3) Demographie &amp; Departements'!$G$8:$J$526,4,0)</f>
        <v>24825.647384316206</v>
      </c>
      <c r="H284" s="96">
        <f t="shared" si="16"/>
        <v>11419.797796785455</v>
      </c>
      <c r="I284" s="132">
        <f t="shared" si="17"/>
        <v>0.95</v>
      </c>
      <c r="J284" s="133">
        <f t="shared" si="18"/>
        <v>0.85</v>
      </c>
      <c r="K284" s="134">
        <f t="shared" si="19"/>
        <v>0.75</v>
      </c>
      <c r="L284" s="42"/>
      <c r="M284" s="42"/>
      <c r="N284" s="39" t="s">
        <v>27</v>
      </c>
      <c r="O284" s="39" t="s">
        <v>605</v>
      </c>
      <c r="P284" t="s">
        <v>873</v>
      </c>
      <c r="Q284" s="99">
        <v>86.834676852323398</v>
      </c>
      <c r="R284" s="99">
        <v>100</v>
      </c>
      <c r="S284" s="99">
        <v>87.944217481452696</v>
      </c>
      <c r="T284" s="99">
        <v>92.080398410907193</v>
      </c>
      <c r="U284" s="99">
        <v>95.6044819202003</v>
      </c>
      <c r="V284" s="99">
        <v>95.811728958848903</v>
      </c>
      <c r="W284" s="99">
        <v>93.639523262170499</v>
      </c>
      <c r="X284" s="99">
        <v>100</v>
      </c>
      <c r="Y284" s="99">
        <v>100</v>
      </c>
      <c r="Z284" s="99">
        <v>98.540059232951094</v>
      </c>
      <c r="AA284" s="99">
        <v>99.944237056473398</v>
      </c>
      <c r="AB284" s="99">
        <v>99.857084210598501</v>
      </c>
      <c r="AC284" s="99">
        <v>75.096377968757295</v>
      </c>
      <c r="AD284" s="99">
        <v>91.692109930489806</v>
      </c>
      <c r="AE284" s="99">
        <v>81.255201906689294</v>
      </c>
      <c r="AF284" s="99">
        <v>92.601344506385999</v>
      </c>
      <c r="AG284" s="99">
        <v>86.058811950779003</v>
      </c>
      <c r="AH284" s="99">
        <v>85.759543725021004</v>
      </c>
      <c r="AI284" s="99">
        <v>99.500966774519298</v>
      </c>
      <c r="AJ284" s="99">
        <v>88.850773239345997</v>
      </c>
      <c r="AK284" s="99">
        <v>100</v>
      </c>
      <c r="AL284" s="99">
        <v>99.384919429216396</v>
      </c>
      <c r="AM284" s="99">
        <v>100</v>
      </c>
      <c r="AN284" s="99">
        <v>82.063109417931798</v>
      </c>
    </row>
    <row r="285" spans="1:40" ht="15.6">
      <c r="I285" s="35"/>
      <c r="J285" s="35"/>
      <c r="K285" s="35"/>
      <c r="L285" s="35"/>
      <c r="M285" s="35"/>
      <c r="N285" s="35"/>
      <c r="O285" s="35"/>
      <c r="P285" s="35"/>
    </row>
    <row r="286" spans="1:40" ht="15.6">
      <c r="I286" s="35"/>
      <c r="J286" s="35"/>
      <c r="K286" s="35"/>
      <c r="L286" s="35"/>
      <c r="M286" s="35"/>
      <c r="N286" s="35"/>
      <c r="O286" s="35"/>
      <c r="P286" s="35"/>
    </row>
    <row r="287" spans="1:40" ht="15.6">
      <c r="I287" s="35"/>
      <c r="J287" s="35"/>
      <c r="K287" s="35"/>
      <c r="L287" s="35"/>
      <c r="M287" s="35"/>
      <c r="N287" s="35"/>
      <c r="O287" s="35"/>
      <c r="P287" s="35"/>
    </row>
    <row r="288" spans="1:40" ht="15.6">
      <c r="I288" s="35"/>
      <c r="J288" s="35"/>
      <c r="K288" s="35"/>
      <c r="L288" s="35"/>
      <c r="M288" s="35"/>
      <c r="N288" s="35"/>
      <c r="O288" s="35"/>
      <c r="P288" s="35"/>
    </row>
    <row r="289" spans="4:59" ht="15.6">
      <c r="I289" s="35"/>
      <c r="J289" s="35"/>
      <c r="K289" s="35"/>
      <c r="L289" s="35"/>
      <c r="M289" s="35"/>
      <c r="N289" s="35"/>
      <c r="O289" s="35"/>
      <c r="P289" s="35"/>
      <c r="R289" s="34"/>
      <c r="S289" s="34"/>
      <c r="T289" s="34"/>
      <c r="U289" s="30"/>
      <c r="V289" s="30"/>
      <c r="W289" s="30"/>
      <c r="X289" s="30"/>
      <c r="Y289" s="30"/>
      <c r="Z289" s="30"/>
      <c r="AA289" s="30"/>
      <c r="AB289" s="30"/>
      <c r="AC289" s="30"/>
      <c r="AD289" s="30"/>
      <c r="AE289" s="30"/>
      <c r="AF289" s="30"/>
      <c r="AG289" s="30"/>
      <c r="AH289" s="30"/>
      <c r="AI289" s="30"/>
      <c r="AJ289" s="30"/>
    </row>
    <row r="290" spans="4:59" ht="15.6">
      <c r="I290" s="35"/>
      <c r="J290" s="35"/>
      <c r="K290" s="35"/>
      <c r="L290" s="35"/>
      <c r="M290" s="35"/>
      <c r="N290" s="35"/>
      <c r="O290" s="35"/>
      <c r="P290" s="35"/>
    </row>
    <row r="291" spans="4:59" ht="15.6">
      <c r="I291" s="35"/>
      <c r="J291" s="35"/>
      <c r="K291" s="35"/>
      <c r="L291" s="35"/>
      <c r="M291" s="34" t="s">
        <v>59</v>
      </c>
      <c r="N291" s="35"/>
      <c r="O291" s="35"/>
      <c r="P291" s="35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S291" s="46" t="s">
        <v>49</v>
      </c>
      <c r="AT291" s="47"/>
      <c r="AU291" s="47"/>
      <c r="AV291" s="47"/>
      <c r="AW291" s="48"/>
      <c r="AX291" s="48"/>
      <c r="AY291" s="48"/>
      <c r="AZ291" s="48"/>
      <c r="BA291" s="48"/>
      <c r="BB291" s="48"/>
      <c r="BC291" s="48"/>
      <c r="BD291" s="48"/>
      <c r="BE291" s="46" t="s">
        <v>50</v>
      </c>
      <c r="BF291" s="47"/>
      <c r="BG291" s="47"/>
    </row>
    <row r="292" spans="4:59" ht="15.6">
      <c r="D292" s="38"/>
      <c r="M292" s="38"/>
      <c r="N292" s="38" t="s">
        <v>25</v>
      </c>
      <c r="O292" s="40" t="s">
        <v>875</v>
      </c>
      <c r="P292" s="40" t="s">
        <v>874</v>
      </c>
      <c r="Q292" s="41">
        <v>2001</v>
      </c>
      <c r="R292" s="41">
        <v>2002</v>
      </c>
      <c r="S292" s="41">
        <v>2003</v>
      </c>
      <c r="T292" s="41">
        <v>2004</v>
      </c>
      <c r="U292" s="41">
        <v>2005</v>
      </c>
      <c r="V292" s="41">
        <v>2006</v>
      </c>
      <c r="W292" s="41">
        <v>2007</v>
      </c>
      <c r="X292" s="41">
        <v>2008</v>
      </c>
      <c r="Y292" s="41">
        <v>2009</v>
      </c>
      <c r="Z292" s="41">
        <v>2010</v>
      </c>
      <c r="AA292" s="41">
        <v>2011</v>
      </c>
      <c r="AB292" s="41">
        <v>2012</v>
      </c>
      <c r="AC292" s="41">
        <v>2013</v>
      </c>
      <c r="AD292" s="41">
        <v>2014</v>
      </c>
      <c r="AE292" s="41">
        <v>2015</v>
      </c>
      <c r="AF292" s="41">
        <v>2016</v>
      </c>
      <c r="AG292" s="41">
        <v>2017</v>
      </c>
      <c r="AH292" s="41">
        <v>2018</v>
      </c>
      <c r="AI292" s="41">
        <v>2019</v>
      </c>
      <c r="AJ292" s="41">
        <v>2020</v>
      </c>
      <c r="AK292" s="41">
        <v>2021</v>
      </c>
      <c r="AL292" s="41">
        <v>2022</v>
      </c>
      <c r="AM292" s="41">
        <v>2023</v>
      </c>
      <c r="AN292" s="41">
        <v>2024</v>
      </c>
      <c r="AS292" s="49" t="s">
        <v>51</v>
      </c>
      <c r="AT292" s="49" t="s">
        <v>52</v>
      </c>
      <c r="AU292" s="49" t="s">
        <v>53</v>
      </c>
      <c r="AV292" s="49"/>
      <c r="AW292" s="49" t="s">
        <v>29</v>
      </c>
      <c r="AX292" s="49" t="s">
        <v>30</v>
      </c>
      <c r="AY292" s="49" t="s">
        <v>31</v>
      </c>
      <c r="AZ292" s="48"/>
      <c r="BA292" s="49" t="s">
        <v>29</v>
      </c>
      <c r="BB292" s="49" t="s">
        <v>30</v>
      </c>
      <c r="BC292" s="49" t="s">
        <v>31</v>
      </c>
      <c r="BD292" s="48"/>
      <c r="BE292" s="49" t="s">
        <v>29</v>
      </c>
      <c r="BF292" s="49" t="s">
        <v>30</v>
      </c>
      <c r="BG292" s="49" t="s">
        <v>31</v>
      </c>
    </row>
    <row r="293" spans="4:59" ht="15.6">
      <c r="D293" s="44"/>
      <c r="M293" s="42"/>
      <c r="N293" s="39" t="s">
        <v>26</v>
      </c>
      <c r="O293" s="39" t="s">
        <v>262</v>
      </c>
      <c r="P293" t="s">
        <v>620</v>
      </c>
      <c r="Q293" s="39"/>
      <c r="R293" s="41"/>
      <c r="S293" s="42"/>
      <c r="T293" s="42"/>
      <c r="U293" s="42"/>
      <c r="V293" s="45">
        <f t="shared" ref="V293:V356" si="20">V8/MEDIAN(Q8:U8)</f>
        <v>1</v>
      </c>
      <c r="W293" s="45">
        <f t="shared" ref="W293:W356" si="21">W8/MEDIAN(R8:V8)</f>
        <v>1</v>
      </c>
      <c r="X293" s="45">
        <f t="shared" ref="X293:X356" si="22">X8/MEDIAN(S8:W8)</f>
        <v>1</v>
      </c>
      <c r="Y293" s="45">
        <f t="shared" ref="Y293:Y356" si="23">Y8/MEDIAN(T8:X8)</f>
        <v>1</v>
      </c>
      <c r="Z293" s="45">
        <f t="shared" ref="Z293:Z356" si="24">Z8/MEDIAN(U8:Y8)</f>
        <v>1</v>
      </c>
      <c r="AA293" s="45">
        <f t="shared" ref="AA293:AA356" si="25">AA8/MEDIAN(V8:Z8)</f>
        <v>1</v>
      </c>
      <c r="AB293" s="45">
        <f t="shared" ref="AB293:AB356" si="26">AB8/MEDIAN(W8:AA8)</f>
        <v>1</v>
      </c>
      <c r="AC293" s="45">
        <f t="shared" ref="AC293:AC356" si="27">AC8/MEDIAN(X8:AB8)</f>
        <v>1</v>
      </c>
      <c r="AD293" s="45">
        <f t="shared" ref="AD293:AD356" si="28">AD8/MEDIAN(Y8:AC8)</f>
        <v>1</v>
      </c>
      <c r="AE293" s="45">
        <f t="shared" ref="AE293:AE356" si="29">AE8/MEDIAN(Z8:AD8)</f>
        <v>1</v>
      </c>
      <c r="AF293" s="45">
        <f t="shared" ref="AF293:AF356" si="30">AF8/MEDIAN(AA8:AE8)</f>
        <v>1</v>
      </c>
      <c r="AG293" s="45">
        <f t="shared" ref="AG293:AG356" si="31">AG8/MEDIAN(AB8:AF8)</f>
        <v>1</v>
      </c>
      <c r="AH293" s="45">
        <f t="shared" ref="AH293:AH356" si="32">AH8/MEDIAN(AC8:AG8)</f>
        <v>1</v>
      </c>
      <c r="AI293" s="45">
        <f t="shared" ref="AI293:AI356" si="33">AI8/MEDIAN(AD8:AH8)</f>
        <v>1</v>
      </c>
      <c r="AJ293" s="45">
        <f t="shared" ref="AJ293:AJ356" si="34">AJ8/MEDIAN(AE8:AI8)</f>
        <v>1</v>
      </c>
      <c r="AK293" s="45">
        <f t="shared" ref="AK293:AM293" si="35">AK8/MEDIAN(AF8:AJ8)</f>
        <v>1</v>
      </c>
      <c r="AL293" s="45">
        <f t="shared" si="35"/>
        <v>1</v>
      </c>
      <c r="AM293" s="45">
        <f t="shared" si="35"/>
        <v>1</v>
      </c>
      <c r="AN293" s="45">
        <f>AN8/MEDIAN(AI8:AM8)</f>
        <v>1</v>
      </c>
      <c r="AS293" s="50" cm="1">
        <f t="array" ref="AS293">SUMPRODUCT(($V293:$AN293&lt;=$I8)*(1))/COUNT($V293:$AN293)</f>
        <v>0</v>
      </c>
      <c r="AT293" s="50" cm="1">
        <f t="array" ref="AT293">SUMPRODUCT(($V293:$AN293&lt;=$J8)*(1))/COUNT($V293:$AN293)</f>
        <v>0</v>
      </c>
      <c r="AU293" s="50" cm="1">
        <f t="array" ref="AU293">SUMPRODUCT(($V293:$AN293&lt;=$K8)*(1))/COUNT($V293:$AN293)</f>
        <v>0</v>
      </c>
      <c r="AV293" s="51"/>
      <c r="AW293" s="52" cm="1">
        <f t="array" ref="AW293">SUMPRODUCT(($V293:$AN293&lt;=$I8)*(1))</f>
        <v>0</v>
      </c>
      <c r="AX293" s="52" cm="1">
        <f t="array" ref="AX293">SUMPRODUCT(($V293:$AN293&lt;=$J8)*(1))</f>
        <v>0</v>
      </c>
      <c r="AY293" s="52" cm="1">
        <f t="array" ref="AY293">SUMPRODUCT(($V293:$AN293&lt;=$K8)*(1))</f>
        <v>0</v>
      </c>
      <c r="AZ293" s="48"/>
      <c r="BA293" s="52">
        <f>AW293-AX293</f>
        <v>0</v>
      </c>
      <c r="BB293" s="52">
        <f>AX293-AY293</f>
        <v>0</v>
      </c>
      <c r="BC293" s="52">
        <f>AY293</f>
        <v>0</v>
      </c>
      <c r="BD293" s="48"/>
      <c r="BE293" s="50">
        <f>BA293/COUNT($V293:$AN293)</f>
        <v>0</v>
      </c>
      <c r="BF293" s="50">
        <f>BB293/COUNT($V293:$AN293)</f>
        <v>0</v>
      </c>
      <c r="BG293" s="50">
        <f>BC293/COUNT($V293:$AN293)</f>
        <v>0</v>
      </c>
    </row>
    <row r="294" spans="4:59" ht="15.6">
      <c r="D294" s="44"/>
      <c r="M294" s="42"/>
      <c r="N294" s="39" t="s">
        <v>26</v>
      </c>
      <c r="O294" s="39" t="s">
        <v>248</v>
      </c>
      <c r="P294" t="s">
        <v>621</v>
      </c>
      <c r="R294" s="41"/>
      <c r="S294" s="42"/>
      <c r="T294" s="42"/>
      <c r="U294" s="42"/>
      <c r="V294" s="45">
        <f t="shared" si="20"/>
        <v>1.0018354138226198</v>
      </c>
      <c r="W294" s="45">
        <f t="shared" si="21"/>
        <v>0.91035808308283983</v>
      </c>
      <c r="X294" s="45">
        <f t="shared" si="22"/>
        <v>1.0018354138226198</v>
      </c>
      <c r="Y294" s="45">
        <f t="shared" si="23"/>
        <v>0.99071949723996089</v>
      </c>
      <c r="Z294" s="45">
        <f t="shared" si="24"/>
        <v>0.99801612273107676</v>
      </c>
      <c r="AA294" s="45">
        <f t="shared" si="25"/>
        <v>0.95552006922510702</v>
      </c>
      <c r="AB294" s="45">
        <f t="shared" si="26"/>
        <v>1.0112200442341417</v>
      </c>
      <c r="AC294" s="45">
        <f t="shared" si="27"/>
        <v>1.0050038283439602</v>
      </c>
      <c r="AD294" s="45">
        <f t="shared" si="28"/>
        <v>1.0050038283439602</v>
      </c>
      <c r="AE294" s="45">
        <f t="shared" si="29"/>
        <v>0.8575263474848509</v>
      </c>
      <c r="AF294" s="45">
        <f t="shared" si="30"/>
        <v>0.99849027701445492</v>
      </c>
      <c r="AG294" s="45">
        <f t="shared" si="31"/>
        <v>1</v>
      </c>
      <c r="AH294" s="45">
        <f t="shared" si="32"/>
        <v>0.99560978816094003</v>
      </c>
      <c r="AI294" s="45">
        <f t="shared" si="33"/>
        <v>0.99913767373518003</v>
      </c>
      <c r="AJ294" s="45">
        <f t="shared" si="34"/>
        <v>1.0023763811760209</v>
      </c>
      <c r="AK294" s="45">
        <f t="shared" ref="AK294:AK357" si="36">AK9/MEDIAN(AF9:AJ9)</f>
        <v>0.99680977151585337</v>
      </c>
      <c r="AL294" s="45">
        <f t="shared" ref="AL294:AL357" si="37">AL9/MEDIAN(AG9:AK9)</f>
        <v>1.0023763811760209</v>
      </c>
      <c r="AM294" s="45">
        <f t="shared" ref="AM294:AM357" si="38">AM9/MEDIAN(AH9:AL9)</f>
        <v>1.0023763811760209</v>
      </c>
      <c r="AN294" s="45">
        <f t="shared" ref="AN294:AN357" si="39">AN9/MEDIAN(AI9:AM9)</f>
        <v>0.98055896124101694</v>
      </c>
      <c r="AS294" s="50" cm="1">
        <f t="array" ref="AS294">SUMPRODUCT(($V294:$AN294&lt;=$I9)*(1))/COUNT($V294:$AN294)</f>
        <v>0.10526315789473684</v>
      </c>
      <c r="AT294" s="50" cm="1">
        <f t="array" ref="AT294">SUMPRODUCT(($V294:$AN294&lt;=$J9)*(1))/COUNT($V294:$AN294)</f>
        <v>0</v>
      </c>
      <c r="AU294" s="50" cm="1">
        <f t="array" ref="AU294">SUMPRODUCT(($V294:$AN294&lt;=$K9)*(1))/COUNT($V294:$AN294)</f>
        <v>0</v>
      </c>
      <c r="AV294" s="47"/>
      <c r="AW294" s="52" cm="1">
        <f t="array" ref="AW294">SUMPRODUCT(($V294:$AN294&lt;=$I9)*(1))</f>
        <v>2</v>
      </c>
      <c r="AX294" s="52" cm="1">
        <f t="array" ref="AX294">SUMPRODUCT(($V294:$AN294&lt;=$J9)*(1))</f>
        <v>0</v>
      </c>
      <c r="AY294" s="52" cm="1">
        <f t="array" ref="AY294">SUMPRODUCT(($V294:$AN294&lt;=$K9)*(1))</f>
        <v>0</v>
      </c>
      <c r="AZ294" s="48"/>
      <c r="BA294" s="52">
        <f t="shared" ref="BA294:BA306" si="40">AW294-AX294</f>
        <v>2</v>
      </c>
      <c r="BB294" s="52">
        <f t="shared" ref="BB294:BB306" si="41">AX294-AY294</f>
        <v>0</v>
      </c>
      <c r="BC294" s="52">
        <f t="shared" ref="BC294:BC306" si="42">AY294</f>
        <v>0</v>
      </c>
      <c r="BD294" s="48"/>
      <c r="BE294" s="50">
        <f t="shared" ref="BE294:BE357" si="43">BA294/COUNT($V294:$AN294)</f>
        <v>0.10526315789473684</v>
      </c>
      <c r="BF294" s="50">
        <f t="shared" ref="BF294:BF357" si="44">BB294/COUNT($V294:$AN294)</f>
        <v>0</v>
      </c>
      <c r="BG294" s="50">
        <f t="shared" ref="BG294:BG357" si="45">BC294/COUNT($V294:$AN294)</f>
        <v>0</v>
      </c>
    </row>
    <row r="295" spans="4:59" ht="15.6">
      <c r="D295" s="44"/>
      <c r="M295" s="42"/>
      <c r="N295" s="39" t="s">
        <v>26</v>
      </c>
      <c r="O295" s="39" t="s">
        <v>601</v>
      </c>
      <c r="P295" t="s">
        <v>622</v>
      </c>
      <c r="R295" s="41"/>
      <c r="S295" s="42"/>
      <c r="T295" s="42"/>
      <c r="U295" s="42"/>
      <c r="V295" s="45">
        <f t="shared" si="20"/>
        <v>1</v>
      </c>
      <c r="W295" s="45">
        <f t="shared" si="21"/>
        <v>0.95249777073324693</v>
      </c>
      <c r="X295" s="45">
        <f t="shared" si="22"/>
        <v>1.0498712235622192</v>
      </c>
      <c r="Y295" s="45">
        <f t="shared" si="23"/>
        <v>1.0498712235622192</v>
      </c>
      <c r="Z295" s="45">
        <f t="shared" si="24"/>
        <v>1</v>
      </c>
      <c r="AA295" s="45">
        <f t="shared" si="25"/>
        <v>1</v>
      </c>
      <c r="AB295" s="45">
        <f t="shared" si="26"/>
        <v>1</v>
      </c>
      <c r="AC295" s="45">
        <f t="shared" si="27"/>
        <v>0.90566277164835296</v>
      </c>
      <c r="AD295" s="45">
        <f t="shared" si="28"/>
        <v>1</v>
      </c>
      <c r="AE295" s="45">
        <f t="shared" si="29"/>
        <v>0.769246400734657</v>
      </c>
      <c r="AF295" s="45">
        <f t="shared" si="30"/>
        <v>0.93993673524232091</v>
      </c>
      <c r="AG295" s="45">
        <f t="shared" si="31"/>
        <v>1.0639013909188202</v>
      </c>
      <c r="AH295" s="45">
        <f t="shared" si="32"/>
        <v>1.0587731840146029</v>
      </c>
      <c r="AI295" s="45">
        <f t="shared" si="33"/>
        <v>1.0048435368232242</v>
      </c>
      <c r="AJ295" s="45">
        <f t="shared" si="34"/>
        <v>1.0048435368232242</v>
      </c>
      <c r="AK295" s="45">
        <f t="shared" si="36"/>
        <v>0.99653128365735699</v>
      </c>
      <c r="AL295" s="45">
        <f t="shared" si="37"/>
        <v>1</v>
      </c>
      <c r="AM295" s="45">
        <f t="shared" si="38"/>
        <v>1</v>
      </c>
      <c r="AN295" s="45">
        <f t="shared" si="39"/>
        <v>0.99978249018610199</v>
      </c>
      <c r="AS295" s="50" cm="1">
        <f t="array" ref="AS295">SUMPRODUCT(($V295:$AN295&lt;=$I10)*(1))/COUNT($V295:$AN295)</f>
        <v>0.15789473684210525</v>
      </c>
      <c r="AT295" s="50" cm="1">
        <f t="array" ref="AT295">SUMPRODUCT(($V295:$AN295&lt;=$J10)*(1))/COUNT($V295:$AN295)</f>
        <v>5.2631578947368418E-2</v>
      </c>
      <c r="AU295" s="50" cm="1">
        <f t="array" ref="AU295">SUMPRODUCT(($V295:$AN295&lt;=$K10)*(1))/COUNT($V295:$AN295)</f>
        <v>0</v>
      </c>
      <c r="AV295" s="47"/>
      <c r="AW295" s="52" cm="1">
        <f t="array" ref="AW295">SUMPRODUCT(($V295:$AN295&lt;=$I10)*(1))</f>
        <v>3</v>
      </c>
      <c r="AX295" s="52" cm="1">
        <f t="array" ref="AX295">SUMPRODUCT(($V295:$AN295&lt;=$J10)*(1))</f>
        <v>1</v>
      </c>
      <c r="AY295" s="52" cm="1">
        <f t="array" ref="AY295">SUMPRODUCT(($V295:$AN295&lt;=$K10)*(1))</f>
        <v>0</v>
      </c>
      <c r="AZ295" s="48"/>
      <c r="BA295" s="52">
        <f t="shared" si="40"/>
        <v>2</v>
      </c>
      <c r="BB295" s="52">
        <f t="shared" si="41"/>
        <v>1</v>
      </c>
      <c r="BC295" s="52">
        <f t="shared" si="42"/>
        <v>0</v>
      </c>
      <c r="BD295" s="48"/>
      <c r="BE295" s="50">
        <f t="shared" si="43"/>
        <v>0.10526315789473684</v>
      </c>
      <c r="BF295" s="50">
        <f t="shared" si="44"/>
        <v>5.2631578947368418E-2</v>
      </c>
      <c r="BG295" s="50">
        <f t="shared" si="45"/>
        <v>0</v>
      </c>
    </row>
    <row r="296" spans="4:59" ht="15.6">
      <c r="D296" s="44"/>
      <c r="M296" s="42"/>
      <c r="N296" s="39" t="s">
        <v>26</v>
      </c>
      <c r="O296" s="39" t="s">
        <v>248</v>
      </c>
      <c r="P296" t="s">
        <v>623</v>
      </c>
      <c r="R296" s="41"/>
      <c r="S296" s="42"/>
      <c r="T296" s="42"/>
      <c r="U296" s="42"/>
      <c r="V296" s="45">
        <f t="shared" si="20"/>
        <v>1</v>
      </c>
      <c r="W296" s="45">
        <f t="shared" si="21"/>
        <v>0.923642376603657</v>
      </c>
      <c r="X296" s="45">
        <f t="shared" si="22"/>
        <v>1</v>
      </c>
      <c r="Y296" s="45">
        <f t="shared" si="23"/>
        <v>1</v>
      </c>
      <c r="Z296" s="45">
        <f t="shared" si="24"/>
        <v>0.99925043540268699</v>
      </c>
      <c r="AA296" s="45">
        <f t="shared" si="25"/>
        <v>0.98874753372468105</v>
      </c>
      <c r="AB296" s="45">
        <f t="shared" si="26"/>
        <v>1.0007501268658552</v>
      </c>
      <c r="AC296" s="45">
        <f t="shared" si="27"/>
        <v>1</v>
      </c>
      <c r="AD296" s="45">
        <f t="shared" si="28"/>
        <v>1</v>
      </c>
      <c r="AE296" s="45">
        <f t="shared" si="29"/>
        <v>0.89348607098263999</v>
      </c>
      <c r="AF296" s="45">
        <f t="shared" si="30"/>
        <v>1</v>
      </c>
      <c r="AG296" s="45">
        <f t="shared" si="31"/>
        <v>1</v>
      </c>
      <c r="AH296" s="45">
        <f t="shared" si="32"/>
        <v>1</v>
      </c>
      <c r="AI296" s="45">
        <f t="shared" si="33"/>
        <v>1</v>
      </c>
      <c r="AJ296" s="45">
        <f t="shared" si="34"/>
        <v>1</v>
      </c>
      <c r="AK296" s="45">
        <f t="shared" si="36"/>
        <v>1</v>
      </c>
      <c r="AL296" s="45">
        <f t="shared" si="37"/>
        <v>1</v>
      </c>
      <c r="AM296" s="45">
        <f t="shared" si="38"/>
        <v>1</v>
      </c>
      <c r="AN296" s="45">
        <f t="shared" si="39"/>
        <v>0.99938185487515396</v>
      </c>
      <c r="AS296" s="50" cm="1">
        <f t="array" ref="AS296">SUMPRODUCT(($V296:$AN296&lt;=$I11)*(1))/COUNT($V296:$AN296)</f>
        <v>0.10526315789473684</v>
      </c>
      <c r="AT296" s="50" cm="1">
        <f t="array" ref="AT296">SUMPRODUCT(($V296:$AN296&lt;=$J11)*(1))/COUNT($V296:$AN296)</f>
        <v>0</v>
      </c>
      <c r="AU296" s="50" cm="1">
        <f t="array" ref="AU296">SUMPRODUCT(($V296:$AN296&lt;=$K11)*(1))/COUNT($V296:$AN296)</f>
        <v>0</v>
      </c>
      <c r="AV296" s="47"/>
      <c r="AW296" s="52" cm="1">
        <f t="array" ref="AW296">SUMPRODUCT(($V296:$AN296&lt;=$I11)*(1))</f>
        <v>2</v>
      </c>
      <c r="AX296" s="52" cm="1">
        <f t="array" ref="AX296">SUMPRODUCT(($V296:$AN296&lt;=$J11)*(1))</f>
        <v>0</v>
      </c>
      <c r="AY296" s="52" cm="1">
        <f t="array" ref="AY296">SUMPRODUCT(($V296:$AN296&lt;=$K11)*(1))</f>
        <v>0</v>
      </c>
      <c r="AZ296" s="48"/>
      <c r="BA296" s="52">
        <f t="shared" si="40"/>
        <v>2</v>
      </c>
      <c r="BB296" s="52">
        <f t="shared" si="41"/>
        <v>0</v>
      </c>
      <c r="BC296" s="52">
        <f t="shared" si="42"/>
        <v>0</v>
      </c>
      <c r="BD296" s="48"/>
      <c r="BE296" s="50">
        <f t="shared" si="43"/>
        <v>0.10526315789473684</v>
      </c>
      <c r="BF296" s="50">
        <f t="shared" si="44"/>
        <v>0</v>
      </c>
      <c r="BG296" s="50">
        <f t="shared" si="45"/>
        <v>0</v>
      </c>
    </row>
    <row r="297" spans="4:59" ht="15.6">
      <c r="D297" s="44"/>
      <c r="M297" s="42"/>
      <c r="N297" s="39" t="s">
        <v>26</v>
      </c>
      <c r="O297" s="39" t="s">
        <v>273</v>
      </c>
      <c r="P297" t="s">
        <v>624</v>
      </c>
      <c r="R297" s="41"/>
      <c r="S297" s="42"/>
      <c r="T297" s="42"/>
      <c r="U297" s="42"/>
      <c r="V297" s="45">
        <f t="shared" si="20"/>
        <v>1</v>
      </c>
      <c r="W297" s="45">
        <f t="shared" si="21"/>
        <v>1</v>
      </c>
      <c r="X297" s="45">
        <f t="shared" si="22"/>
        <v>1</v>
      </c>
      <c r="Y297" s="45">
        <f t="shared" si="23"/>
        <v>1</v>
      </c>
      <c r="Z297" s="45">
        <f t="shared" si="24"/>
        <v>1</v>
      </c>
      <c r="AA297" s="45">
        <f t="shared" si="25"/>
        <v>1</v>
      </c>
      <c r="AB297" s="45">
        <f t="shared" si="26"/>
        <v>1</v>
      </c>
      <c r="AC297" s="45">
        <f t="shared" si="27"/>
        <v>1</v>
      </c>
      <c r="AD297" s="45">
        <f t="shared" si="28"/>
        <v>1</v>
      </c>
      <c r="AE297" s="45">
        <f t="shared" si="29"/>
        <v>1</v>
      </c>
      <c r="AF297" s="45">
        <f t="shared" si="30"/>
        <v>1</v>
      </c>
      <c r="AG297" s="45">
        <f t="shared" si="31"/>
        <v>1</v>
      </c>
      <c r="AH297" s="45">
        <f t="shared" si="32"/>
        <v>1</v>
      </c>
      <c r="AI297" s="45">
        <f t="shared" si="33"/>
        <v>1</v>
      </c>
      <c r="AJ297" s="45">
        <f t="shared" si="34"/>
        <v>1</v>
      </c>
      <c r="AK297" s="45">
        <f t="shared" si="36"/>
        <v>1</v>
      </c>
      <c r="AL297" s="45">
        <f t="shared" si="37"/>
        <v>1</v>
      </c>
      <c r="AM297" s="45">
        <f t="shared" si="38"/>
        <v>1</v>
      </c>
      <c r="AN297" s="45">
        <f t="shared" si="39"/>
        <v>0.99222582574713403</v>
      </c>
      <c r="AS297" s="50" cm="1">
        <f t="array" ref="AS297">SUMPRODUCT(($V297:$AN297&lt;=$I12)*(1))/COUNT($V297:$AN297)</f>
        <v>0</v>
      </c>
      <c r="AT297" s="50" cm="1">
        <f t="array" ref="AT297">SUMPRODUCT(($V297:$AN297&lt;=$J12)*(1))/COUNT($V297:$AN297)</f>
        <v>0</v>
      </c>
      <c r="AU297" s="50" cm="1">
        <f t="array" ref="AU297">SUMPRODUCT(($V297:$AN297&lt;=$K12)*(1))/COUNT($V297:$AN297)</f>
        <v>0</v>
      </c>
      <c r="AV297" s="47"/>
      <c r="AW297" s="52" cm="1">
        <f t="array" ref="AW297">SUMPRODUCT(($V297:$AN297&lt;=$I12)*(1))</f>
        <v>0</v>
      </c>
      <c r="AX297" s="52" cm="1">
        <f t="array" ref="AX297">SUMPRODUCT(($V297:$AN297&lt;=$J12)*(1))</f>
        <v>0</v>
      </c>
      <c r="AY297" s="52" cm="1">
        <f t="array" ref="AY297">SUMPRODUCT(($V297:$AN297&lt;=$K12)*(1))</f>
        <v>0</v>
      </c>
      <c r="AZ297" s="48"/>
      <c r="BA297" s="52">
        <f t="shared" si="40"/>
        <v>0</v>
      </c>
      <c r="BB297" s="52">
        <f t="shared" si="41"/>
        <v>0</v>
      </c>
      <c r="BC297" s="52">
        <f t="shared" si="42"/>
        <v>0</v>
      </c>
      <c r="BD297" s="48"/>
      <c r="BE297" s="50">
        <f t="shared" si="43"/>
        <v>0</v>
      </c>
      <c r="BF297" s="50">
        <f t="shared" si="44"/>
        <v>0</v>
      </c>
      <c r="BG297" s="50">
        <f t="shared" si="45"/>
        <v>0</v>
      </c>
    </row>
    <row r="298" spans="4:59" ht="15.6">
      <c r="D298" s="44"/>
      <c r="M298" s="42"/>
      <c r="N298" s="39" t="s">
        <v>26</v>
      </c>
      <c r="O298" s="39" t="s">
        <v>498</v>
      </c>
      <c r="P298" t="s">
        <v>625</v>
      </c>
      <c r="R298" s="41"/>
      <c r="S298" s="42"/>
      <c r="T298" s="42"/>
      <c r="U298" s="42"/>
      <c r="V298" s="45">
        <f t="shared" si="20"/>
        <v>1</v>
      </c>
      <c r="W298" s="45">
        <f t="shared" si="21"/>
        <v>0.92058464272594809</v>
      </c>
      <c r="X298" s="45">
        <f t="shared" si="22"/>
        <v>1.0018233754517396</v>
      </c>
      <c r="Y298" s="45">
        <f t="shared" si="23"/>
        <v>0.98929725524784606</v>
      </c>
      <c r="Z298" s="45">
        <f t="shared" si="24"/>
        <v>0.99626105525249609</v>
      </c>
      <c r="AA298" s="45">
        <f t="shared" si="25"/>
        <v>0.987302456012635</v>
      </c>
      <c r="AB298" s="45">
        <f t="shared" si="26"/>
        <v>1.0146121113713007</v>
      </c>
      <c r="AC298" s="45">
        <f t="shared" si="27"/>
        <v>1.0108185327467352</v>
      </c>
      <c r="AD298" s="45">
        <f t="shared" si="28"/>
        <v>1.0108185327467352</v>
      </c>
      <c r="AE298" s="45">
        <f t="shared" si="29"/>
        <v>0.8913515234145799</v>
      </c>
      <c r="AF298" s="45">
        <f t="shared" si="30"/>
        <v>0.99152722635306201</v>
      </c>
      <c r="AG298" s="45">
        <f t="shared" si="31"/>
        <v>1</v>
      </c>
      <c r="AH298" s="45">
        <f t="shared" si="32"/>
        <v>0.99814677025478504</v>
      </c>
      <c r="AI298" s="45">
        <f t="shared" si="33"/>
        <v>0.96673024924934192</v>
      </c>
      <c r="AJ298" s="45">
        <f t="shared" si="34"/>
        <v>0.99989113676834473</v>
      </c>
      <c r="AK298" s="45">
        <f t="shared" si="36"/>
        <v>1.0042784586615994</v>
      </c>
      <c r="AL298" s="45">
        <f t="shared" si="37"/>
        <v>1.0011005305232201</v>
      </c>
      <c r="AM298" s="45">
        <f t="shared" si="38"/>
        <v>1.0042485391197242</v>
      </c>
      <c r="AN298" s="45">
        <f t="shared" si="39"/>
        <v>0.93221931631990373</v>
      </c>
      <c r="AS298" s="50" cm="1">
        <f t="array" ref="AS298">SUMPRODUCT(($V298:$AN298&lt;=$I13)*(1))/COUNT($V298:$AN298)</f>
        <v>0.15789473684210525</v>
      </c>
      <c r="AT298" s="50" cm="1">
        <f t="array" ref="AT298">SUMPRODUCT(($V298:$AN298&lt;=$J13)*(1))/COUNT($V298:$AN298)</f>
        <v>0</v>
      </c>
      <c r="AU298" s="50" cm="1">
        <f t="array" ref="AU298">SUMPRODUCT(($V298:$AN298&lt;=$K13)*(1))/COUNT($V298:$AN298)</f>
        <v>0</v>
      </c>
      <c r="AV298" s="47"/>
      <c r="AW298" s="52" cm="1">
        <f t="array" ref="AW298">SUMPRODUCT(($V298:$AN298&lt;=$I13)*(1))</f>
        <v>3</v>
      </c>
      <c r="AX298" s="52" cm="1">
        <f t="array" ref="AX298">SUMPRODUCT(($V298:$AN298&lt;=$J13)*(1))</f>
        <v>0</v>
      </c>
      <c r="AY298" s="52" cm="1">
        <f t="array" ref="AY298">SUMPRODUCT(($V298:$AN298&lt;=$K13)*(1))</f>
        <v>0</v>
      </c>
      <c r="AZ298" s="48"/>
      <c r="BA298" s="52">
        <f t="shared" si="40"/>
        <v>3</v>
      </c>
      <c r="BB298" s="52">
        <f t="shared" si="41"/>
        <v>0</v>
      </c>
      <c r="BC298" s="52">
        <f t="shared" si="42"/>
        <v>0</v>
      </c>
      <c r="BD298" s="48"/>
      <c r="BE298" s="50">
        <f t="shared" si="43"/>
        <v>0.15789473684210525</v>
      </c>
      <c r="BF298" s="50">
        <f t="shared" si="44"/>
        <v>0</v>
      </c>
      <c r="BG298" s="50">
        <f t="shared" si="45"/>
        <v>0</v>
      </c>
    </row>
    <row r="299" spans="4:59" ht="15.6">
      <c r="D299" s="44"/>
      <c r="M299" s="42"/>
      <c r="N299" s="39" t="s">
        <v>26</v>
      </c>
      <c r="O299" s="39" t="s">
        <v>235</v>
      </c>
      <c r="P299" t="s">
        <v>626</v>
      </c>
      <c r="R299" s="41"/>
      <c r="S299" s="42"/>
      <c r="T299" s="42"/>
      <c r="U299" s="42"/>
      <c r="V299" s="45">
        <f t="shared" si="20"/>
        <v>1</v>
      </c>
      <c r="W299" s="45">
        <f t="shared" si="21"/>
        <v>1</v>
      </c>
      <c r="X299" s="45">
        <f t="shared" si="22"/>
        <v>1</v>
      </c>
      <c r="Y299" s="45">
        <f t="shared" si="23"/>
        <v>1</v>
      </c>
      <c r="Z299" s="45">
        <f t="shared" si="24"/>
        <v>1</v>
      </c>
      <c r="AA299" s="45">
        <f t="shared" si="25"/>
        <v>1</v>
      </c>
      <c r="AB299" s="45">
        <f t="shared" si="26"/>
        <v>1</v>
      </c>
      <c r="AC299" s="45">
        <f t="shared" si="27"/>
        <v>1</v>
      </c>
      <c r="AD299" s="45">
        <f t="shared" si="28"/>
        <v>1</v>
      </c>
      <c r="AE299" s="45">
        <f t="shared" si="29"/>
        <v>1</v>
      </c>
      <c r="AF299" s="45">
        <f t="shared" si="30"/>
        <v>1</v>
      </c>
      <c r="AG299" s="45">
        <f t="shared" si="31"/>
        <v>1</v>
      </c>
      <c r="AH299" s="45">
        <f t="shared" si="32"/>
        <v>1</v>
      </c>
      <c r="AI299" s="45">
        <f t="shared" si="33"/>
        <v>1</v>
      </c>
      <c r="AJ299" s="45">
        <f t="shared" si="34"/>
        <v>1</v>
      </c>
      <c r="AK299" s="45">
        <f t="shared" si="36"/>
        <v>1</v>
      </c>
      <c r="AL299" s="45">
        <f t="shared" si="37"/>
        <v>1</v>
      </c>
      <c r="AM299" s="45">
        <f t="shared" si="38"/>
        <v>1</v>
      </c>
      <c r="AN299" s="45">
        <f t="shared" si="39"/>
        <v>1</v>
      </c>
      <c r="AS299" s="50" cm="1">
        <f t="array" ref="AS299">SUMPRODUCT(($V299:$AN299&lt;=$I14)*(1))/COUNT($V299:$AN299)</f>
        <v>0</v>
      </c>
      <c r="AT299" s="50" cm="1">
        <f t="array" ref="AT299">SUMPRODUCT(($V299:$AN299&lt;=$J14)*(1))/COUNT($V299:$AN299)</f>
        <v>0</v>
      </c>
      <c r="AU299" s="50" cm="1">
        <f t="array" ref="AU299">SUMPRODUCT(($V299:$AN299&lt;=$K14)*(1))/COUNT($V299:$AN299)</f>
        <v>0</v>
      </c>
      <c r="AV299" s="47"/>
      <c r="AW299" s="52" cm="1">
        <f t="array" ref="AW299">SUMPRODUCT(($V299:$AN299&lt;=$I14)*(1))</f>
        <v>0</v>
      </c>
      <c r="AX299" s="52" cm="1">
        <f t="array" ref="AX299">SUMPRODUCT(($V299:$AN299&lt;=$J14)*(1))</f>
        <v>0</v>
      </c>
      <c r="AY299" s="52" cm="1">
        <f t="array" ref="AY299">SUMPRODUCT(($V299:$AN299&lt;=$K14)*(1))</f>
        <v>0</v>
      </c>
      <c r="AZ299" s="48"/>
      <c r="BA299" s="52">
        <f t="shared" si="40"/>
        <v>0</v>
      </c>
      <c r="BB299" s="52">
        <f t="shared" si="41"/>
        <v>0</v>
      </c>
      <c r="BC299" s="52">
        <f t="shared" si="42"/>
        <v>0</v>
      </c>
      <c r="BD299" s="48"/>
      <c r="BE299" s="50">
        <f t="shared" si="43"/>
        <v>0</v>
      </c>
      <c r="BF299" s="50">
        <f t="shared" si="44"/>
        <v>0</v>
      </c>
      <c r="BG299" s="50">
        <f t="shared" si="45"/>
        <v>0</v>
      </c>
    </row>
    <row r="300" spans="4:59" ht="15.6">
      <c r="D300" s="44"/>
      <c r="M300" s="42"/>
      <c r="N300" s="39" t="s">
        <v>26</v>
      </c>
      <c r="O300" s="39" t="s">
        <v>251</v>
      </c>
      <c r="P300" t="s">
        <v>627</v>
      </c>
      <c r="R300" s="41"/>
      <c r="S300" s="42"/>
      <c r="T300" s="42"/>
      <c r="U300" s="42"/>
      <c r="V300" s="45">
        <f t="shared" si="20"/>
        <v>1</v>
      </c>
      <c r="W300" s="45">
        <f t="shared" si="21"/>
        <v>0.93354218844102599</v>
      </c>
      <c r="X300" s="45">
        <f t="shared" si="22"/>
        <v>1.0711888679288888</v>
      </c>
      <c r="Y300" s="45">
        <f t="shared" si="23"/>
        <v>1.0710515066969286</v>
      </c>
      <c r="Z300" s="45">
        <f t="shared" si="24"/>
        <v>1.0001282489507752</v>
      </c>
      <c r="AA300" s="45">
        <f t="shared" si="25"/>
        <v>1</v>
      </c>
      <c r="AB300" s="45">
        <f t="shared" si="26"/>
        <v>1</v>
      </c>
      <c r="AC300" s="45">
        <f t="shared" si="27"/>
        <v>1</v>
      </c>
      <c r="AD300" s="45">
        <f t="shared" si="28"/>
        <v>1</v>
      </c>
      <c r="AE300" s="45">
        <f t="shared" si="29"/>
        <v>0.86299556182666193</v>
      </c>
      <c r="AF300" s="45">
        <f t="shared" si="30"/>
        <v>0.88682365011140607</v>
      </c>
      <c r="AG300" s="45">
        <f t="shared" si="31"/>
        <v>0.99597556608349802</v>
      </c>
      <c r="AH300" s="45">
        <f t="shared" si="32"/>
        <v>0.98914702796326348</v>
      </c>
      <c r="AI300" s="45">
        <f t="shared" si="33"/>
        <v>1.0081190687494164</v>
      </c>
      <c r="AJ300" s="45">
        <f t="shared" si="34"/>
        <v>1.0150570815499829</v>
      </c>
      <c r="AK300" s="45">
        <f t="shared" si="36"/>
        <v>0.9959178055674639</v>
      </c>
      <c r="AL300" s="45">
        <f t="shared" si="37"/>
        <v>0.99023838684037579</v>
      </c>
      <c r="AM300" s="45">
        <f t="shared" si="38"/>
        <v>1.0110092726873103</v>
      </c>
      <c r="AN300" s="45">
        <f t="shared" si="39"/>
        <v>0.85789820969404629</v>
      </c>
      <c r="AS300" s="50" cm="1">
        <f t="array" ref="AS300">SUMPRODUCT(($V300:$AN300&lt;=$I15)*(1))/COUNT($V300:$AN300)</f>
        <v>0.21052631578947367</v>
      </c>
      <c r="AT300" s="50" cm="1">
        <f t="array" ref="AT300">SUMPRODUCT(($V300:$AN300&lt;=$J15)*(1))/COUNT($V300:$AN300)</f>
        <v>0</v>
      </c>
      <c r="AU300" s="50" cm="1">
        <f t="array" ref="AU300">SUMPRODUCT(($V300:$AN300&lt;=$K15)*(1))/COUNT($V300:$AN300)</f>
        <v>0</v>
      </c>
      <c r="AV300" s="47"/>
      <c r="AW300" s="52" cm="1">
        <f t="array" ref="AW300">SUMPRODUCT(($V300:$AN300&lt;=$I15)*(1))</f>
        <v>4</v>
      </c>
      <c r="AX300" s="52" cm="1">
        <f t="array" ref="AX300">SUMPRODUCT(($V300:$AN300&lt;=$J15)*(1))</f>
        <v>0</v>
      </c>
      <c r="AY300" s="52" cm="1">
        <f t="array" ref="AY300">SUMPRODUCT(($V300:$AN300&lt;=$K15)*(1))</f>
        <v>0</v>
      </c>
      <c r="AZ300" s="48"/>
      <c r="BA300" s="52">
        <f t="shared" si="40"/>
        <v>4</v>
      </c>
      <c r="BB300" s="52">
        <f t="shared" si="41"/>
        <v>0</v>
      </c>
      <c r="BC300" s="52">
        <f t="shared" si="42"/>
        <v>0</v>
      </c>
      <c r="BD300" s="48"/>
      <c r="BE300" s="50">
        <f t="shared" si="43"/>
        <v>0.21052631578947367</v>
      </c>
      <c r="BF300" s="50">
        <f t="shared" si="44"/>
        <v>0</v>
      </c>
      <c r="BG300" s="50">
        <f t="shared" si="45"/>
        <v>0</v>
      </c>
    </row>
    <row r="301" spans="4:59" ht="15.6">
      <c r="D301" s="44"/>
      <c r="M301" s="42"/>
      <c r="N301" s="39" t="s">
        <v>26</v>
      </c>
      <c r="O301" s="39" t="s">
        <v>278</v>
      </c>
      <c r="P301" t="s">
        <v>628</v>
      </c>
      <c r="R301" s="41"/>
      <c r="S301" s="42"/>
      <c r="T301" s="42"/>
      <c r="U301" s="42"/>
      <c r="V301" s="45">
        <f t="shared" si="20"/>
        <v>1</v>
      </c>
      <c r="W301" s="45">
        <f t="shared" si="21"/>
        <v>1</v>
      </c>
      <c r="X301" s="45">
        <f t="shared" si="22"/>
        <v>1</v>
      </c>
      <c r="Y301" s="45">
        <f t="shared" si="23"/>
        <v>1</v>
      </c>
      <c r="Z301" s="45">
        <f t="shared" si="24"/>
        <v>1</v>
      </c>
      <c r="AA301" s="45">
        <f t="shared" si="25"/>
        <v>1</v>
      </c>
      <c r="AB301" s="45">
        <f t="shared" si="26"/>
        <v>1</v>
      </c>
      <c r="AC301" s="45">
        <f t="shared" si="27"/>
        <v>1</v>
      </c>
      <c r="AD301" s="45">
        <f t="shared" si="28"/>
        <v>1</v>
      </c>
      <c r="AE301" s="45">
        <f t="shared" si="29"/>
        <v>1</v>
      </c>
      <c r="AF301" s="45">
        <f t="shared" si="30"/>
        <v>1</v>
      </c>
      <c r="AG301" s="45">
        <f t="shared" si="31"/>
        <v>1</v>
      </c>
      <c r="AH301" s="45">
        <f t="shared" si="32"/>
        <v>1</v>
      </c>
      <c r="AI301" s="45">
        <f t="shared" si="33"/>
        <v>1</v>
      </c>
      <c r="AJ301" s="45">
        <f t="shared" si="34"/>
        <v>1</v>
      </c>
      <c r="AK301" s="45">
        <f t="shared" si="36"/>
        <v>1</v>
      </c>
      <c r="AL301" s="45">
        <f t="shared" si="37"/>
        <v>1</v>
      </c>
      <c r="AM301" s="45">
        <f t="shared" si="38"/>
        <v>1</v>
      </c>
      <c r="AN301" s="45">
        <f t="shared" si="39"/>
        <v>1</v>
      </c>
      <c r="AS301" s="50" cm="1">
        <f t="array" ref="AS301">SUMPRODUCT(($V301:$AN301&lt;=$I16)*(1))/COUNT($V301:$AN301)</f>
        <v>0</v>
      </c>
      <c r="AT301" s="50" cm="1">
        <f t="array" ref="AT301">SUMPRODUCT(($V301:$AN301&lt;=$J16)*(1))/COUNT($V301:$AN301)</f>
        <v>0</v>
      </c>
      <c r="AU301" s="50" cm="1">
        <f t="array" ref="AU301">SUMPRODUCT(($V301:$AN301&lt;=$K16)*(1))/COUNT($V301:$AN301)</f>
        <v>0</v>
      </c>
      <c r="AV301" s="47"/>
      <c r="AW301" s="52" cm="1">
        <f t="array" ref="AW301">SUMPRODUCT(($V301:$AN301&lt;=$I16)*(1))</f>
        <v>0</v>
      </c>
      <c r="AX301" s="52" cm="1">
        <f t="array" ref="AX301">SUMPRODUCT(($V301:$AN301&lt;=$J16)*(1))</f>
        <v>0</v>
      </c>
      <c r="AY301" s="52" cm="1">
        <f t="array" ref="AY301">SUMPRODUCT(($V301:$AN301&lt;=$K16)*(1))</f>
        <v>0</v>
      </c>
      <c r="AZ301" s="48"/>
      <c r="BA301" s="52">
        <f t="shared" si="40"/>
        <v>0</v>
      </c>
      <c r="BB301" s="52">
        <f t="shared" si="41"/>
        <v>0</v>
      </c>
      <c r="BC301" s="52">
        <f t="shared" si="42"/>
        <v>0</v>
      </c>
      <c r="BD301" s="48"/>
      <c r="BE301" s="50">
        <f t="shared" si="43"/>
        <v>0</v>
      </c>
      <c r="BF301" s="50">
        <f t="shared" si="44"/>
        <v>0</v>
      </c>
      <c r="BG301" s="50">
        <f t="shared" si="45"/>
        <v>0</v>
      </c>
    </row>
    <row r="302" spans="4:59" ht="15.6">
      <c r="D302" s="44"/>
      <c r="M302" s="42"/>
      <c r="N302" s="39" t="s">
        <v>26</v>
      </c>
      <c r="O302" s="39" t="s">
        <v>576</v>
      </c>
      <c r="P302" t="s">
        <v>629</v>
      </c>
      <c r="R302" s="41"/>
      <c r="S302" s="42"/>
      <c r="T302" s="42"/>
      <c r="U302" s="42"/>
      <c r="V302" s="45">
        <f t="shared" si="20"/>
        <v>1</v>
      </c>
      <c r="W302" s="45">
        <f t="shared" si="21"/>
        <v>1</v>
      </c>
      <c r="X302" s="45">
        <f t="shared" si="22"/>
        <v>1</v>
      </c>
      <c r="Y302" s="45">
        <f t="shared" si="23"/>
        <v>1</v>
      </c>
      <c r="Z302" s="45">
        <f t="shared" si="24"/>
        <v>1</v>
      </c>
      <c r="AA302" s="45">
        <f t="shared" si="25"/>
        <v>1</v>
      </c>
      <c r="AB302" s="45">
        <f t="shared" si="26"/>
        <v>1</v>
      </c>
      <c r="AC302" s="45">
        <f t="shared" si="27"/>
        <v>0.97575032131098793</v>
      </c>
      <c r="AD302" s="45">
        <f t="shared" si="28"/>
        <v>1</v>
      </c>
      <c r="AE302" s="45">
        <f t="shared" si="29"/>
        <v>0.90180960559634105</v>
      </c>
      <c r="AF302" s="45">
        <f t="shared" si="30"/>
        <v>1</v>
      </c>
      <c r="AG302" s="45">
        <f t="shared" si="31"/>
        <v>1</v>
      </c>
      <c r="AH302" s="45">
        <f t="shared" si="32"/>
        <v>1</v>
      </c>
      <c r="AI302" s="45">
        <f t="shared" si="33"/>
        <v>1</v>
      </c>
      <c r="AJ302" s="45">
        <f t="shared" si="34"/>
        <v>1</v>
      </c>
      <c r="AK302" s="45">
        <f t="shared" si="36"/>
        <v>1</v>
      </c>
      <c r="AL302" s="45">
        <f t="shared" si="37"/>
        <v>1</v>
      </c>
      <c r="AM302" s="45">
        <f t="shared" si="38"/>
        <v>1</v>
      </c>
      <c r="AN302" s="45">
        <f t="shared" si="39"/>
        <v>1</v>
      </c>
      <c r="AS302" s="50" cm="1">
        <f t="array" ref="AS302">SUMPRODUCT(($V302:$AN302&lt;=$I17)*(1))/COUNT($V302:$AN302)</f>
        <v>5.2631578947368418E-2</v>
      </c>
      <c r="AT302" s="50" cm="1">
        <f t="array" ref="AT302">SUMPRODUCT(($V302:$AN302&lt;=$J17)*(1))/COUNT($V302:$AN302)</f>
        <v>0</v>
      </c>
      <c r="AU302" s="50" cm="1">
        <f t="array" ref="AU302">SUMPRODUCT(($V302:$AN302&lt;=$K17)*(1))/COUNT($V302:$AN302)</f>
        <v>0</v>
      </c>
      <c r="AV302" s="47"/>
      <c r="AW302" s="52" cm="1">
        <f t="array" ref="AW302">SUMPRODUCT(($V302:$AN302&lt;=$I17)*(1))</f>
        <v>1</v>
      </c>
      <c r="AX302" s="52" cm="1">
        <f t="array" ref="AX302">SUMPRODUCT(($V302:$AN302&lt;=$J17)*(1))</f>
        <v>0</v>
      </c>
      <c r="AY302" s="52" cm="1">
        <f t="array" ref="AY302">SUMPRODUCT(($V302:$AN302&lt;=$K17)*(1))</f>
        <v>0</v>
      </c>
      <c r="AZ302" s="48"/>
      <c r="BA302" s="52">
        <f t="shared" si="40"/>
        <v>1</v>
      </c>
      <c r="BB302" s="52">
        <f t="shared" si="41"/>
        <v>0</v>
      </c>
      <c r="BC302" s="52">
        <f t="shared" si="42"/>
        <v>0</v>
      </c>
      <c r="BD302" s="48"/>
      <c r="BE302" s="50">
        <f t="shared" si="43"/>
        <v>5.2631578947368418E-2</v>
      </c>
      <c r="BF302" s="50">
        <f t="shared" si="44"/>
        <v>0</v>
      </c>
      <c r="BG302" s="50">
        <f t="shared" si="45"/>
        <v>0</v>
      </c>
    </row>
    <row r="303" spans="4:59" ht="15.6">
      <c r="D303" s="44"/>
      <c r="M303" s="42"/>
      <c r="N303" s="39" t="s">
        <v>26</v>
      </c>
      <c r="O303" s="39" t="s">
        <v>270</v>
      </c>
      <c r="P303" t="s">
        <v>630</v>
      </c>
      <c r="R303" s="41"/>
      <c r="S303" s="42"/>
      <c r="T303" s="42"/>
      <c r="U303" s="42"/>
      <c r="V303" s="45">
        <f t="shared" si="20"/>
        <v>1</v>
      </c>
      <c r="W303" s="45">
        <f t="shared" si="21"/>
        <v>1</v>
      </c>
      <c r="X303" s="45">
        <f t="shared" si="22"/>
        <v>1</v>
      </c>
      <c r="Y303" s="45">
        <f t="shared" si="23"/>
        <v>1</v>
      </c>
      <c r="Z303" s="45">
        <f t="shared" si="24"/>
        <v>1</v>
      </c>
      <c r="AA303" s="45">
        <f t="shared" si="25"/>
        <v>1</v>
      </c>
      <c r="AB303" s="45">
        <f t="shared" si="26"/>
        <v>1</v>
      </c>
      <c r="AC303" s="45">
        <f t="shared" si="27"/>
        <v>1</v>
      </c>
      <c r="AD303" s="45">
        <f t="shared" si="28"/>
        <v>1</v>
      </c>
      <c r="AE303" s="45">
        <f t="shared" si="29"/>
        <v>1</v>
      </c>
      <c r="AF303" s="45">
        <f t="shared" si="30"/>
        <v>0.99964310890931007</v>
      </c>
      <c r="AG303" s="45">
        <f t="shared" si="31"/>
        <v>1</v>
      </c>
      <c r="AH303" s="45">
        <f t="shared" si="32"/>
        <v>1</v>
      </c>
      <c r="AI303" s="45">
        <f t="shared" si="33"/>
        <v>1</v>
      </c>
      <c r="AJ303" s="45">
        <f t="shared" si="34"/>
        <v>1</v>
      </c>
      <c r="AK303" s="45">
        <f t="shared" si="36"/>
        <v>1</v>
      </c>
      <c r="AL303" s="45">
        <f t="shared" si="37"/>
        <v>1</v>
      </c>
      <c r="AM303" s="45">
        <f t="shared" si="38"/>
        <v>1</v>
      </c>
      <c r="AN303" s="45">
        <f t="shared" si="39"/>
        <v>0.96026325039869809</v>
      </c>
      <c r="AS303" s="50" cm="1">
        <f t="array" ref="AS303">SUMPRODUCT(($V303:$AN303&lt;=$I18)*(1))/COUNT($V303:$AN303)</f>
        <v>0</v>
      </c>
      <c r="AT303" s="50" cm="1">
        <f t="array" ref="AT303">SUMPRODUCT(($V303:$AN303&lt;=$J18)*(1))/COUNT($V303:$AN303)</f>
        <v>0</v>
      </c>
      <c r="AU303" s="50" cm="1">
        <f t="array" ref="AU303">SUMPRODUCT(($V303:$AN303&lt;=$K18)*(1))/COUNT($V303:$AN303)</f>
        <v>0</v>
      </c>
      <c r="AV303" s="47"/>
      <c r="AW303" s="52" cm="1">
        <f t="array" ref="AW303">SUMPRODUCT(($V303:$AN303&lt;=$I18)*(1))</f>
        <v>0</v>
      </c>
      <c r="AX303" s="52" cm="1">
        <f t="array" ref="AX303">SUMPRODUCT(($V303:$AN303&lt;=$J18)*(1))</f>
        <v>0</v>
      </c>
      <c r="AY303" s="52" cm="1">
        <f t="array" ref="AY303">SUMPRODUCT(($V303:$AN303&lt;=$K18)*(1))</f>
        <v>0</v>
      </c>
      <c r="AZ303" s="48"/>
      <c r="BA303" s="52">
        <f t="shared" si="40"/>
        <v>0</v>
      </c>
      <c r="BB303" s="52">
        <f t="shared" si="41"/>
        <v>0</v>
      </c>
      <c r="BC303" s="52">
        <f t="shared" si="42"/>
        <v>0</v>
      </c>
      <c r="BD303" s="48"/>
      <c r="BE303" s="50">
        <f t="shared" si="43"/>
        <v>0</v>
      </c>
      <c r="BF303" s="50">
        <f t="shared" si="44"/>
        <v>0</v>
      </c>
      <c r="BG303" s="50">
        <f t="shared" si="45"/>
        <v>0</v>
      </c>
    </row>
    <row r="304" spans="4:59" ht="15.6">
      <c r="D304" s="44"/>
      <c r="M304" s="42"/>
      <c r="N304" s="39" t="s">
        <v>26</v>
      </c>
      <c r="O304" s="39" t="s">
        <v>278</v>
      </c>
      <c r="P304" t="s">
        <v>631</v>
      </c>
      <c r="R304" s="41"/>
      <c r="S304" s="42"/>
      <c r="T304" s="42"/>
      <c r="U304" s="42"/>
      <c r="V304" s="45">
        <f t="shared" si="20"/>
        <v>1</v>
      </c>
      <c r="W304" s="45">
        <f t="shared" si="21"/>
        <v>1</v>
      </c>
      <c r="X304" s="45">
        <f t="shared" si="22"/>
        <v>1</v>
      </c>
      <c r="Y304" s="45">
        <f t="shared" si="23"/>
        <v>1</v>
      </c>
      <c r="Z304" s="45">
        <f t="shared" si="24"/>
        <v>1</v>
      </c>
      <c r="AA304" s="45">
        <f t="shared" si="25"/>
        <v>1</v>
      </c>
      <c r="AB304" s="45">
        <f t="shared" si="26"/>
        <v>1</v>
      </c>
      <c r="AC304" s="45">
        <f t="shared" si="27"/>
        <v>1</v>
      </c>
      <c r="AD304" s="45">
        <f t="shared" si="28"/>
        <v>1</v>
      </c>
      <c r="AE304" s="45">
        <f t="shared" si="29"/>
        <v>1</v>
      </c>
      <c r="AF304" s="45">
        <f t="shared" si="30"/>
        <v>1</v>
      </c>
      <c r="AG304" s="45">
        <f t="shared" si="31"/>
        <v>1</v>
      </c>
      <c r="AH304" s="45">
        <f t="shared" si="32"/>
        <v>1</v>
      </c>
      <c r="AI304" s="45">
        <f t="shared" si="33"/>
        <v>1</v>
      </c>
      <c r="AJ304" s="45">
        <f t="shared" si="34"/>
        <v>1</v>
      </c>
      <c r="AK304" s="45">
        <f t="shared" si="36"/>
        <v>1</v>
      </c>
      <c r="AL304" s="45">
        <f t="shared" si="37"/>
        <v>1</v>
      </c>
      <c r="AM304" s="45">
        <f t="shared" si="38"/>
        <v>1</v>
      </c>
      <c r="AN304" s="45">
        <f t="shared" si="39"/>
        <v>1</v>
      </c>
      <c r="AS304" s="50" cm="1">
        <f t="array" ref="AS304">SUMPRODUCT(($V304:$AN304&lt;=$I19)*(1))/COUNT($V304:$AN304)</f>
        <v>0</v>
      </c>
      <c r="AT304" s="50" cm="1">
        <f t="array" ref="AT304">SUMPRODUCT(($V304:$AN304&lt;=$J19)*(1))/COUNT($V304:$AN304)</f>
        <v>0</v>
      </c>
      <c r="AU304" s="50" cm="1">
        <f t="array" ref="AU304">SUMPRODUCT(($V304:$AN304&lt;=$K19)*(1))/COUNT($V304:$AN304)</f>
        <v>0</v>
      </c>
      <c r="AV304" s="47"/>
      <c r="AW304" s="52" cm="1">
        <f t="array" ref="AW304">SUMPRODUCT(($V304:$AN304&lt;=$I19)*(1))</f>
        <v>0</v>
      </c>
      <c r="AX304" s="52" cm="1">
        <f t="array" ref="AX304">SUMPRODUCT(($V304:$AN304&lt;=$J19)*(1))</f>
        <v>0</v>
      </c>
      <c r="AY304" s="52" cm="1">
        <f t="array" ref="AY304">SUMPRODUCT(($V304:$AN304&lt;=$K19)*(1))</f>
        <v>0</v>
      </c>
      <c r="AZ304" s="48"/>
      <c r="BA304" s="52">
        <f t="shared" si="40"/>
        <v>0</v>
      </c>
      <c r="BB304" s="52">
        <f t="shared" si="41"/>
        <v>0</v>
      </c>
      <c r="BC304" s="52">
        <f t="shared" si="42"/>
        <v>0</v>
      </c>
      <c r="BD304" s="48"/>
      <c r="BE304" s="50">
        <f t="shared" si="43"/>
        <v>0</v>
      </c>
      <c r="BF304" s="50">
        <f t="shared" si="44"/>
        <v>0</v>
      </c>
      <c r="BG304" s="50">
        <f t="shared" si="45"/>
        <v>0</v>
      </c>
    </row>
    <row r="305" spans="4:59" ht="15.6">
      <c r="D305" s="44"/>
      <c r="M305" s="42"/>
      <c r="N305" s="39" t="s">
        <v>26</v>
      </c>
      <c r="O305" s="39" t="s">
        <v>273</v>
      </c>
      <c r="P305" t="s">
        <v>632</v>
      </c>
      <c r="R305" s="41"/>
      <c r="S305" s="42"/>
      <c r="T305" s="42"/>
      <c r="U305" s="42"/>
      <c r="V305" s="45">
        <f t="shared" si="20"/>
        <v>1</v>
      </c>
      <c r="W305" s="45">
        <f t="shared" si="21"/>
        <v>0.99852603304272602</v>
      </c>
      <c r="X305" s="45">
        <f t="shared" si="22"/>
        <v>1</v>
      </c>
      <c r="Y305" s="45">
        <f t="shared" si="23"/>
        <v>1</v>
      </c>
      <c r="Z305" s="45">
        <f t="shared" si="24"/>
        <v>1</v>
      </c>
      <c r="AA305" s="45">
        <f t="shared" si="25"/>
        <v>1</v>
      </c>
      <c r="AB305" s="45">
        <f t="shared" si="26"/>
        <v>1</v>
      </c>
      <c r="AC305" s="45">
        <f t="shared" si="27"/>
        <v>1</v>
      </c>
      <c r="AD305" s="45">
        <f t="shared" si="28"/>
        <v>1</v>
      </c>
      <c r="AE305" s="45">
        <f t="shared" si="29"/>
        <v>0.99493040149915302</v>
      </c>
      <c r="AF305" s="45">
        <f t="shared" si="30"/>
        <v>1</v>
      </c>
      <c r="AG305" s="45">
        <f t="shared" si="31"/>
        <v>1</v>
      </c>
      <c r="AH305" s="45">
        <f t="shared" si="32"/>
        <v>1</v>
      </c>
      <c r="AI305" s="45">
        <f t="shared" si="33"/>
        <v>1</v>
      </c>
      <c r="AJ305" s="45">
        <f t="shared" si="34"/>
        <v>1</v>
      </c>
      <c r="AK305" s="45">
        <f t="shared" si="36"/>
        <v>1</v>
      </c>
      <c r="AL305" s="45">
        <f t="shared" si="37"/>
        <v>1</v>
      </c>
      <c r="AM305" s="45">
        <f t="shared" si="38"/>
        <v>1</v>
      </c>
      <c r="AN305" s="45">
        <f t="shared" si="39"/>
        <v>0.98725414655487298</v>
      </c>
      <c r="AS305" s="50" cm="1">
        <f t="array" ref="AS305">SUMPRODUCT(($V305:$AN305&lt;=$I20)*(1))/COUNT($V305:$AN305)</f>
        <v>0</v>
      </c>
      <c r="AT305" s="50" cm="1">
        <f t="array" ref="AT305">SUMPRODUCT(($V305:$AN305&lt;=$J20)*(1))/COUNT($V305:$AN305)</f>
        <v>0</v>
      </c>
      <c r="AU305" s="50" cm="1">
        <f t="array" ref="AU305">SUMPRODUCT(($V305:$AN305&lt;=$K20)*(1))/COUNT($V305:$AN305)</f>
        <v>0</v>
      </c>
      <c r="AV305" s="47"/>
      <c r="AW305" s="52" cm="1">
        <f t="array" ref="AW305">SUMPRODUCT(($V305:$AN305&lt;=$I20)*(1))</f>
        <v>0</v>
      </c>
      <c r="AX305" s="52" cm="1">
        <f t="array" ref="AX305">SUMPRODUCT(($V305:$AN305&lt;=$J20)*(1))</f>
        <v>0</v>
      </c>
      <c r="AY305" s="52" cm="1">
        <f t="array" ref="AY305">SUMPRODUCT(($V305:$AN305&lt;=$K20)*(1))</f>
        <v>0</v>
      </c>
      <c r="AZ305" s="48"/>
      <c r="BA305" s="52">
        <f t="shared" si="40"/>
        <v>0</v>
      </c>
      <c r="BB305" s="52">
        <f t="shared" si="41"/>
        <v>0</v>
      </c>
      <c r="BC305" s="52">
        <f t="shared" si="42"/>
        <v>0</v>
      </c>
      <c r="BD305" s="48"/>
      <c r="BE305" s="50">
        <f t="shared" si="43"/>
        <v>0</v>
      </c>
      <c r="BF305" s="50">
        <f t="shared" si="44"/>
        <v>0</v>
      </c>
      <c r="BG305" s="50">
        <f t="shared" si="45"/>
        <v>0</v>
      </c>
    </row>
    <row r="306" spans="4:59" ht="15.6">
      <c r="D306" s="44"/>
      <c r="M306" s="42"/>
      <c r="N306" s="39" t="s">
        <v>26</v>
      </c>
      <c r="O306" s="39" t="s">
        <v>598</v>
      </c>
      <c r="P306" t="s">
        <v>633</v>
      </c>
      <c r="R306" s="41"/>
      <c r="S306" s="42"/>
      <c r="T306" s="42"/>
      <c r="U306" s="42"/>
      <c r="V306" s="45">
        <f t="shared" si="20"/>
        <v>1</v>
      </c>
      <c r="W306" s="45">
        <f t="shared" si="21"/>
        <v>1</v>
      </c>
      <c r="X306" s="45">
        <f t="shared" si="22"/>
        <v>1</v>
      </c>
      <c r="Y306" s="45">
        <f t="shared" si="23"/>
        <v>1</v>
      </c>
      <c r="Z306" s="45">
        <f t="shared" si="24"/>
        <v>1</v>
      </c>
      <c r="AA306" s="45">
        <f t="shared" si="25"/>
        <v>1</v>
      </c>
      <c r="AB306" s="45">
        <f t="shared" si="26"/>
        <v>1</v>
      </c>
      <c r="AC306" s="45">
        <f t="shared" si="27"/>
        <v>0.89014877606954801</v>
      </c>
      <c r="AD306" s="45">
        <f t="shared" si="28"/>
        <v>1</v>
      </c>
      <c r="AE306" s="45">
        <f t="shared" si="29"/>
        <v>0.87307915716052709</v>
      </c>
      <c r="AF306" s="45">
        <f t="shared" si="30"/>
        <v>0.99719391746793506</v>
      </c>
      <c r="AG306" s="45">
        <f t="shared" si="31"/>
        <v>1.0025628093005272</v>
      </c>
      <c r="AH306" s="45">
        <f t="shared" si="32"/>
        <v>1.0028139787887898</v>
      </c>
      <c r="AI306" s="45">
        <f t="shared" si="33"/>
        <v>1.0002505274342242</v>
      </c>
      <c r="AJ306" s="45">
        <f t="shared" si="34"/>
        <v>1.0002505274342242</v>
      </c>
      <c r="AK306" s="45">
        <f t="shared" si="36"/>
        <v>1</v>
      </c>
      <c r="AL306" s="45">
        <f t="shared" si="37"/>
        <v>1</v>
      </c>
      <c r="AM306" s="45">
        <f t="shared" si="38"/>
        <v>1</v>
      </c>
      <c r="AN306" s="45">
        <f t="shared" si="39"/>
        <v>1</v>
      </c>
      <c r="AS306" s="50" cm="1">
        <f t="array" ref="AS306">SUMPRODUCT(($V306:$AN306&lt;=$I21)*(1))/COUNT($V306:$AN306)</f>
        <v>0.10526315789473684</v>
      </c>
      <c r="AT306" s="50" cm="1">
        <f t="array" ref="AT306">SUMPRODUCT(($V306:$AN306&lt;=$J21)*(1))/COUNT($V306:$AN306)</f>
        <v>0</v>
      </c>
      <c r="AU306" s="50" cm="1">
        <f t="array" ref="AU306">SUMPRODUCT(($V306:$AN306&lt;=$K21)*(1))/COUNT($V306:$AN306)</f>
        <v>0</v>
      </c>
      <c r="AW306" s="52" cm="1">
        <f t="array" ref="AW306">SUMPRODUCT(($V306:$AN306&lt;=$I21)*(1))</f>
        <v>2</v>
      </c>
      <c r="AX306" s="52" cm="1">
        <f t="array" ref="AX306">SUMPRODUCT(($V306:$AN306&lt;=$J21)*(1))</f>
        <v>0</v>
      </c>
      <c r="AY306" s="52" cm="1">
        <f t="array" ref="AY306">SUMPRODUCT(($V306:$AN306&lt;=$K21)*(1))</f>
        <v>0</v>
      </c>
      <c r="BA306" s="52">
        <f t="shared" si="40"/>
        <v>2</v>
      </c>
      <c r="BB306" s="52">
        <f t="shared" si="41"/>
        <v>0</v>
      </c>
      <c r="BC306" s="52">
        <f t="shared" si="42"/>
        <v>0</v>
      </c>
      <c r="BE306" s="50">
        <f t="shared" si="43"/>
        <v>0.10526315789473684</v>
      </c>
      <c r="BF306" s="50">
        <f t="shared" si="44"/>
        <v>0</v>
      </c>
      <c r="BG306" s="50">
        <f t="shared" si="45"/>
        <v>0</v>
      </c>
    </row>
    <row r="307" spans="4:59" ht="15.6">
      <c r="D307" s="44"/>
      <c r="M307" s="42"/>
      <c r="N307" s="39" t="s">
        <v>26</v>
      </c>
      <c r="O307" s="39" t="s">
        <v>97</v>
      </c>
      <c r="P307" t="s">
        <v>634</v>
      </c>
      <c r="R307" s="41"/>
      <c r="S307" s="42"/>
      <c r="T307" s="42"/>
      <c r="U307" s="42"/>
      <c r="V307" s="45">
        <f t="shared" si="20"/>
        <v>1</v>
      </c>
      <c r="W307" s="45">
        <f t="shared" si="21"/>
        <v>1</v>
      </c>
      <c r="X307" s="45">
        <f t="shared" si="22"/>
        <v>1</v>
      </c>
      <c r="Y307" s="45">
        <f t="shared" si="23"/>
        <v>1</v>
      </c>
      <c r="Z307" s="45">
        <f t="shared" si="24"/>
        <v>1</v>
      </c>
      <c r="AA307" s="45">
        <f t="shared" si="25"/>
        <v>1</v>
      </c>
      <c r="AB307" s="45">
        <f t="shared" si="26"/>
        <v>1</v>
      </c>
      <c r="AC307" s="45">
        <f t="shared" si="27"/>
        <v>1</v>
      </c>
      <c r="AD307" s="45">
        <f t="shared" si="28"/>
        <v>1</v>
      </c>
      <c r="AE307" s="45">
        <f t="shared" si="29"/>
        <v>0.99811662820656588</v>
      </c>
      <c r="AF307" s="45">
        <f t="shared" si="30"/>
        <v>1</v>
      </c>
      <c r="AG307" s="45">
        <f t="shared" si="31"/>
        <v>1</v>
      </c>
      <c r="AH307" s="45">
        <f t="shared" si="32"/>
        <v>1</v>
      </c>
      <c r="AI307" s="45">
        <f t="shared" si="33"/>
        <v>1</v>
      </c>
      <c r="AJ307" s="45">
        <f t="shared" si="34"/>
        <v>1</v>
      </c>
      <c r="AK307" s="45">
        <f t="shared" si="36"/>
        <v>1</v>
      </c>
      <c r="AL307" s="45">
        <f t="shared" si="37"/>
        <v>1</v>
      </c>
      <c r="AM307" s="45">
        <f t="shared" si="38"/>
        <v>1</v>
      </c>
      <c r="AN307" s="45">
        <f t="shared" si="39"/>
        <v>1</v>
      </c>
      <c r="AS307" s="50" cm="1">
        <f t="array" ref="AS307">SUMPRODUCT(($V307:$AN307&lt;=$I22)*(1))/COUNT($V307:$AN307)</f>
        <v>0</v>
      </c>
      <c r="AT307" s="50" cm="1">
        <f t="array" ref="AT307">SUMPRODUCT(($V307:$AN307&lt;=$J22)*(1))/COUNT($V307:$AN307)</f>
        <v>0</v>
      </c>
      <c r="AU307" s="50" cm="1">
        <f t="array" ref="AU307">SUMPRODUCT(($V307:$AN307&lt;=$K22)*(1))/COUNT($V307:$AN307)</f>
        <v>0</v>
      </c>
      <c r="AW307" s="52" cm="1">
        <f t="array" ref="AW307">SUMPRODUCT(($V307:$AN307&lt;=$I22)*(1))</f>
        <v>0</v>
      </c>
      <c r="AX307" s="52" cm="1">
        <f t="array" ref="AX307">SUMPRODUCT(($V307:$AN307&lt;=$J22)*(1))</f>
        <v>0</v>
      </c>
      <c r="AY307" s="52" cm="1">
        <f t="array" ref="AY307">SUMPRODUCT(($V307:$AN307&lt;=$K22)*(1))</f>
        <v>0</v>
      </c>
      <c r="BA307" s="52">
        <f t="shared" ref="BA307:BA370" si="46">AW307-AX307</f>
        <v>0</v>
      </c>
      <c r="BB307" s="52">
        <f t="shared" ref="BB307:BB370" si="47">AX307-AY307</f>
        <v>0</v>
      </c>
      <c r="BC307" s="52">
        <f t="shared" ref="BC307:BC370" si="48">AY307</f>
        <v>0</v>
      </c>
      <c r="BE307" s="50">
        <f t="shared" si="43"/>
        <v>0</v>
      </c>
      <c r="BF307" s="50">
        <f t="shared" si="44"/>
        <v>0</v>
      </c>
      <c r="BG307" s="50">
        <f t="shared" si="45"/>
        <v>0</v>
      </c>
    </row>
    <row r="308" spans="4:59" ht="15.6">
      <c r="D308" s="44"/>
      <c r="M308" s="42"/>
      <c r="N308" s="39" t="s">
        <v>26</v>
      </c>
      <c r="O308" s="39" t="s">
        <v>513</v>
      </c>
      <c r="P308" t="s">
        <v>635</v>
      </c>
      <c r="R308" s="41"/>
      <c r="S308" s="42"/>
      <c r="T308" s="42"/>
      <c r="U308" s="42"/>
      <c r="V308" s="45">
        <f t="shared" si="20"/>
        <v>1.0026402953740587</v>
      </c>
      <c r="W308" s="45">
        <f t="shared" si="21"/>
        <v>0.95242733573513105</v>
      </c>
      <c r="X308" s="45">
        <f t="shared" si="22"/>
        <v>1.0026402953740587</v>
      </c>
      <c r="Y308" s="45">
        <f t="shared" si="23"/>
        <v>0.98704202960046206</v>
      </c>
      <c r="Z308" s="45">
        <f t="shared" si="24"/>
        <v>0.99837123378884951</v>
      </c>
      <c r="AA308" s="45">
        <f t="shared" si="25"/>
        <v>0.99962895051802103</v>
      </c>
      <c r="AB308" s="45">
        <f t="shared" si="26"/>
        <v>1.004648800649306</v>
      </c>
      <c r="AC308" s="45">
        <f t="shared" si="27"/>
        <v>1.0042760262322543</v>
      </c>
      <c r="AD308" s="45">
        <f t="shared" si="28"/>
        <v>1.0042760262322543</v>
      </c>
      <c r="AE308" s="45">
        <f t="shared" si="29"/>
        <v>0.96382422269895396</v>
      </c>
      <c r="AF308" s="45">
        <f t="shared" si="30"/>
        <v>1</v>
      </c>
      <c r="AG308" s="45">
        <f t="shared" si="31"/>
        <v>0.99571991154240491</v>
      </c>
      <c r="AH308" s="45">
        <f t="shared" si="32"/>
        <v>0.97203815195242305</v>
      </c>
      <c r="AI308" s="45">
        <f t="shared" si="33"/>
        <v>0.99931090226388664</v>
      </c>
      <c r="AJ308" s="45">
        <f t="shared" si="34"/>
        <v>1.0048952434650811</v>
      </c>
      <c r="AK308" s="45">
        <f t="shared" si="36"/>
        <v>1.0033907191737235</v>
      </c>
      <c r="AL308" s="45">
        <f t="shared" si="37"/>
        <v>1.0042984863594473</v>
      </c>
      <c r="AM308" s="45">
        <f t="shared" si="38"/>
        <v>1.0009046996034319</v>
      </c>
      <c r="AN308" s="45">
        <f t="shared" si="39"/>
        <v>0.96661798136160837</v>
      </c>
      <c r="AS308" s="50" cm="1">
        <f t="array" ref="AS308">SUMPRODUCT(($V308:$AN308&lt;=$I23)*(1))/COUNT($V308:$AN308)</f>
        <v>0</v>
      </c>
      <c r="AT308" s="50" cm="1">
        <f t="array" ref="AT308">SUMPRODUCT(($V308:$AN308&lt;=$J23)*(1))/COUNT($V308:$AN308)</f>
        <v>0</v>
      </c>
      <c r="AU308" s="50" cm="1">
        <f t="array" ref="AU308">SUMPRODUCT(($V308:$AN308&lt;=$K23)*(1))/COUNT($V308:$AN308)</f>
        <v>0</v>
      </c>
      <c r="AW308" s="52" cm="1">
        <f t="array" ref="AW308">SUMPRODUCT(($V308:$AN308&lt;=$I23)*(1))</f>
        <v>0</v>
      </c>
      <c r="AX308" s="52" cm="1">
        <f t="array" ref="AX308">SUMPRODUCT(($V308:$AN308&lt;=$J23)*(1))</f>
        <v>0</v>
      </c>
      <c r="AY308" s="52" cm="1">
        <f t="array" ref="AY308">SUMPRODUCT(($V308:$AN308&lt;=$K23)*(1))</f>
        <v>0</v>
      </c>
      <c r="BA308" s="52">
        <f t="shared" si="46"/>
        <v>0</v>
      </c>
      <c r="BB308" s="52">
        <f t="shared" si="47"/>
        <v>0</v>
      </c>
      <c r="BC308" s="52">
        <f t="shared" si="48"/>
        <v>0</v>
      </c>
      <c r="BE308" s="50">
        <f t="shared" si="43"/>
        <v>0</v>
      </c>
      <c r="BF308" s="50">
        <f t="shared" si="44"/>
        <v>0</v>
      </c>
      <c r="BG308" s="50">
        <f t="shared" si="45"/>
        <v>0</v>
      </c>
    </row>
    <row r="309" spans="4:59" ht="15.6">
      <c r="D309" s="44"/>
      <c r="M309" s="42"/>
      <c r="N309" s="39" t="s">
        <v>26</v>
      </c>
      <c r="O309" s="39" t="s">
        <v>429</v>
      </c>
      <c r="P309" t="s">
        <v>636</v>
      </c>
      <c r="R309" s="41"/>
      <c r="S309" s="42"/>
      <c r="T309" s="42"/>
      <c r="U309" s="42"/>
      <c r="V309" s="45">
        <f t="shared" si="20"/>
        <v>1</v>
      </c>
      <c r="W309" s="45">
        <f t="shared" si="21"/>
        <v>0.9764917661448681</v>
      </c>
      <c r="X309" s="45">
        <f t="shared" si="22"/>
        <v>1</v>
      </c>
      <c r="Y309" s="45">
        <f t="shared" si="23"/>
        <v>0.96621167928239005</v>
      </c>
      <c r="Z309" s="45">
        <f t="shared" si="24"/>
        <v>0.99631145629028295</v>
      </c>
      <c r="AA309" s="45">
        <f t="shared" si="25"/>
        <v>1.003702199434152</v>
      </c>
      <c r="AB309" s="45">
        <f t="shared" si="26"/>
        <v>1.003702199434152</v>
      </c>
      <c r="AC309" s="45">
        <f t="shared" si="27"/>
        <v>0.99766202058971198</v>
      </c>
      <c r="AD309" s="45">
        <f t="shared" si="28"/>
        <v>1.0023434583677004</v>
      </c>
      <c r="AE309" s="45">
        <f t="shared" si="29"/>
        <v>0.93676144400038797</v>
      </c>
      <c r="AF309" s="45">
        <f t="shared" si="30"/>
        <v>1</v>
      </c>
      <c r="AG309" s="45">
        <f t="shared" si="31"/>
        <v>1</v>
      </c>
      <c r="AH309" s="45">
        <f t="shared" si="32"/>
        <v>0.99651680927285102</v>
      </c>
      <c r="AI309" s="45">
        <f t="shared" si="33"/>
        <v>0.98644116340334409</v>
      </c>
      <c r="AJ309" s="45">
        <f t="shared" si="34"/>
        <v>1.0034953657527268</v>
      </c>
      <c r="AK309" s="45">
        <f t="shared" si="36"/>
        <v>1</v>
      </c>
      <c r="AL309" s="45">
        <f t="shared" si="37"/>
        <v>1</v>
      </c>
      <c r="AM309" s="45">
        <f t="shared" si="38"/>
        <v>1</v>
      </c>
      <c r="AN309" s="45">
        <f t="shared" si="39"/>
        <v>0.95171843706602199</v>
      </c>
      <c r="AS309" s="50" cm="1">
        <f t="array" ref="AS309">SUMPRODUCT(($V309:$AN309&lt;=$I24)*(1))/COUNT($V309:$AN309)</f>
        <v>5.2631578947368418E-2</v>
      </c>
      <c r="AT309" s="50" cm="1">
        <f t="array" ref="AT309">SUMPRODUCT(($V309:$AN309&lt;=$J24)*(1))/COUNT($V309:$AN309)</f>
        <v>0</v>
      </c>
      <c r="AU309" s="50" cm="1">
        <f t="array" ref="AU309">SUMPRODUCT(($V309:$AN309&lt;=$K24)*(1))/COUNT($V309:$AN309)</f>
        <v>0</v>
      </c>
      <c r="AW309" s="52" cm="1">
        <f t="array" ref="AW309">SUMPRODUCT(($V309:$AN309&lt;=$I24)*(1))</f>
        <v>1</v>
      </c>
      <c r="AX309" s="52" cm="1">
        <f t="array" ref="AX309">SUMPRODUCT(($V309:$AN309&lt;=$J24)*(1))</f>
        <v>0</v>
      </c>
      <c r="AY309" s="52" cm="1">
        <f t="array" ref="AY309">SUMPRODUCT(($V309:$AN309&lt;=$K24)*(1))</f>
        <v>0</v>
      </c>
      <c r="BA309" s="52">
        <f t="shared" si="46"/>
        <v>1</v>
      </c>
      <c r="BB309" s="52">
        <f t="shared" si="47"/>
        <v>0</v>
      </c>
      <c r="BC309" s="52">
        <f t="shared" si="48"/>
        <v>0</v>
      </c>
      <c r="BE309" s="50">
        <f t="shared" si="43"/>
        <v>5.2631578947368418E-2</v>
      </c>
      <c r="BF309" s="50">
        <f t="shared" si="44"/>
        <v>0</v>
      </c>
      <c r="BG309" s="50">
        <f t="shared" si="45"/>
        <v>0</v>
      </c>
    </row>
    <row r="310" spans="4:59" ht="15.6">
      <c r="D310" s="44"/>
      <c r="M310" s="42"/>
      <c r="N310" s="39" t="s">
        <v>26</v>
      </c>
      <c r="O310" s="39" t="s">
        <v>498</v>
      </c>
      <c r="P310" t="s">
        <v>637</v>
      </c>
      <c r="R310" s="41"/>
      <c r="S310" s="42"/>
      <c r="T310" s="42"/>
      <c r="U310" s="42"/>
      <c r="V310" s="45">
        <f t="shared" si="20"/>
        <v>1.0055151891215754</v>
      </c>
      <c r="W310" s="45">
        <f t="shared" si="21"/>
        <v>0.87475922562429043</v>
      </c>
      <c r="X310" s="45">
        <f t="shared" si="22"/>
        <v>0.98397887285224861</v>
      </c>
      <c r="Y310" s="45">
        <f t="shared" si="23"/>
        <v>0.99950553279804233</v>
      </c>
      <c r="Z310" s="45">
        <f t="shared" si="24"/>
        <v>0.9910959451433784</v>
      </c>
      <c r="AA310" s="45">
        <f t="shared" si="25"/>
        <v>0.97985143850523504</v>
      </c>
      <c r="AB310" s="45">
        <f t="shared" si="26"/>
        <v>1.0176988272558281</v>
      </c>
      <c r="AC310" s="45">
        <f t="shared" si="27"/>
        <v>1.0163390050990846</v>
      </c>
      <c r="AD310" s="45">
        <f t="shared" si="28"/>
        <v>1.0087213931214842</v>
      </c>
      <c r="AE310" s="45">
        <f t="shared" si="29"/>
        <v>0.90085285477283872</v>
      </c>
      <c r="AF310" s="45">
        <f t="shared" si="30"/>
        <v>0.96640386393779543</v>
      </c>
      <c r="AG310" s="45">
        <f t="shared" si="31"/>
        <v>0.99730263993385515</v>
      </c>
      <c r="AH310" s="45">
        <f t="shared" si="32"/>
        <v>0.99744772719733532</v>
      </c>
      <c r="AI310" s="45">
        <f t="shared" si="33"/>
        <v>0.89441435854675289</v>
      </c>
      <c r="AJ310" s="45">
        <f t="shared" si="34"/>
        <v>1.0219924884886418</v>
      </c>
      <c r="AK310" s="45">
        <f t="shared" si="36"/>
        <v>1.0057819542905493</v>
      </c>
      <c r="AL310" s="45">
        <f t="shared" si="37"/>
        <v>1.0062088842200314</v>
      </c>
      <c r="AM310" s="45">
        <f t="shared" si="38"/>
        <v>1.0084848857859243</v>
      </c>
      <c r="AN310" s="45">
        <f t="shared" si="39"/>
        <v>0.93796447290362217</v>
      </c>
      <c r="AS310" s="50" cm="1">
        <f t="array" ref="AS310">SUMPRODUCT(($V310:$AN310&lt;=$I25)*(1))/COUNT($V310:$AN310)</f>
        <v>0.21052631578947367</v>
      </c>
      <c r="AT310" s="50" cm="1">
        <f t="array" ref="AT310">SUMPRODUCT(($V310:$AN310&lt;=$J25)*(1))/COUNT($V310:$AN310)</f>
        <v>0</v>
      </c>
      <c r="AU310" s="50" cm="1">
        <f t="array" ref="AU310">SUMPRODUCT(($V310:$AN310&lt;=$K25)*(1))/COUNT($V310:$AN310)</f>
        <v>0</v>
      </c>
      <c r="AW310" s="52" cm="1">
        <f t="array" ref="AW310">SUMPRODUCT(($V310:$AN310&lt;=$I25)*(1))</f>
        <v>4</v>
      </c>
      <c r="AX310" s="52" cm="1">
        <f t="array" ref="AX310">SUMPRODUCT(($V310:$AN310&lt;=$J25)*(1))</f>
        <v>0</v>
      </c>
      <c r="AY310" s="52" cm="1">
        <f t="array" ref="AY310">SUMPRODUCT(($V310:$AN310&lt;=$K25)*(1))</f>
        <v>0</v>
      </c>
      <c r="BA310" s="52">
        <f t="shared" si="46"/>
        <v>4</v>
      </c>
      <c r="BB310" s="52">
        <f t="shared" si="47"/>
        <v>0</v>
      </c>
      <c r="BC310" s="52">
        <f t="shared" si="48"/>
        <v>0</v>
      </c>
      <c r="BE310" s="50">
        <f t="shared" si="43"/>
        <v>0.21052631578947367</v>
      </c>
      <c r="BF310" s="50">
        <f t="shared" si="44"/>
        <v>0</v>
      </c>
      <c r="BG310" s="50">
        <f t="shared" si="45"/>
        <v>0</v>
      </c>
    </row>
    <row r="311" spans="4:59" ht="15.6">
      <c r="D311" s="44"/>
      <c r="M311" s="42"/>
      <c r="N311" s="39" t="s">
        <v>26</v>
      </c>
      <c r="O311" s="39" t="s">
        <v>594</v>
      </c>
      <c r="P311" t="s">
        <v>638</v>
      </c>
      <c r="R311" s="41"/>
      <c r="S311" s="42"/>
      <c r="T311" s="42"/>
      <c r="U311" s="42"/>
      <c r="V311" s="45">
        <f t="shared" si="20"/>
        <v>1</v>
      </c>
      <c r="W311" s="45">
        <f t="shared" si="21"/>
        <v>0.864832818687849</v>
      </c>
      <c r="X311" s="45">
        <f t="shared" si="22"/>
        <v>1.1562928445722387</v>
      </c>
      <c r="Y311" s="45">
        <f t="shared" si="23"/>
        <v>1.1562928445722387</v>
      </c>
      <c r="Z311" s="45">
        <f t="shared" si="24"/>
        <v>1</v>
      </c>
      <c r="AA311" s="45">
        <f t="shared" si="25"/>
        <v>1</v>
      </c>
      <c r="AB311" s="45">
        <f t="shared" si="26"/>
        <v>1</v>
      </c>
      <c r="AC311" s="45">
        <f t="shared" si="27"/>
        <v>0.83665801385793703</v>
      </c>
      <c r="AD311" s="45">
        <f t="shared" si="28"/>
        <v>0.94864970365772705</v>
      </c>
      <c r="AE311" s="45">
        <f t="shared" si="29"/>
        <v>0.6868033894691421</v>
      </c>
      <c r="AF311" s="45">
        <f t="shared" si="30"/>
        <v>0.87234556079611159</v>
      </c>
      <c r="AG311" s="45">
        <f t="shared" si="31"/>
        <v>1.175839750665463</v>
      </c>
      <c r="AH311" s="45">
        <f t="shared" si="32"/>
        <v>1.1189898376989287</v>
      </c>
      <c r="AI311" s="45">
        <f t="shared" si="33"/>
        <v>1.0603866669686286</v>
      </c>
      <c r="AJ311" s="45">
        <f t="shared" si="34"/>
        <v>1.0681343514707784</v>
      </c>
      <c r="AK311" s="45">
        <f t="shared" si="36"/>
        <v>1.0105130745957291</v>
      </c>
      <c r="AL311" s="45">
        <f t="shared" si="37"/>
        <v>1.0048292008042599</v>
      </c>
      <c r="AM311" s="45">
        <f t="shared" si="38"/>
        <v>1.0059165413115334</v>
      </c>
      <c r="AN311" s="45">
        <f t="shared" si="39"/>
        <v>0.9215593645864838</v>
      </c>
      <c r="AS311" s="50" cm="1">
        <f t="array" ref="AS311">SUMPRODUCT(($V311:$AN311&lt;=$I26)*(1))/COUNT($V311:$AN311)</f>
        <v>0.31578947368421051</v>
      </c>
      <c r="AT311" s="50" cm="1">
        <f t="array" ref="AT311">SUMPRODUCT(($V311:$AN311&lt;=$J26)*(1))/COUNT($V311:$AN311)</f>
        <v>0.10526315789473684</v>
      </c>
      <c r="AU311" s="50" cm="1">
        <f t="array" ref="AU311">SUMPRODUCT(($V311:$AN311&lt;=$K26)*(1))/COUNT($V311:$AN311)</f>
        <v>5.2631578947368418E-2</v>
      </c>
      <c r="AW311" s="52" cm="1">
        <f t="array" ref="AW311">SUMPRODUCT(($V311:$AN311&lt;=$I26)*(1))</f>
        <v>6</v>
      </c>
      <c r="AX311" s="52" cm="1">
        <f t="array" ref="AX311">SUMPRODUCT(($V311:$AN311&lt;=$J26)*(1))</f>
        <v>2</v>
      </c>
      <c r="AY311" s="52" cm="1">
        <f t="array" ref="AY311">SUMPRODUCT(($V311:$AN311&lt;=$K26)*(1))</f>
        <v>1</v>
      </c>
      <c r="BA311" s="52">
        <f t="shared" si="46"/>
        <v>4</v>
      </c>
      <c r="BB311" s="52">
        <f t="shared" si="47"/>
        <v>1</v>
      </c>
      <c r="BC311" s="52">
        <f t="shared" si="48"/>
        <v>1</v>
      </c>
      <c r="BE311" s="50">
        <f t="shared" si="43"/>
        <v>0.21052631578947367</v>
      </c>
      <c r="BF311" s="50">
        <f t="shared" si="44"/>
        <v>5.2631578947368418E-2</v>
      </c>
      <c r="BG311" s="50">
        <f t="shared" si="45"/>
        <v>5.2631578947368418E-2</v>
      </c>
    </row>
    <row r="312" spans="4:59" ht="15.6">
      <c r="D312" s="44"/>
      <c r="M312" s="42"/>
      <c r="N312" s="39" t="s">
        <v>26</v>
      </c>
      <c r="O312" s="39" t="s">
        <v>257</v>
      </c>
      <c r="P312" t="s">
        <v>639</v>
      </c>
      <c r="R312" s="41"/>
      <c r="S312" s="42"/>
      <c r="T312" s="42"/>
      <c r="U312" s="42"/>
      <c r="V312" s="45">
        <f t="shared" si="20"/>
        <v>1</v>
      </c>
      <c r="W312" s="45">
        <f t="shared" si="21"/>
        <v>0.99962860559014899</v>
      </c>
      <c r="X312" s="45">
        <f t="shared" si="22"/>
        <v>1</v>
      </c>
      <c r="Y312" s="45">
        <f t="shared" si="23"/>
        <v>1</v>
      </c>
      <c r="Z312" s="45">
        <f t="shared" si="24"/>
        <v>1</v>
      </c>
      <c r="AA312" s="45">
        <f t="shared" si="25"/>
        <v>1</v>
      </c>
      <c r="AB312" s="45">
        <f t="shared" si="26"/>
        <v>1</v>
      </c>
      <c r="AC312" s="45">
        <f t="shared" si="27"/>
        <v>1</v>
      </c>
      <c r="AD312" s="45">
        <f t="shared" si="28"/>
        <v>1</v>
      </c>
      <c r="AE312" s="45">
        <f t="shared" si="29"/>
        <v>0.99846982297563003</v>
      </c>
      <c r="AF312" s="45">
        <f t="shared" si="30"/>
        <v>1</v>
      </c>
      <c r="AG312" s="45">
        <f t="shared" si="31"/>
        <v>1</v>
      </c>
      <c r="AH312" s="45">
        <f t="shared" si="32"/>
        <v>1</v>
      </c>
      <c r="AI312" s="45">
        <f t="shared" si="33"/>
        <v>1</v>
      </c>
      <c r="AJ312" s="45">
        <f t="shared" si="34"/>
        <v>1</v>
      </c>
      <c r="AK312" s="45">
        <f t="shared" si="36"/>
        <v>1</v>
      </c>
      <c r="AL312" s="45">
        <f t="shared" si="37"/>
        <v>1</v>
      </c>
      <c r="AM312" s="45">
        <f t="shared" si="38"/>
        <v>1</v>
      </c>
      <c r="AN312" s="45">
        <f t="shared" si="39"/>
        <v>1</v>
      </c>
      <c r="AS312" s="50" cm="1">
        <f t="array" ref="AS312">SUMPRODUCT(($V312:$AN312&lt;=$I27)*(1))/COUNT($V312:$AN312)</f>
        <v>0</v>
      </c>
      <c r="AT312" s="50" cm="1">
        <f t="array" ref="AT312">SUMPRODUCT(($V312:$AN312&lt;=$J27)*(1))/COUNT($V312:$AN312)</f>
        <v>0</v>
      </c>
      <c r="AU312" s="50" cm="1">
        <f t="array" ref="AU312">SUMPRODUCT(($V312:$AN312&lt;=$K27)*(1))/COUNT($V312:$AN312)</f>
        <v>0</v>
      </c>
      <c r="AW312" s="52" cm="1">
        <f t="array" ref="AW312">SUMPRODUCT(($V312:$AN312&lt;=$I27)*(1))</f>
        <v>0</v>
      </c>
      <c r="AX312" s="52" cm="1">
        <f t="array" ref="AX312">SUMPRODUCT(($V312:$AN312&lt;=$J27)*(1))</f>
        <v>0</v>
      </c>
      <c r="AY312" s="52" cm="1">
        <f t="array" ref="AY312">SUMPRODUCT(($V312:$AN312&lt;=$K27)*(1))</f>
        <v>0</v>
      </c>
      <c r="BA312" s="52">
        <f t="shared" si="46"/>
        <v>0</v>
      </c>
      <c r="BB312" s="52">
        <f t="shared" si="47"/>
        <v>0</v>
      </c>
      <c r="BC312" s="52">
        <f t="shared" si="48"/>
        <v>0</v>
      </c>
      <c r="BE312" s="50">
        <f t="shared" si="43"/>
        <v>0</v>
      </c>
      <c r="BF312" s="50">
        <f t="shared" si="44"/>
        <v>0</v>
      </c>
      <c r="BG312" s="50">
        <f t="shared" si="45"/>
        <v>0</v>
      </c>
    </row>
    <row r="313" spans="4:59" ht="15.6">
      <c r="D313" s="44"/>
      <c r="M313" s="42"/>
      <c r="N313" s="39" t="s">
        <v>26</v>
      </c>
      <c r="O313" s="39" t="s">
        <v>588</v>
      </c>
      <c r="P313" t="s">
        <v>640</v>
      </c>
      <c r="R313" s="41"/>
      <c r="S313" s="42"/>
      <c r="T313" s="42"/>
      <c r="U313" s="42"/>
      <c r="V313" s="45">
        <f t="shared" si="20"/>
        <v>1</v>
      </c>
      <c r="W313" s="45">
        <f t="shared" si="21"/>
        <v>0.92327530540720404</v>
      </c>
      <c r="X313" s="45">
        <f t="shared" si="22"/>
        <v>1.0754465797010775</v>
      </c>
      <c r="Y313" s="45">
        <f t="shared" si="23"/>
        <v>1.0754465797010775</v>
      </c>
      <c r="Z313" s="45">
        <f t="shared" si="24"/>
        <v>1</v>
      </c>
      <c r="AA313" s="45">
        <f t="shared" si="25"/>
        <v>1</v>
      </c>
      <c r="AB313" s="45">
        <f t="shared" si="26"/>
        <v>1</v>
      </c>
      <c r="AC313" s="45">
        <f t="shared" si="27"/>
        <v>0.94962645862374995</v>
      </c>
      <c r="AD313" s="45">
        <f t="shared" si="28"/>
        <v>0.99959101355127</v>
      </c>
      <c r="AE313" s="45">
        <f t="shared" si="29"/>
        <v>0.87946527319545997</v>
      </c>
      <c r="AF313" s="45">
        <f t="shared" si="30"/>
        <v>0.96925952463932596</v>
      </c>
      <c r="AG313" s="45">
        <f t="shared" si="31"/>
        <v>1.030469716433031</v>
      </c>
      <c r="AH313" s="45">
        <f t="shared" si="32"/>
        <v>1.0104589171331377</v>
      </c>
      <c r="AI313" s="45">
        <f t="shared" si="33"/>
        <v>1.0214542474681274</v>
      </c>
      <c r="AJ313" s="45">
        <f t="shared" si="34"/>
        <v>1.0214542474681274</v>
      </c>
      <c r="AK313" s="45">
        <f t="shared" si="36"/>
        <v>1.0016185205038635</v>
      </c>
      <c r="AL313" s="45">
        <f t="shared" si="37"/>
        <v>1</v>
      </c>
      <c r="AM313" s="45">
        <f t="shared" si="38"/>
        <v>1</v>
      </c>
      <c r="AN313" s="45">
        <f t="shared" si="39"/>
        <v>0.98838897549792704</v>
      </c>
      <c r="AS313" s="50" cm="1">
        <f t="array" ref="AS313">SUMPRODUCT(($V313:$AN313&lt;=$I28)*(1))/COUNT($V313:$AN313)</f>
        <v>0.15789473684210525</v>
      </c>
      <c r="AT313" s="50" cm="1">
        <f t="array" ref="AT313">SUMPRODUCT(($V313:$AN313&lt;=$J28)*(1))/COUNT($V313:$AN313)</f>
        <v>0</v>
      </c>
      <c r="AU313" s="50" cm="1">
        <f t="array" ref="AU313">SUMPRODUCT(($V313:$AN313&lt;=$K28)*(1))/COUNT($V313:$AN313)</f>
        <v>0</v>
      </c>
      <c r="AW313" s="52" cm="1">
        <f t="array" ref="AW313">SUMPRODUCT(($V313:$AN313&lt;=$I28)*(1))</f>
        <v>3</v>
      </c>
      <c r="AX313" s="52" cm="1">
        <f t="array" ref="AX313">SUMPRODUCT(($V313:$AN313&lt;=$J28)*(1))</f>
        <v>0</v>
      </c>
      <c r="AY313" s="52" cm="1">
        <f t="array" ref="AY313">SUMPRODUCT(($V313:$AN313&lt;=$K28)*(1))</f>
        <v>0</v>
      </c>
      <c r="BA313" s="52">
        <f t="shared" si="46"/>
        <v>3</v>
      </c>
      <c r="BB313" s="52">
        <f t="shared" si="47"/>
        <v>0</v>
      </c>
      <c r="BC313" s="52">
        <f t="shared" si="48"/>
        <v>0</v>
      </c>
      <c r="BE313" s="50">
        <f t="shared" si="43"/>
        <v>0.15789473684210525</v>
      </c>
      <c r="BF313" s="50">
        <f t="shared" si="44"/>
        <v>0</v>
      </c>
      <c r="BG313" s="50">
        <f t="shared" si="45"/>
        <v>0</v>
      </c>
    </row>
    <row r="314" spans="4:59" ht="15.6">
      <c r="D314" s="44"/>
      <c r="M314" s="42"/>
      <c r="N314" s="39" t="s">
        <v>26</v>
      </c>
      <c r="O314" s="39" t="s">
        <v>257</v>
      </c>
      <c r="P314" t="s">
        <v>641</v>
      </c>
      <c r="R314" s="41"/>
      <c r="S314" s="42"/>
      <c r="T314" s="42"/>
      <c r="U314" s="42"/>
      <c r="V314" s="45">
        <f t="shared" si="20"/>
        <v>1</v>
      </c>
      <c r="W314" s="45">
        <f t="shared" si="21"/>
        <v>0.98221526009706805</v>
      </c>
      <c r="X314" s="45">
        <f t="shared" si="22"/>
        <v>1</v>
      </c>
      <c r="Y314" s="45">
        <f t="shared" si="23"/>
        <v>1</v>
      </c>
      <c r="Z314" s="45">
        <f t="shared" si="24"/>
        <v>1</v>
      </c>
      <c r="AA314" s="45">
        <f t="shared" si="25"/>
        <v>0.99971221417848999</v>
      </c>
      <c r="AB314" s="45">
        <f t="shared" si="26"/>
        <v>1</v>
      </c>
      <c r="AC314" s="45">
        <f t="shared" si="27"/>
        <v>1</v>
      </c>
      <c r="AD314" s="45">
        <f t="shared" si="28"/>
        <v>1</v>
      </c>
      <c r="AE314" s="45">
        <f t="shared" si="29"/>
        <v>0.94982856203222099</v>
      </c>
      <c r="AF314" s="45">
        <f t="shared" si="30"/>
        <v>1</v>
      </c>
      <c r="AG314" s="45">
        <f t="shared" si="31"/>
        <v>1</v>
      </c>
      <c r="AH314" s="45">
        <f t="shared" si="32"/>
        <v>1</v>
      </c>
      <c r="AI314" s="45">
        <f t="shared" si="33"/>
        <v>1</v>
      </c>
      <c r="AJ314" s="45">
        <f t="shared" si="34"/>
        <v>1</v>
      </c>
      <c r="AK314" s="45">
        <f t="shared" si="36"/>
        <v>1</v>
      </c>
      <c r="AL314" s="45">
        <f t="shared" si="37"/>
        <v>1</v>
      </c>
      <c r="AM314" s="45">
        <f t="shared" si="38"/>
        <v>1</v>
      </c>
      <c r="AN314" s="45">
        <f t="shared" si="39"/>
        <v>0.99793004627859605</v>
      </c>
      <c r="AS314" s="50" cm="1">
        <f t="array" ref="AS314">SUMPRODUCT(($V314:$AN314&lt;=$I29)*(1))/COUNT($V314:$AN314)</f>
        <v>5.2631578947368418E-2</v>
      </c>
      <c r="AT314" s="50" cm="1">
        <f t="array" ref="AT314">SUMPRODUCT(($V314:$AN314&lt;=$J29)*(1))/COUNT($V314:$AN314)</f>
        <v>0</v>
      </c>
      <c r="AU314" s="50" cm="1">
        <f t="array" ref="AU314">SUMPRODUCT(($V314:$AN314&lt;=$K29)*(1))/COUNT($V314:$AN314)</f>
        <v>0</v>
      </c>
      <c r="AW314" s="52" cm="1">
        <f t="array" ref="AW314">SUMPRODUCT(($V314:$AN314&lt;=$I29)*(1))</f>
        <v>1</v>
      </c>
      <c r="AX314" s="52" cm="1">
        <f t="array" ref="AX314">SUMPRODUCT(($V314:$AN314&lt;=$J29)*(1))</f>
        <v>0</v>
      </c>
      <c r="AY314" s="52" cm="1">
        <f t="array" ref="AY314">SUMPRODUCT(($V314:$AN314&lt;=$K29)*(1))</f>
        <v>0</v>
      </c>
      <c r="BA314" s="52">
        <f t="shared" si="46"/>
        <v>1</v>
      </c>
      <c r="BB314" s="52">
        <f t="shared" si="47"/>
        <v>0</v>
      </c>
      <c r="BC314" s="52">
        <f t="shared" si="48"/>
        <v>0</v>
      </c>
      <c r="BE314" s="50">
        <f t="shared" si="43"/>
        <v>5.2631578947368418E-2</v>
      </c>
      <c r="BF314" s="50">
        <f t="shared" si="44"/>
        <v>0</v>
      </c>
      <c r="BG314" s="50">
        <f t="shared" si="45"/>
        <v>0</v>
      </c>
    </row>
    <row r="315" spans="4:59" ht="15.6">
      <c r="D315" s="44"/>
      <c r="M315" s="42"/>
      <c r="N315" s="39" t="s">
        <v>26</v>
      </c>
      <c r="O315" s="39" t="s">
        <v>498</v>
      </c>
      <c r="P315" t="s">
        <v>642</v>
      </c>
      <c r="R315" s="41"/>
      <c r="S315" s="42"/>
      <c r="T315" s="42"/>
      <c r="U315" s="42"/>
      <c r="V315" s="45">
        <f t="shared" si="20"/>
        <v>1</v>
      </c>
      <c r="W315" s="45">
        <f t="shared" si="21"/>
        <v>0.85212060602088902</v>
      </c>
      <c r="X315" s="45">
        <f t="shared" si="22"/>
        <v>0.98905294977270797</v>
      </c>
      <c r="Y315" s="45">
        <f t="shared" si="23"/>
        <v>1.0058327464952974</v>
      </c>
      <c r="Z315" s="45">
        <f t="shared" si="24"/>
        <v>1.0006014510387014</v>
      </c>
      <c r="AA315" s="45">
        <f t="shared" si="25"/>
        <v>0.9858486811785645</v>
      </c>
      <c r="AB315" s="45">
        <f t="shared" si="26"/>
        <v>1.0110682145276526</v>
      </c>
      <c r="AC315" s="45">
        <f t="shared" si="27"/>
        <v>1.0052281509797587</v>
      </c>
      <c r="AD315" s="45">
        <f t="shared" si="28"/>
        <v>1</v>
      </c>
      <c r="AE315" s="45">
        <f t="shared" si="29"/>
        <v>0.88254294270971201</v>
      </c>
      <c r="AF315" s="45">
        <f t="shared" si="30"/>
        <v>0.94595057610509992</v>
      </c>
      <c r="AG315" s="45">
        <f t="shared" si="31"/>
        <v>1</v>
      </c>
      <c r="AH315" s="45">
        <f t="shared" si="32"/>
        <v>1</v>
      </c>
      <c r="AI315" s="45">
        <f t="shared" si="33"/>
        <v>0.86770781371663608</v>
      </c>
      <c r="AJ315" s="45">
        <f t="shared" si="34"/>
        <v>1.0571376827290972</v>
      </c>
      <c r="AK315" s="45">
        <f t="shared" si="36"/>
        <v>1</v>
      </c>
      <c r="AL315" s="45">
        <f t="shared" si="37"/>
        <v>1</v>
      </c>
      <c r="AM315" s="45">
        <f t="shared" si="38"/>
        <v>1</v>
      </c>
      <c r="AN315" s="45">
        <f t="shared" si="39"/>
        <v>0.97720943582849495</v>
      </c>
      <c r="AS315" s="50" cm="1">
        <f t="array" ref="AS315">SUMPRODUCT(($V315:$AN315&lt;=$I30)*(1))/COUNT($V315:$AN315)</f>
        <v>0.21052631578947367</v>
      </c>
      <c r="AT315" s="50" cm="1">
        <f t="array" ref="AT315">SUMPRODUCT(($V315:$AN315&lt;=$J30)*(1))/COUNT($V315:$AN315)</f>
        <v>0</v>
      </c>
      <c r="AU315" s="50" cm="1">
        <f t="array" ref="AU315">SUMPRODUCT(($V315:$AN315&lt;=$K30)*(1))/COUNT($V315:$AN315)</f>
        <v>0</v>
      </c>
      <c r="AW315" s="52" cm="1">
        <f t="array" ref="AW315">SUMPRODUCT(($V315:$AN315&lt;=$I30)*(1))</f>
        <v>4</v>
      </c>
      <c r="AX315" s="52" cm="1">
        <f t="array" ref="AX315">SUMPRODUCT(($V315:$AN315&lt;=$J30)*(1))</f>
        <v>0</v>
      </c>
      <c r="AY315" s="52" cm="1">
        <f t="array" ref="AY315">SUMPRODUCT(($V315:$AN315&lt;=$K30)*(1))</f>
        <v>0</v>
      </c>
      <c r="BA315" s="52">
        <f t="shared" si="46"/>
        <v>4</v>
      </c>
      <c r="BB315" s="52">
        <f t="shared" si="47"/>
        <v>0</v>
      </c>
      <c r="BC315" s="52">
        <f t="shared" si="48"/>
        <v>0</v>
      </c>
      <c r="BE315" s="50">
        <f t="shared" si="43"/>
        <v>0.21052631578947367</v>
      </c>
      <c r="BF315" s="50">
        <f t="shared" si="44"/>
        <v>0</v>
      </c>
      <c r="BG315" s="50">
        <f t="shared" si="45"/>
        <v>0</v>
      </c>
    </row>
    <row r="316" spans="4:59" ht="15.6">
      <c r="D316" s="44"/>
      <c r="M316" s="42"/>
      <c r="N316" s="39" t="s">
        <v>26</v>
      </c>
      <c r="O316" s="39" t="s">
        <v>221</v>
      </c>
      <c r="P316" t="s">
        <v>643</v>
      </c>
      <c r="R316" s="41"/>
      <c r="S316" s="42"/>
      <c r="T316" s="42"/>
      <c r="U316" s="42"/>
      <c r="V316" s="45">
        <f t="shared" si="20"/>
        <v>1</v>
      </c>
      <c r="W316" s="45">
        <f t="shared" si="21"/>
        <v>0.91217732952422292</v>
      </c>
      <c r="X316" s="45">
        <f t="shared" si="22"/>
        <v>1</v>
      </c>
      <c r="Y316" s="45">
        <f t="shared" si="23"/>
        <v>0.99341879574644498</v>
      </c>
      <c r="Z316" s="45">
        <f t="shared" si="24"/>
        <v>0.99744874117305993</v>
      </c>
      <c r="AA316" s="45">
        <f t="shared" si="25"/>
        <v>0.99467906070083045</v>
      </c>
      <c r="AB316" s="45">
        <f t="shared" si="26"/>
        <v>1.0066248034381209</v>
      </c>
      <c r="AC316" s="45">
        <f t="shared" si="27"/>
        <v>1.0025577843969602</v>
      </c>
      <c r="AD316" s="45">
        <f t="shared" si="28"/>
        <v>1.0025577843969602</v>
      </c>
      <c r="AE316" s="45">
        <f t="shared" si="29"/>
        <v>0.86010661229463692</v>
      </c>
      <c r="AF316" s="45">
        <f t="shared" si="30"/>
        <v>1</v>
      </c>
      <c r="AG316" s="45">
        <f t="shared" si="31"/>
        <v>1</v>
      </c>
      <c r="AH316" s="45">
        <f t="shared" si="32"/>
        <v>1</v>
      </c>
      <c r="AI316" s="45">
        <f t="shared" si="33"/>
        <v>1</v>
      </c>
      <c r="AJ316" s="45">
        <f t="shared" si="34"/>
        <v>1</v>
      </c>
      <c r="AK316" s="45">
        <f t="shared" si="36"/>
        <v>1</v>
      </c>
      <c r="AL316" s="45">
        <f t="shared" si="37"/>
        <v>1</v>
      </c>
      <c r="AM316" s="45">
        <f t="shared" si="38"/>
        <v>1</v>
      </c>
      <c r="AN316" s="45">
        <f t="shared" si="39"/>
        <v>0.94579024208474194</v>
      </c>
      <c r="AS316" s="50" cm="1">
        <f t="array" ref="AS316">SUMPRODUCT(($V316:$AN316&lt;=$I31)*(1))/COUNT($V316:$AN316)</f>
        <v>0.15789473684210525</v>
      </c>
      <c r="AT316" s="50" cm="1">
        <f t="array" ref="AT316">SUMPRODUCT(($V316:$AN316&lt;=$J31)*(1))/COUNT($V316:$AN316)</f>
        <v>0</v>
      </c>
      <c r="AU316" s="50" cm="1">
        <f t="array" ref="AU316">SUMPRODUCT(($V316:$AN316&lt;=$K31)*(1))/COUNT($V316:$AN316)</f>
        <v>0</v>
      </c>
      <c r="AW316" s="52" cm="1">
        <f t="array" ref="AW316">SUMPRODUCT(($V316:$AN316&lt;=$I31)*(1))</f>
        <v>3</v>
      </c>
      <c r="AX316" s="52" cm="1">
        <f t="array" ref="AX316">SUMPRODUCT(($V316:$AN316&lt;=$J31)*(1))</f>
        <v>0</v>
      </c>
      <c r="AY316" s="52" cm="1">
        <f t="array" ref="AY316">SUMPRODUCT(($V316:$AN316&lt;=$K31)*(1))</f>
        <v>0</v>
      </c>
      <c r="BA316" s="52">
        <f t="shared" si="46"/>
        <v>3</v>
      </c>
      <c r="BB316" s="52">
        <f t="shared" si="47"/>
        <v>0</v>
      </c>
      <c r="BC316" s="52">
        <f t="shared" si="48"/>
        <v>0</v>
      </c>
      <c r="BE316" s="50">
        <f t="shared" si="43"/>
        <v>0.15789473684210525</v>
      </c>
      <c r="BF316" s="50">
        <f t="shared" si="44"/>
        <v>0</v>
      </c>
      <c r="BG316" s="50">
        <f t="shared" si="45"/>
        <v>0</v>
      </c>
    </row>
    <row r="317" spans="4:59" ht="15.6">
      <c r="D317" s="44"/>
      <c r="M317" s="42"/>
      <c r="N317" s="39" t="s">
        <v>26</v>
      </c>
      <c r="O317" s="39" t="s">
        <v>576</v>
      </c>
      <c r="P317" t="s">
        <v>644</v>
      </c>
      <c r="R317" s="41"/>
      <c r="S317" s="42"/>
      <c r="T317" s="42"/>
      <c r="U317" s="42"/>
      <c r="V317" s="45">
        <f t="shared" si="20"/>
        <v>1</v>
      </c>
      <c r="W317" s="45">
        <f t="shared" si="21"/>
        <v>0.89895188638280599</v>
      </c>
      <c r="X317" s="45">
        <f t="shared" si="22"/>
        <v>1.1124065872132383</v>
      </c>
      <c r="Y317" s="45">
        <f t="shared" si="23"/>
        <v>1.1124065872132383</v>
      </c>
      <c r="Z317" s="45">
        <f t="shared" si="24"/>
        <v>1</v>
      </c>
      <c r="AA317" s="45">
        <f t="shared" si="25"/>
        <v>1</v>
      </c>
      <c r="AB317" s="45">
        <f t="shared" si="26"/>
        <v>0.99836424688259795</v>
      </c>
      <c r="AC317" s="45">
        <f t="shared" si="27"/>
        <v>0.75484303361777805</v>
      </c>
      <c r="AD317" s="45">
        <f t="shared" si="28"/>
        <v>1</v>
      </c>
      <c r="AE317" s="45">
        <f t="shared" si="29"/>
        <v>0.72649161726264888</v>
      </c>
      <c r="AF317" s="45">
        <f t="shared" si="30"/>
        <v>0.9117409365283643</v>
      </c>
      <c r="AG317" s="45">
        <f t="shared" si="31"/>
        <v>1.0985998248620248</v>
      </c>
      <c r="AH317" s="45">
        <f t="shared" si="32"/>
        <v>0.99715941177014122</v>
      </c>
      <c r="AI317" s="45">
        <f t="shared" si="33"/>
        <v>1.0983736096220955</v>
      </c>
      <c r="AJ317" s="45">
        <f t="shared" si="34"/>
        <v>1.0985998248620248</v>
      </c>
      <c r="AK317" s="45">
        <f t="shared" si="36"/>
        <v>0.99265551301649979</v>
      </c>
      <c r="AL317" s="45">
        <f t="shared" si="37"/>
        <v>1.0002059547297455</v>
      </c>
      <c r="AM317" s="45">
        <f t="shared" si="38"/>
        <v>1.0002059547297455</v>
      </c>
      <c r="AN317" s="45">
        <f t="shared" si="39"/>
        <v>0.82491374612135004</v>
      </c>
      <c r="AS317" s="50" cm="1">
        <f t="array" ref="AS317">SUMPRODUCT(($V317:$AN317&lt;=$I32)*(1))/COUNT($V317:$AN317)</f>
        <v>0.26315789473684209</v>
      </c>
      <c r="AT317" s="50" cm="1">
        <f t="array" ref="AT317">SUMPRODUCT(($V317:$AN317&lt;=$J32)*(1))/COUNT($V317:$AN317)</f>
        <v>0.15789473684210525</v>
      </c>
      <c r="AU317" s="50" cm="1">
        <f t="array" ref="AU317">SUMPRODUCT(($V317:$AN317&lt;=$K32)*(1))/COUNT($V317:$AN317)</f>
        <v>5.2631578947368418E-2</v>
      </c>
      <c r="AW317" s="52" cm="1">
        <f t="array" ref="AW317">SUMPRODUCT(($V317:$AN317&lt;=$I32)*(1))</f>
        <v>5</v>
      </c>
      <c r="AX317" s="52" cm="1">
        <f t="array" ref="AX317">SUMPRODUCT(($V317:$AN317&lt;=$J32)*(1))</f>
        <v>3</v>
      </c>
      <c r="AY317" s="52" cm="1">
        <f t="array" ref="AY317">SUMPRODUCT(($V317:$AN317&lt;=$K32)*(1))</f>
        <v>1</v>
      </c>
      <c r="BA317" s="52">
        <f t="shared" si="46"/>
        <v>2</v>
      </c>
      <c r="BB317" s="52">
        <f t="shared" si="47"/>
        <v>2</v>
      </c>
      <c r="BC317" s="52">
        <f t="shared" si="48"/>
        <v>1</v>
      </c>
      <c r="BE317" s="50">
        <f t="shared" si="43"/>
        <v>0.10526315789473684</v>
      </c>
      <c r="BF317" s="50">
        <f t="shared" si="44"/>
        <v>0.10526315789473684</v>
      </c>
      <c r="BG317" s="50">
        <f t="shared" si="45"/>
        <v>5.2631578947368418E-2</v>
      </c>
    </row>
    <row r="318" spans="4:59" ht="15.6">
      <c r="D318" s="44"/>
      <c r="M318" s="42"/>
      <c r="N318" s="39" t="s">
        <v>26</v>
      </c>
      <c r="O318" s="39" t="s">
        <v>576</v>
      </c>
      <c r="P318" t="s">
        <v>645</v>
      </c>
      <c r="R318" s="41"/>
      <c r="S318" s="42"/>
      <c r="T318" s="42"/>
      <c r="U318" s="42"/>
      <c r="V318" s="45">
        <f t="shared" si="20"/>
        <v>1</v>
      </c>
      <c r="W318" s="45">
        <f t="shared" si="21"/>
        <v>1</v>
      </c>
      <c r="X318" s="45">
        <f t="shared" si="22"/>
        <v>1</v>
      </c>
      <c r="Y318" s="45">
        <f t="shared" si="23"/>
        <v>1</v>
      </c>
      <c r="Z318" s="45">
        <f t="shared" si="24"/>
        <v>1</v>
      </c>
      <c r="AA318" s="45">
        <f t="shared" si="25"/>
        <v>1</v>
      </c>
      <c r="AB318" s="45">
        <f t="shared" si="26"/>
        <v>1</v>
      </c>
      <c r="AC318" s="45">
        <f t="shared" si="27"/>
        <v>0.98207067429382799</v>
      </c>
      <c r="AD318" s="45">
        <f t="shared" si="28"/>
        <v>1</v>
      </c>
      <c r="AE318" s="45">
        <f t="shared" si="29"/>
        <v>0.83830184790539408</v>
      </c>
      <c r="AF318" s="45">
        <f t="shared" si="30"/>
        <v>1</v>
      </c>
      <c r="AG318" s="45">
        <f t="shared" si="31"/>
        <v>1</v>
      </c>
      <c r="AH318" s="45">
        <f t="shared" si="32"/>
        <v>1</v>
      </c>
      <c r="AI318" s="45">
        <f t="shared" si="33"/>
        <v>1</v>
      </c>
      <c r="AJ318" s="45">
        <f t="shared" si="34"/>
        <v>1</v>
      </c>
      <c r="AK318" s="45">
        <f t="shared" si="36"/>
        <v>1</v>
      </c>
      <c r="AL318" s="45">
        <f t="shared" si="37"/>
        <v>1</v>
      </c>
      <c r="AM318" s="45">
        <f t="shared" si="38"/>
        <v>1</v>
      </c>
      <c r="AN318" s="45">
        <f t="shared" si="39"/>
        <v>1</v>
      </c>
      <c r="AS318" s="50" cm="1">
        <f t="array" ref="AS318">SUMPRODUCT(($V318:$AN318&lt;=$I33)*(1))/COUNT($V318:$AN318)</f>
        <v>5.2631578947368418E-2</v>
      </c>
      <c r="AT318" s="50" cm="1">
        <f t="array" ref="AT318">SUMPRODUCT(($V318:$AN318&lt;=$J33)*(1))/COUNT($V318:$AN318)</f>
        <v>5.2631578947368418E-2</v>
      </c>
      <c r="AU318" s="50" cm="1">
        <f t="array" ref="AU318">SUMPRODUCT(($V318:$AN318&lt;=$K33)*(1))/COUNT($V318:$AN318)</f>
        <v>0</v>
      </c>
      <c r="AW318" s="52" cm="1">
        <f t="array" ref="AW318">SUMPRODUCT(($V318:$AN318&lt;=$I33)*(1))</f>
        <v>1</v>
      </c>
      <c r="AX318" s="52" cm="1">
        <f t="array" ref="AX318">SUMPRODUCT(($V318:$AN318&lt;=$J33)*(1))</f>
        <v>1</v>
      </c>
      <c r="AY318" s="52" cm="1">
        <f t="array" ref="AY318">SUMPRODUCT(($V318:$AN318&lt;=$K33)*(1))</f>
        <v>0</v>
      </c>
      <c r="BA318" s="52">
        <f t="shared" si="46"/>
        <v>0</v>
      </c>
      <c r="BB318" s="52">
        <f t="shared" si="47"/>
        <v>1</v>
      </c>
      <c r="BC318" s="52">
        <f t="shared" si="48"/>
        <v>0</v>
      </c>
      <c r="BE318" s="50">
        <f t="shared" si="43"/>
        <v>0</v>
      </c>
      <c r="BF318" s="50">
        <f t="shared" si="44"/>
        <v>5.2631578947368418E-2</v>
      </c>
      <c r="BG318" s="50">
        <f t="shared" si="45"/>
        <v>0</v>
      </c>
    </row>
    <row r="319" spans="4:59" ht="15.6">
      <c r="D319" s="44"/>
      <c r="M319" s="42"/>
      <c r="N319" s="39" t="s">
        <v>26</v>
      </c>
      <c r="O319" s="39" t="s">
        <v>273</v>
      </c>
      <c r="P319" t="s">
        <v>646</v>
      </c>
      <c r="R319" s="41"/>
      <c r="S319" s="42"/>
      <c r="T319" s="42"/>
      <c r="U319" s="42"/>
      <c r="V319" s="45">
        <f t="shared" si="20"/>
        <v>1</v>
      </c>
      <c r="W319" s="45">
        <f t="shared" si="21"/>
        <v>1</v>
      </c>
      <c r="X319" s="45">
        <f t="shared" si="22"/>
        <v>1</v>
      </c>
      <c r="Y319" s="45">
        <f t="shared" si="23"/>
        <v>1</v>
      </c>
      <c r="Z319" s="45">
        <f t="shared" si="24"/>
        <v>1</v>
      </c>
      <c r="AA319" s="45">
        <f t="shared" si="25"/>
        <v>1</v>
      </c>
      <c r="AB319" s="45">
        <f t="shared" si="26"/>
        <v>1</v>
      </c>
      <c r="AC319" s="45">
        <f t="shared" si="27"/>
        <v>1</v>
      </c>
      <c r="AD319" s="45">
        <f t="shared" si="28"/>
        <v>1</v>
      </c>
      <c r="AE319" s="45">
        <f t="shared" si="29"/>
        <v>1</v>
      </c>
      <c r="AF319" s="45">
        <f t="shared" si="30"/>
        <v>1</v>
      </c>
      <c r="AG319" s="45">
        <f t="shared" si="31"/>
        <v>1</v>
      </c>
      <c r="AH319" s="45">
        <f t="shared" si="32"/>
        <v>1</v>
      </c>
      <c r="AI319" s="45">
        <f t="shared" si="33"/>
        <v>1</v>
      </c>
      <c r="AJ319" s="45">
        <f t="shared" si="34"/>
        <v>1</v>
      </c>
      <c r="AK319" s="45">
        <f t="shared" si="36"/>
        <v>1</v>
      </c>
      <c r="AL319" s="45">
        <f t="shared" si="37"/>
        <v>1</v>
      </c>
      <c r="AM319" s="45">
        <f t="shared" si="38"/>
        <v>1</v>
      </c>
      <c r="AN319" s="45">
        <f t="shared" si="39"/>
        <v>0.96822162884794094</v>
      </c>
      <c r="AS319" s="50" cm="1">
        <f t="array" ref="AS319">SUMPRODUCT(($V319:$AN319&lt;=$I34)*(1))/COUNT($V319:$AN319)</f>
        <v>0</v>
      </c>
      <c r="AT319" s="50" cm="1">
        <f t="array" ref="AT319">SUMPRODUCT(($V319:$AN319&lt;=$J34)*(1))/COUNT($V319:$AN319)</f>
        <v>0</v>
      </c>
      <c r="AU319" s="50" cm="1">
        <f t="array" ref="AU319">SUMPRODUCT(($V319:$AN319&lt;=$K34)*(1))/COUNT($V319:$AN319)</f>
        <v>0</v>
      </c>
      <c r="AW319" s="52" cm="1">
        <f t="array" ref="AW319">SUMPRODUCT(($V319:$AN319&lt;=$I34)*(1))</f>
        <v>0</v>
      </c>
      <c r="AX319" s="52" cm="1">
        <f t="array" ref="AX319">SUMPRODUCT(($V319:$AN319&lt;=$J34)*(1))</f>
        <v>0</v>
      </c>
      <c r="AY319" s="52" cm="1">
        <f t="array" ref="AY319">SUMPRODUCT(($V319:$AN319&lt;=$K34)*(1))</f>
        <v>0</v>
      </c>
      <c r="BA319" s="52">
        <f t="shared" si="46"/>
        <v>0</v>
      </c>
      <c r="BB319" s="52">
        <f t="shared" si="47"/>
        <v>0</v>
      </c>
      <c r="BC319" s="52">
        <f t="shared" si="48"/>
        <v>0</v>
      </c>
      <c r="BE319" s="50">
        <f t="shared" si="43"/>
        <v>0</v>
      </c>
      <c r="BF319" s="50">
        <f t="shared" si="44"/>
        <v>0</v>
      </c>
      <c r="BG319" s="50">
        <f t="shared" si="45"/>
        <v>0</v>
      </c>
    </row>
    <row r="320" spans="4:59" ht="15.6">
      <c r="D320" s="44"/>
      <c r="M320" s="42"/>
      <c r="N320" s="39" t="s">
        <v>26</v>
      </c>
      <c r="O320" s="39" t="s">
        <v>245</v>
      </c>
      <c r="P320" t="s">
        <v>647</v>
      </c>
      <c r="R320" s="41"/>
      <c r="S320" s="42"/>
      <c r="T320" s="42"/>
      <c r="U320" s="42"/>
      <c r="V320" s="45">
        <f t="shared" si="20"/>
        <v>1.0066271434679039</v>
      </c>
      <c r="W320" s="45">
        <f t="shared" si="21"/>
        <v>0.87286647959570351</v>
      </c>
      <c r="X320" s="45">
        <f t="shared" si="22"/>
        <v>1.0086626272888983</v>
      </c>
      <c r="Y320" s="45">
        <f t="shared" si="23"/>
        <v>0.99553446257706268</v>
      </c>
      <c r="Z320" s="45">
        <f t="shared" si="24"/>
        <v>0.97212365875354312</v>
      </c>
      <c r="AA320" s="45">
        <f t="shared" si="25"/>
        <v>0.99932548143824496</v>
      </c>
      <c r="AB320" s="45">
        <f t="shared" si="26"/>
        <v>1.0138709267452908</v>
      </c>
      <c r="AC320" s="45">
        <f t="shared" si="27"/>
        <v>1.0126009710185229</v>
      </c>
      <c r="AD320" s="45">
        <f t="shared" si="28"/>
        <v>1.011416462892383</v>
      </c>
      <c r="AE320" s="45">
        <f t="shared" si="29"/>
        <v>0.7345059795483847</v>
      </c>
      <c r="AF320" s="45">
        <f t="shared" si="30"/>
        <v>0.87363043176110267</v>
      </c>
      <c r="AG320" s="45">
        <f t="shared" si="31"/>
        <v>0.99197127529838347</v>
      </c>
      <c r="AH320" s="45">
        <f t="shared" si="32"/>
        <v>0.97142375161443884</v>
      </c>
      <c r="AI320" s="45">
        <f t="shared" si="33"/>
        <v>0.97469275819495427</v>
      </c>
      <c r="AJ320" s="45">
        <f t="shared" si="34"/>
        <v>1.0665569721581938</v>
      </c>
      <c r="AK320" s="45">
        <f t="shared" si="36"/>
        <v>0.97880681730821451</v>
      </c>
      <c r="AL320" s="45">
        <f t="shared" si="37"/>
        <v>0.95186548710348995</v>
      </c>
      <c r="AM320" s="45">
        <f t="shared" si="38"/>
        <v>1.0585282137842715</v>
      </c>
      <c r="AN320" s="45">
        <f t="shared" si="39"/>
        <v>0.83445709680759061</v>
      </c>
      <c r="AS320" s="50" cm="1">
        <f t="array" ref="AS320">SUMPRODUCT(($V320:$AN320&lt;=$I35)*(1))/COUNT($V320:$AN320)</f>
        <v>0.21052631578947367</v>
      </c>
      <c r="AT320" s="50" cm="1">
        <f t="array" ref="AT320">SUMPRODUCT(($V320:$AN320&lt;=$J35)*(1))/COUNT($V320:$AN320)</f>
        <v>0.10526315789473684</v>
      </c>
      <c r="AU320" s="50" cm="1">
        <f t="array" ref="AU320">SUMPRODUCT(($V320:$AN320&lt;=$K35)*(1))/COUNT($V320:$AN320)</f>
        <v>5.2631578947368418E-2</v>
      </c>
      <c r="AW320" s="52" cm="1">
        <f t="array" ref="AW320">SUMPRODUCT(($V320:$AN320&lt;=$I35)*(1))</f>
        <v>4</v>
      </c>
      <c r="AX320" s="52" cm="1">
        <f t="array" ref="AX320">SUMPRODUCT(($V320:$AN320&lt;=$J35)*(1))</f>
        <v>2</v>
      </c>
      <c r="AY320" s="52" cm="1">
        <f t="array" ref="AY320">SUMPRODUCT(($V320:$AN320&lt;=$K35)*(1))</f>
        <v>1</v>
      </c>
      <c r="BA320" s="52">
        <f t="shared" si="46"/>
        <v>2</v>
      </c>
      <c r="BB320" s="52">
        <f t="shared" si="47"/>
        <v>1</v>
      </c>
      <c r="BC320" s="52">
        <f t="shared" si="48"/>
        <v>1</v>
      </c>
      <c r="BE320" s="50">
        <f t="shared" si="43"/>
        <v>0.10526315789473684</v>
      </c>
      <c r="BF320" s="50">
        <f t="shared" si="44"/>
        <v>5.2631578947368418E-2</v>
      </c>
      <c r="BG320" s="50">
        <f t="shared" si="45"/>
        <v>5.2631578947368418E-2</v>
      </c>
    </row>
    <row r="321" spans="4:59" ht="15.6">
      <c r="D321" s="44"/>
      <c r="M321" s="42"/>
      <c r="N321" s="39" t="s">
        <v>26</v>
      </c>
      <c r="O321" s="39" t="s">
        <v>227</v>
      </c>
      <c r="P321" t="s">
        <v>648</v>
      </c>
      <c r="R321" s="41"/>
      <c r="S321" s="42"/>
      <c r="T321" s="42"/>
      <c r="U321" s="42"/>
      <c r="V321" s="45">
        <f t="shared" si="20"/>
        <v>1</v>
      </c>
      <c r="W321" s="45">
        <f t="shared" si="21"/>
        <v>1</v>
      </c>
      <c r="X321" s="45">
        <f t="shared" si="22"/>
        <v>1</v>
      </c>
      <c r="Y321" s="45">
        <f t="shared" si="23"/>
        <v>1</v>
      </c>
      <c r="Z321" s="45">
        <f t="shared" si="24"/>
        <v>1</v>
      </c>
      <c r="AA321" s="45">
        <f t="shared" si="25"/>
        <v>1</v>
      </c>
      <c r="AB321" s="45">
        <f t="shared" si="26"/>
        <v>1</v>
      </c>
      <c r="AC321" s="45">
        <f t="shared" si="27"/>
        <v>1</v>
      </c>
      <c r="AD321" s="45">
        <f t="shared" si="28"/>
        <v>1</v>
      </c>
      <c r="AE321" s="45">
        <f t="shared" si="29"/>
        <v>1</v>
      </c>
      <c r="AF321" s="45">
        <f t="shared" si="30"/>
        <v>1</v>
      </c>
      <c r="AG321" s="45">
        <f t="shared" si="31"/>
        <v>1</v>
      </c>
      <c r="AH321" s="45">
        <f t="shared" si="32"/>
        <v>1</v>
      </c>
      <c r="AI321" s="45">
        <f t="shared" si="33"/>
        <v>1</v>
      </c>
      <c r="AJ321" s="45">
        <f t="shared" si="34"/>
        <v>1</v>
      </c>
      <c r="AK321" s="45">
        <f t="shared" si="36"/>
        <v>1</v>
      </c>
      <c r="AL321" s="45">
        <f t="shared" si="37"/>
        <v>1</v>
      </c>
      <c r="AM321" s="45">
        <f t="shared" si="38"/>
        <v>1</v>
      </c>
      <c r="AN321" s="45">
        <f t="shared" si="39"/>
        <v>1</v>
      </c>
      <c r="AS321" s="50" cm="1">
        <f t="array" ref="AS321">SUMPRODUCT(($V321:$AN321&lt;=$I36)*(1))/COUNT($V321:$AN321)</f>
        <v>0</v>
      </c>
      <c r="AT321" s="50" cm="1">
        <f t="array" ref="AT321">SUMPRODUCT(($V321:$AN321&lt;=$J36)*(1))/COUNT($V321:$AN321)</f>
        <v>0</v>
      </c>
      <c r="AU321" s="50" cm="1">
        <f t="array" ref="AU321">SUMPRODUCT(($V321:$AN321&lt;=$K36)*(1))/COUNT($V321:$AN321)</f>
        <v>0</v>
      </c>
      <c r="AW321" s="52" cm="1">
        <f t="array" ref="AW321">SUMPRODUCT(($V321:$AN321&lt;=$I36)*(1))</f>
        <v>0</v>
      </c>
      <c r="AX321" s="52" cm="1">
        <f t="array" ref="AX321">SUMPRODUCT(($V321:$AN321&lt;=$J36)*(1))</f>
        <v>0</v>
      </c>
      <c r="AY321" s="52" cm="1">
        <f t="array" ref="AY321">SUMPRODUCT(($V321:$AN321&lt;=$K36)*(1))</f>
        <v>0</v>
      </c>
      <c r="BA321" s="52">
        <f t="shared" si="46"/>
        <v>0</v>
      </c>
      <c r="BB321" s="52">
        <f t="shared" si="47"/>
        <v>0</v>
      </c>
      <c r="BC321" s="52">
        <f t="shared" si="48"/>
        <v>0</v>
      </c>
      <c r="BE321" s="50">
        <f t="shared" si="43"/>
        <v>0</v>
      </c>
      <c r="BF321" s="50">
        <f t="shared" si="44"/>
        <v>0</v>
      </c>
      <c r="BG321" s="50">
        <f t="shared" si="45"/>
        <v>0</v>
      </c>
    </row>
    <row r="322" spans="4:59" ht="15.6">
      <c r="D322" s="44"/>
      <c r="M322" s="42"/>
      <c r="N322" s="39" t="s">
        <v>26</v>
      </c>
      <c r="O322" s="39" t="s">
        <v>427</v>
      </c>
      <c r="P322" t="s">
        <v>649</v>
      </c>
      <c r="R322" s="41"/>
      <c r="S322" s="42"/>
      <c r="T322" s="42"/>
      <c r="U322" s="42"/>
      <c r="V322" s="45">
        <f t="shared" si="20"/>
        <v>1</v>
      </c>
      <c r="W322" s="45">
        <f t="shared" si="21"/>
        <v>1</v>
      </c>
      <c r="X322" s="45">
        <f t="shared" si="22"/>
        <v>1</v>
      </c>
      <c r="Y322" s="45">
        <f t="shared" si="23"/>
        <v>1</v>
      </c>
      <c r="Z322" s="45">
        <f t="shared" si="24"/>
        <v>1</v>
      </c>
      <c r="AA322" s="45">
        <f t="shared" si="25"/>
        <v>1</v>
      </c>
      <c r="AB322" s="45">
        <f t="shared" si="26"/>
        <v>1</v>
      </c>
      <c r="AC322" s="45">
        <f t="shared" si="27"/>
        <v>1</v>
      </c>
      <c r="AD322" s="45">
        <f t="shared" si="28"/>
        <v>1</v>
      </c>
      <c r="AE322" s="45">
        <f t="shared" si="29"/>
        <v>0.99289848497315503</v>
      </c>
      <c r="AF322" s="45">
        <f t="shared" si="30"/>
        <v>1</v>
      </c>
      <c r="AG322" s="45">
        <f t="shared" si="31"/>
        <v>1</v>
      </c>
      <c r="AH322" s="45">
        <f t="shared" si="32"/>
        <v>1</v>
      </c>
      <c r="AI322" s="45">
        <f t="shared" si="33"/>
        <v>1</v>
      </c>
      <c r="AJ322" s="45">
        <f t="shared" si="34"/>
        <v>1</v>
      </c>
      <c r="AK322" s="45">
        <f t="shared" si="36"/>
        <v>1</v>
      </c>
      <c r="AL322" s="45">
        <f t="shared" si="37"/>
        <v>1</v>
      </c>
      <c r="AM322" s="45">
        <f t="shared" si="38"/>
        <v>1</v>
      </c>
      <c r="AN322" s="45">
        <f t="shared" si="39"/>
        <v>1</v>
      </c>
      <c r="AS322" s="50" cm="1">
        <f t="array" ref="AS322">SUMPRODUCT(($V322:$AN322&lt;=$I37)*(1))/COUNT($V322:$AN322)</f>
        <v>0</v>
      </c>
      <c r="AT322" s="50" cm="1">
        <f t="array" ref="AT322">SUMPRODUCT(($V322:$AN322&lt;=$J37)*(1))/COUNT($V322:$AN322)</f>
        <v>0</v>
      </c>
      <c r="AU322" s="50" cm="1">
        <f t="array" ref="AU322">SUMPRODUCT(($V322:$AN322&lt;=$K37)*(1))/COUNT($V322:$AN322)</f>
        <v>0</v>
      </c>
      <c r="AW322" s="52" cm="1">
        <f t="array" ref="AW322">SUMPRODUCT(($V322:$AN322&lt;=$I37)*(1))</f>
        <v>0</v>
      </c>
      <c r="AX322" s="52" cm="1">
        <f t="array" ref="AX322">SUMPRODUCT(($V322:$AN322&lt;=$J37)*(1))</f>
        <v>0</v>
      </c>
      <c r="AY322" s="52" cm="1">
        <f t="array" ref="AY322">SUMPRODUCT(($V322:$AN322&lt;=$K37)*(1))</f>
        <v>0</v>
      </c>
      <c r="BA322" s="52">
        <f t="shared" si="46"/>
        <v>0</v>
      </c>
      <c r="BB322" s="52">
        <f t="shared" si="47"/>
        <v>0</v>
      </c>
      <c r="BC322" s="52">
        <f t="shared" si="48"/>
        <v>0</v>
      </c>
      <c r="BE322" s="50">
        <f t="shared" si="43"/>
        <v>0</v>
      </c>
      <c r="BF322" s="50">
        <f t="shared" si="44"/>
        <v>0</v>
      </c>
      <c r="BG322" s="50">
        <f t="shared" si="45"/>
        <v>0</v>
      </c>
    </row>
    <row r="323" spans="4:59" ht="15.6">
      <c r="D323" s="44"/>
      <c r="M323" s="42"/>
      <c r="N323" s="39" t="s">
        <v>26</v>
      </c>
      <c r="O323" s="39" t="s">
        <v>505</v>
      </c>
      <c r="P323" t="s">
        <v>650</v>
      </c>
      <c r="R323" s="41"/>
      <c r="S323" s="42"/>
      <c r="T323" s="42"/>
      <c r="U323" s="42"/>
      <c r="V323" s="45">
        <f t="shared" si="20"/>
        <v>1</v>
      </c>
      <c r="W323" s="45">
        <f t="shared" si="21"/>
        <v>0.853672604550059</v>
      </c>
      <c r="X323" s="45">
        <f t="shared" si="22"/>
        <v>1</v>
      </c>
      <c r="Y323" s="45">
        <f t="shared" si="23"/>
        <v>0.99978908349488405</v>
      </c>
      <c r="Z323" s="45">
        <f t="shared" si="24"/>
        <v>0.99703484828819378</v>
      </c>
      <c r="AA323" s="45">
        <f t="shared" si="25"/>
        <v>0.99505403656696223</v>
      </c>
      <c r="AB323" s="45">
        <f t="shared" si="26"/>
        <v>1.0031855583759506</v>
      </c>
      <c r="AC323" s="45">
        <f t="shared" si="27"/>
        <v>1.0002109610002727</v>
      </c>
      <c r="AD323" s="45">
        <f t="shared" si="28"/>
        <v>1.0002109610002727</v>
      </c>
      <c r="AE323" s="45">
        <f t="shared" si="29"/>
        <v>0.84885182649819801</v>
      </c>
      <c r="AF323" s="45">
        <f t="shared" si="30"/>
        <v>0.97832533023332702</v>
      </c>
      <c r="AG323" s="45">
        <f t="shared" si="31"/>
        <v>1</v>
      </c>
      <c r="AH323" s="45">
        <f t="shared" si="32"/>
        <v>1</v>
      </c>
      <c r="AI323" s="45">
        <f t="shared" si="33"/>
        <v>0.89984893396215793</v>
      </c>
      <c r="AJ323" s="45">
        <f t="shared" si="34"/>
        <v>1.0221548692411999</v>
      </c>
      <c r="AK323" s="45">
        <f t="shared" si="36"/>
        <v>0.99847806045098197</v>
      </c>
      <c r="AL323" s="45">
        <f t="shared" si="37"/>
        <v>1</v>
      </c>
      <c r="AM323" s="45">
        <f t="shared" si="38"/>
        <v>1</v>
      </c>
      <c r="AN323" s="45">
        <f t="shared" si="39"/>
        <v>0.98433409072926903</v>
      </c>
      <c r="AS323" s="50" cm="1">
        <f t="array" ref="AS323">SUMPRODUCT(($V323:$AN323&lt;=$I38)*(1))/COUNT($V323:$AN323)</f>
        <v>0.15789473684210525</v>
      </c>
      <c r="AT323" s="50" cm="1">
        <f t="array" ref="AT323">SUMPRODUCT(($V323:$AN323&lt;=$J38)*(1))/COUNT($V323:$AN323)</f>
        <v>5.2631578947368418E-2</v>
      </c>
      <c r="AU323" s="50" cm="1">
        <f t="array" ref="AU323">SUMPRODUCT(($V323:$AN323&lt;=$K38)*(1))/COUNT($V323:$AN323)</f>
        <v>0</v>
      </c>
      <c r="AW323" s="52" cm="1">
        <f t="array" ref="AW323">SUMPRODUCT(($V323:$AN323&lt;=$I38)*(1))</f>
        <v>3</v>
      </c>
      <c r="AX323" s="52" cm="1">
        <f t="array" ref="AX323">SUMPRODUCT(($V323:$AN323&lt;=$J38)*(1))</f>
        <v>1</v>
      </c>
      <c r="AY323" s="52" cm="1">
        <f t="array" ref="AY323">SUMPRODUCT(($V323:$AN323&lt;=$K38)*(1))</f>
        <v>0</v>
      </c>
      <c r="BA323" s="52">
        <f t="shared" si="46"/>
        <v>2</v>
      </c>
      <c r="BB323" s="52">
        <f t="shared" si="47"/>
        <v>1</v>
      </c>
      <c r="BC323" s="52">
        <f t="shared" si="48"/>
        <v>0</v>
      </c>
      <c r="BE323" s="50">
        <f t="shared" si="43"/>
        <v>0.10526315789473684</v>
      </c>
      <c r="BF323" s="50">
        <f t="shared" si="44"/>
        <v>5.2631578947368418E-2</v>
      </c>
      <c r="BG323" s="50">
        <f t="shared" si="45"/>
        <v>0</v>
      </c>
    </row>
    <row r="324" spans="4:59" ht="15.6">
      <c r="D324" s="44"/>
      <c r="M324" s="42"/>
      <c r="N324" s="39" t="s">
        <v>26</v>
      </c>
      <c r="O324" s="39" t="s">
        <v>429</v>
      </c>
      <c r="P324" t="s">
        <v>651</v>
      </c>
      <c r="R324" s="41"/>
      <c r="S324" s="42"/>
      <c r="T324" s="42"/>
      <c r="U324" s="42"/>
      <c r="V324" s="45">
        <f t="shared" si="20"/>
        <v>1.00011904087057</v>
      </c>
      <c r="W324" s="45">
        <f t="shared" si="21"/>
        <v>0.99288293174245523</v>
      </c>
      <c r="X324" s="45">
        <f t="shared" si="22"/>
        <v>1.0011773937256065</v>
      </c>
      <c r="Y324" s="45">
        <f t="shared" si="23"/>
        <v>0.98705399473302813</v>
      </c>
      <c r="Z324" s="45">
        <f t="shared" si="24"/>
        <v>0.99905559669476385</v>
      </c>
      <c r="AA324" s="45">
        <f t="shared" si="25"/>
        <v>0.9992749511932868</v>
      </c>
      <c r="AB324" s="45">
        <f t="shared" si="26"/>
        <v>1.003451623066165</v>
      </c>
      <c r="AC324" s="45">
        <f t="shared" si="27"/>
        <v>1.001613823792538</v>
      </c>
      <c r="AD324" s="45">
        <f t="shared" si="28"/>
        <v>1.0027240716642665</v>
      </c>
      <c r="AE324" s="45">
        <f t="shared" si="29"/>
        <v>0.97169932267092496</v>
      </c>
      <c r="AF324" s="45">
        <f t="shared" si="30"/>
        <v>0.99925412135180347</v>
      </c>
      <c r="AG324" s="45">
        <f t="shared" si="31"/>
        <v>0.99995147686411912</v>
      </c>
      <c r="AH324" s="45">
        <f t="shared" si="32"/>
        <v>0.99646051728702534</v>
      </c>
      <c r="AI324" s="45">
        <f t="shared" si="33"/>
        <v>0.99732212864182324</v>
      </c>
      <c r="AJ324" s="45">
        <f t="shared" si="34"/>
        <v>1.0039124017284562</v>
      </c>
      <c r="AK324" s="45">
        <f t="shared" si="36"/>
        <v>1.0018557218056665</v>
      </c>
      <c r="AL324" s="45">
        <f t="shared" si="37"/>
        <v>0.99927529497861756</v>
      </c>
      <c r="AM324" s="45">
        <f t="shared" si="38"/>
        <v>1.0018831080124202</v>
      </c>
      <c r="AN324" s="45">
        <f t="shared" si="39"/>
        <v>0.99077420533672234</v>
      </c>
      <c r="AS324" s="50" cm="1">
        <f t="array" ref="AS324">SUMPRODUCT(($V324:$AN324&lt;=$I39)*(1))/COUNT($V324:$AN324)</f>
        <v>0</v>
      </c>
      <c r="AT324" s="50" cm="1">
        <f t="array" ref="AT324">SUMPRODUCT(($V324:$AN324&lt;=$J39)*(1))/COUNT($V324:$AN324)</f>
        <v>0</v>
      </c>
      <c r="AU324" s="50" cm="1">
        <f t="array" ref="AU324">SUMPRODUCT(($V324:$AN324&lt;=$K39)*(1))/COUNT($V324:$AN324)</f>
        <v>0</v>
      </c>
      <c r="AW324" s="52" cm="1">
        <f t="array" ref="AW324">SUMPRODUCT(($V324:$AN324&lt;=$I39)*(1))</f>
        <v>0</v>
      </c>
      <c r="AX324" s="52" cm="1">
        <f t="array" ref="AX324">SUMPRODUCT(($V324:$AN324&lt;=$J39)*(1))</f>
        <v>0</v>
      </c>
      <c r="AY324" s="52" cm="1">
        <f t="array" ref="AY324">SUMPRODUCT(($V324:$AN324&lt;=$K39)*(1))</f>
        <v>0</v>
      </c>
      <c r="BA324" s="52">
        <f t="shared" si="46"/>
        <v>0</v>
      </c>
      <c r="BB324" s="52">
        <f t="shared" si="47"/>
        <v>0</v>
      </c>
      <c r="BC324" s="52">
        <f t="shared" si="48"/>
        <v>0</v>
      </c>
      <c r="BE324" s="50">
        <f t="shared" si="43"/>
        <v>0</v>
      </c>
      <c r="BF324" s="50">
        <f t="shared" si="44"/>
        <v>0</v>
      </c>
      <c r="BG324" s="50">
        <f t="shared" si="45"/>
        <v>0</v>
      </c>
    </row>
    <row r="325" spans="4:59" ht="15.6">
      <c r="D325" s="44"/>
      <c r="M325" s="42"/>
      <c r="N325" s="39" t="s">
        <v>26</v>
      </c>
      <c r="O325" s="39" t="s">
        <v>508</v>
      </c>
      <c r="P325" s="91" t="s">
        <v>652</v>
      </c>
      <c r="R325" s="41"/>
      <c r="S325" s="42"/>
      <c r="T325" s="42"/>
      <c r="U325" s="42"/>
      <c r="V325" s="45">
        <f t="shared" si="20"/>
        <v>1.0015967442774647</v>
      </c>
      <c r="W325" s="45">
        <f t="shared" si="21"/>
        <v>0.9075299073854981</v>
      </c>
      <c r="X325" s="45">
        <f t="shared" si="22"/>
        <v>1.0036270350692493</v>
      </c>
      <c r="Y325" s="45">
        <f t="shared" si="23"/>
        <v>1.0035234450173822</v>
      </c>
      <c r="Z325" s="45">
        <f t="shared" si="24"/>
        <v>1.0001032263395353</v>
      </c>
      <c r="AA325" s="45">
        <f t="shared" si="25"/>
        <v>0.99897892816245504</v>
      </c>
      <c r="AB325" s="45">
        <f t="shared" si="26"/>
        <v>1.0001032263395353</v>
      </c>
      <c r="AC325" s="45">
        <f t="shared" si="27"/>
        <v>0.974760379758701</v>
      </c>
      <c r="AD325" s="45">
        <f t="shared" si="28"/>
        <v>0.98947425253921717</v>
      </c>
      <c r="AE325" s="45">
        <f t="shared" si="29"/>
        <v>0.85504154554526124</v>
      </c>
      <c r="AF325" s="45">
        <f t="shared" si="30"/>
        <v>0.99379865659572419</v>
      </c>
      <c r="AG325" s="45">
        <f t="shared" si="31"/>
        <v>1.0170491126261345</v>
      </c>
      <c r="AH325" s="45">
        <f t="shared" si="32"/>
        <v>1.0170491126261345</v>
      </c>
      <c r="AI325" s="45">
        <f t="shared" si="33"/>
        <v>1.0071911668601357</v>
      </c>
      <c r="AJ325" s="45">
        <f t="shared" si="34"/>
        <v>0.99497679374600412</v>
      </c>
      <c r="AK325" s="45">
        <f t="shared" si="36"/>
        <v>1.0008727242709579</v>
      </c>
      <c r="AL325" s="45">
        <f t="shared" si="37"/>
        <v>1.0026504849266897</v>
      </c>
      <c r="AM325" s="45">
        <f t="shared" si="38"/>
        <v>1.0026504849266897</v>
      </c>
      <c r="AN325" s="45">
        <f t="shared" si="39"/>
        <v>0.88745974351657397</v>
      </c>
      <c r="AS325" s="50" cm="1">
        <f t="array" ref="AS325">SUMPRODUCT(($V325:$AN325&lt;=$I40)*(1))/COUNT($V325:$AN325)</f>
        <v>0.15789473684210525</v>
      </c>
      <c r="AT325" s="50" cm="1">
        <f t="array" ref="AT325">SUMPRODUCT(($V325:$AN325&lt;=$J40)*(1))/COUNT($V325:$AN325)</f>
        <v>0</v>
      </c>
      <c r="AU325" s="50" cm="1">
        <f t="array" ref="AU325">SUMPRODUCT(($V325:$AN325&lt;=$K40)*(1))/COUNT($V325:$AN325)</f>
        <v>0</v>
      </c>
      <c r="AW325" s="52" cm="1">
        <f t="array" ref="AW325">SUMPRODUCT(($V325:$AN325&lt;=$I40)*(1))</f>
        <v>3</v>
      </c>
      <c r="AX325" s="52" cm="1">
        <f t="array" ref="AX325">SUMPRODUCT(($V325:$AN325&lt;=$J40)*(1))</f>
        <v>0</v>
      </c>
      <c r="AY325" s="52" cm="1">
        <f t="array" ref="AY325">SUMPRODUCT(($V325:$AN325&lt;=$K40)*(1))</f>
        <v>0</v>
      </c>
      <c r="BA325" s="52">
        <f t="shared" si="46"/>
        <v>3</v>
      </c>
      <c r="BB325" s="52">
        <f t="shared" si="47"/>
        <v>0</v>
      </c>
      <c r="BC325" s="52">
        <f t="shared" si="48"/>
        <v>0</v>
      </c>
      <c r="BE325" s="50">
        <f t="shared" si="43"/>
        <v>0.15789473684210525</v>
      </c>
      <c r="BF325" s="50">
        <f t="shared" si="44"/>
        <v>0</v>
      </c>
      <c r="BG325" s="50">
        <f t="shared" si="45"/>
        <v>0</v>
      </c>
    </row>
    <row r="326" spans="4:59" ht="15.6">
      <c r="D326" s="44"/>
      <c r="M326" s="42"/>
      <c r="N326" s="39" t="s">
        <v>26</v>
      </c>
      <c r="O326" s="39" t="s">
        <v>508</v>
      </c>
      <c r="P326" t="s">
        <v>653</v>
      </c>
      <c r="R326" s="41"/>
      <c r="S326" s="42"/>
      <c r="T326" s="42"/>
      <c r="U326" s="42"/>
      <c r="V326" s="45">
        <f t="shared" si="20"/>
        <v>1.0119723932709976</v>
      </c>
      <c r="W326" s="45">
        <f t="shared" si="21"/>
        <v>0.81490264255687905</v>
      </c>
      <c r="X326" s="45">
        <f t="shared" si="22"/>
        <v>1.0384541205076094</v>
      </c>
      <c r="Y326" s="45">
        <f t="shared" si="23"/>
        <v>1.0046579152463972</v>
      </c>
      <c r="Z326" s="45">
        <f t="shared" si="24"/>
        <v>1.0265903848767193</v>
      </c>
      <c r="AA326" s="45">
        <f t="shared" si="25"/>
        <v>0.97586835637762814</v>
      </c>
      <c r="AB326" s="45">
        <f t="shared" si="26"/>
        <v>1.0331161858693914</v>
      </c>
      <c r="AC326" s="45">
        <f t="shared" si="27"/>
        <v>0.94403685423732819</v>
      </c>
      <c r="AD326" s="45">
        <f t="shared" si="28"/>
        <v>0.9973406041637255</v>
      </c>
      <c r="AE326" s="45">
        <f t="shared" si="29"/>
        <v>0.78497041567996961</v>
      </c>
      <c r="AF326" s="45">
        <f t="shared" si="30"/>
        <v>1.0018158241336987</v>
      </c>
      <c r="AG326" s="45">
        <f t="shared" si="31"/>
        <v>1.0424083140001452</v>
      </c>
      <c r="AH326" s="45">
        <f t="shared" si="32"/>
        <v>1.0426249504354415</v>
      </c>
      <c r="AI326" s="45">
        <f t="shared" si="33"/>
        <v>1.0189637670559366</v>
      </c>
      <c r="AJ326" s="45">
        <f t="shared" si="34"/>
        <v>1.014727777154711</v>
      </c>
      <c r="AK326" s="45">
        <f t="shared" si="36"/>
        <v>0.99049972789890828</v>
      </c>
      <c r="AL326" s="45">
        <f t="shared" si="37"/>
        <v>0.99445186369980421</v>
      </c>
      <c r="AM326" s="45">
        <f t="shared" si="38"/>
        <v>1.0079373689804945</v>
      </c>
      <c r="AN326" s="45">
        <f t="shared" si="39"/>
        <v>0.8421857603139169</v>
      </c>
      <c r="AS326" s="50" cm="1">
        <f t="array" ref="AS326">SUMPRODUCT(($V326:$AN326&lt;=$I41)*(1))/COUNT($V326:$AN326)</f>
        <v>0.21052631578947367</v>
      </c>
      <c r="AT326" s="50" cm="1">
        <f t="array" ref="AT326">SUMPRODUCT(($V326:$AN326&lt;=$J41)*(1))/COUNT($V326:$AN326)</f>
        <v>0.15789473684210525</v>
      </c>
      <c r="AU326" s="50" cm="1">
        <f t="array" ref="AU326">SUMPRODUCT(($V326:$AN326&lt;=$K41)*(1))/COUNT($V326:$AN326)</f>
        <v>0</v>
      </c>
      <c r="AW326" s="52" cm="1">
        <f t="array" ref="AW326">SUMPRODUCT(($V326:$AN326&lt;=$I41)*(1))</f>
        <v>4</v>
      </c>
      <c r="AX326" s="52" cm="1">
        <f t="array" ref="AX326">SUMPRODUCT(($V326:$AN326&lt;=$J41)*(1))</f>
        <v>3</v>
      </c>
      <c r="AY326" s="52" cm="1">
        <f t="array" ref="AY326">SUMPRODUCT(($V326:$AN326&lt;=$K41)*(1))</f>
        <v>0</v>
      </c>
      <c r="BA326" s="52">
        <f t="shared" si="46"/>
        <v>1</v>
      </c>
      <c r="BB326" s="52">
        <f t="shared" si="47"/>
        <v>3</v>
      </c>
      <c r="BC326" s="52">
        <f t="shared" si="48"/>
        <v>0</v>
      </c>
      <c r="BE326" s="50">
        <f t="shared" si="43"/>
        <v>5.2631578947368418E-2</v>
      </c>
      <c r="BF326" s="50">
        <f t="shared" si="44"/>
        <v>0.15789473684210525</v>
      </c>
      <c r="BG326" s="50">
        <f t="shared" si="45"/>
        <v>0</v>
      </c>
    </row>
    <row r="327" spans="4:59" ht="15.6">
      <c r="D327" s="44"/>
      <c r="M327" s="42"/>
      <c r="N327" s="39" t="s">
        <v>26</v>
      </c>
      <c r="O327" s="39" t="s">
        <v>508</v>
      </c>
      <c r="P327" t="s">
        <v>654</v>
      </c>
      <c r="R327" s="41"/>
      <c r="S327" s="42"/>
      <c r="T327" s="42"/>
      <c r="U327" s="42"/>
      <c r="V327" s="45">
        <f t="shared" si="20"/>
        <v>1</v>
      </c>
      <c r="W327" s="45">
        <f t="shared" si="21"/>
        <v>0.84920365183226099</v>
      </c>
      <c r="X327" s="45">
        <f t="shared" si="22"/>
        <v>1</v>
      </c>
      <c r="Y327" s="45">
        <f t="shared" si="23"/>
        <v>0.99596525407984204</v>
      </c>
      <c r="Z327" s="45">
        <f t="shared" si="24"/>
        <v>1.0040510910432168</v>
      </c>
      <c r="AA327" s="45">
        <f t="shared" si="25"/>
        <v>1</v>
      </c>
      <c r="AB327" s="45">
        <f t="shared" si="26"/>
        <v>1</v>
      </c>
      <c r="AC327" s="45">
        <f t="shared" si="27"/>
        <v>0.99001470296375904</v>
      </c>
      <c r="AD327" s="45">
        <f t="shared" si="28"/>
        <v>1</v>
      </c>
      <c r="AE327" s="45">
        <f t="shared" si="29"/>
        <v>0.86182449053352306</v>
      </c>
      <c r="AF327" s="45">
        <f t="shared" si="30"/>
        <v>0.99246861229310301</v>
      </c>
      <c r="AG327" s="45">
        <f t="shared" si="31"/>
        <v>1.0075885399433395</v>
      </c>
      <c r="AH327" s="45">
        <f t="shared" si="32"/>
        <v>1.0075885399433395</v>
      </c>
      <c r="AI327" s="45">
        <f t="shared" si="33"/>
        <v>1</v>
      </c>
      <c r="AJ327" s="45">
        <f t="shared" si="34"/>
        <v>0.99902142933072791</v>
      </c>
      <c r="AK327" s="45">
        <f t="shared" si="36"/>
        <v>1</v>
      </c>
      <c r="AL327" s="45">
        <f t="shared" si="37"/>
        <v>1</v>
      </c>
      <c r="AM327" s="45">
        <f t="shared" si="38"/>
        <v>1</v>
      </c>
      <c r="AN327" s="45">
        <f t="shared" si="39"/>
        <v>0.85258617663622505</v>
      </c>
      <c r="AS327" s="50" cm="1">
        <f t="array" ref="AS327">SUMPRODUCT(($V327:$AN327&lt;=$I42)*(1))/COUNT($V327:$AN327)</f>
        <v>0.15789473684210525</v>
      </c>
      <c r="AT327" s="50" cm="1">
        <f t="array" ref="AT327">SUMPRODUCT(($V327:$AN327&lt;=$J42)*(1))/COUNT($V327:$AN327)</f>
        <v>5.2631578947368418E-2</v>
      </c>
      <c r="AU327" s="50" cm="1">
        <f t="array" ref="AU327">SUMPRODUCT(($V327:$AN327&lt;=$K42)*(1))/COUNT($V327:$AN327)</f>
        <v>0</v>
      </c>
      <c r="AW327" s="52" cm="1">
        <f t="array" ref="AW327">SUMPRODUCT(($V327:$AN327&lt;=$I42)*(1))</f>
        <v>3</v>
      </c>
      <c r="AX327" s="52" cm="1">
        <f t="array" ref="AX327">SUMPRODUCT(($V327:$AN327&lt;=$J42)*(1))</f>
        <v>1</v>
      </c>
      <c r="AY327" s="52" cm="1">
        <f t="array" ref="AY327">SUMPRODUCT(($V327:$AN327&lt;=$K42)*(1))</f>
        <v>0</v>
      </c>
      <c r="BA327" s="52">
        <f t="shared" si="46"/>
        <v>2</v>
      </c>
      <c r="BB327" s="52">
        <f t="shared" si="47"/>
        <v>1</v>
      </c>
      <c r="BC327" s="52">
        <f t="shared" si="48"/>
        <v>0</v>
      </c>
      <c r="BE327" s="50">
        <f t="shared" si="43"/>
        <v>0.10526315789473684</v>
      </c>
      <c r="BF327" s="50">
        <f t="shared" si="44"/>
        <v>5.2631578947368418E-2</v>
      </c>
      <c r="BG327" s="50">
        <f t="shared" si="45"/>
        <v>0</v>
      </c>
    </row>
    <row r="328" spans="4:59" ht="15.6">
      <c r="D328" s="44"/>
      <c r="M328" s="42"/>
      <c r="N328" s="39" t="s">
        <v>26</v>
      </c>
      <c r="O328" s="39" t="s">
        <v>240</v>
      </c>
      <c r="P328" t="s">
        <v>655</v>
      </c>
      <c r="R328" s="41"/>
      <c r="S328" s="42"/>
      <c r="T328" s="42"/>
      <c r="U328" s="42"/>
      <c r="V328" s="45">
        <f t="shared" si="20"/>
        <v>1</v>
      </c>
      <c r="W328" s="45">
        <f t="shared" si="21"/>
        <v>0.99529959362539899</v>
      </c>
      <c r="X328" s="45">
        <f t="shared" si="22"/>
        <v>1</v>
      </c>
      <c r="Y328" s="45">
        <f t="shared" si="23"/>
        <v>1</v>
      </c>
      <c r="Z328" s="45">
        <f t="shared" si="24"/>
        <v>1</v>
      </c>
      <c r="AA328" s="45">
        <f t="shared" si="25"/>
        <v>1</v>
      </c>
      <c r="AB328" s="45">
        <f t="shared" si="26"/>
        <v>1</v>
      </c>
      <c r="AC328" s="45">
        <f t="shared" si="27"/>
        <v>1</v>
      </c>
      <c r="AD328" s="45">
        <f t="shared" si="28"/>
        <v>1</v>
      </c>
      <c r="AE328" s="45">
        <f t="shared" si="29"/>
        <v>0.99200552087710303</v>
      </c>
      <c r="AF328" s="45">
        <f t="shared" si="30"/>
        <v>1</v>
      </c>
      <c r="AG328" s="45">
        <f t="shared" si="31"/>
        <v>1</v>
      </c>
      <c r="AH328" s="45">
        <f t="shared" si="32"/>
        <v>1</v>
      </c>
      <c r="AI328" s="45">
        <f t="shared" si="33"/>
        <v>1</v>
      </c>
      <c r="AJ328" s="45">
        <f t="shared" si="34"/>
        <v>1</v>
      </c>
      <c r="AK328" s="45">
        <f t="shared" si="36"/>
        <v>1</v>
      </c>
      <c r="AL328" s="45">
        <f t="shared" si="37"/>
        <v>1</v>
      </c>
      <c r="AM328" s="45">
        <f t="shared" si="38"/>
        <v>1</v>
      </c>
      <c r="AN328" s="45">
        <f t="shared" si="39"/>
        <v>1</v>
      </c>
      <c r="AS328" s="50" cm="1">
        <f t="array" ref="AS328">SUMPRODUCT(($V328:$AN328&lt;=$I43)*(1))/COUNT($V328:$AN328)</f>
        <v>0</v>
      </c>
      <c r="AT328" s="50" cm="1">
        <f t="array" ref="AT328">SUMPRODUCT(($V328:$AN328&lt;=$J43)*(1))/COUNT($V328:$AN328)</f>
        <v>0</v>
      </c>
      <c r="AU328" s="50" cm="1">
        <f t="array" ref="AU328">SUMPRODUCT(($V328:$AN328&lt;=$K43)*(1))/COUNT($V328:$AN328)</f>
        <v>0</v>
      </c>
      <c r="AW328" s="52" cm="1">
        <f t="array" ref="AW328">SUMPRODUCT(($V328:$AN328&lt;=$I43)*(1))</f>
        <v>0</v>
      </c>
      <c r="AX328" s="52" cm="1">
        <f t="array" ref="AX328">SUMPRODUCT(($V328:$AN328&lt;=$J43)*(1))</f>
        <v>0</v>
      </c>
      <c r="AY328" s="52" cm="1">
        <f t="array" ref="AY328">SUMPRODUCT(($V328:$AN328&lt;=$K43)*(1))</f>
        <v>0</v>
      </c>
      <c r="BA328" s="52">
        <f t="shared" si="46"/>
        <v>0</v>
      </c>
      <c r="BB328" s="52">
        <f t="shared" si="47"/>
        <v>0</v>
      </c>
      <c r="BC328" s="52">
        <f t="shared" si="48"/>
        <v>0</v>
      </c>
      <c r="BE328" s="50">
        <f t="shared" si="43"/>
        <v>0</v>
      </c>
      <c r="BF328" s="50">
        <f t="shared" si="44"/>
        <v>0</v>
      </c>
      <c r="BG328" s="50">
        <f t="shared" si="45"/>
        <v>0</v>
      </c>
    </row>
    <row r="329" spans="4:59" ht="15.6">
      <c r="D329" s="44"/>
      <c r="M329" s="42"/>
      <c r="N329" s="39" t="s">
        <v>26</v>
      </c>
      <c r="O329" s="39" t="s">
        <v>505</v>
      </c>
      <c r="P329" t="s">
        <v>56</v>
      </c>
      <c r="R329" s="41"/>
      <c r="S329" s="42"/>
      <c r="T329" s="42"/>
      <c r="U329" s="42"/>
      <c r="V329" s="45">
        <f t="shared" si="20"/>
        <v>1</v>
      </c>
      <c r="W329" s="45">
        <f t="shared" si="21"/>
        <v>0.90294653264570501</v>
      </c>
      <c r="X329" s="45">
        <f t="shared" si="22"/>
        <v>1.0008729314365632</v>
      </c>
      <c r="Y329" s="45">
        <f t="shared" si="23"/>
        <v>1</v>
      </c>
      <c r="Z329" s="45">
        <f t="shared" si="24"/>
        <v>1</v>
      </c>
      <c r="AA329" s="45">
        <f t="shared" si="25"/>
        <v>1</v>
      </c>
      <c r="AB329" s="45">
        <f t="shared" si="26"/>
        <v>1</v>
      </c>
      <c r="AC329" s="45">
        <f t="shared" si="27"/>
        <v>1</v>
      </c>
      <c r="AD329" s="45">
        <f t="shared" si="28"/>
        <v>1</v>
      </c>
      <c r="AE329" s="45">
        <f t="shared" si="29"/>
        <v>0.88389331675125504</v>
      </c>
      <c r="AF329" s="45">
        <f t="shared" si="30"/>
        <v>0.985370087401235</v>
      </c>
      <c r="AG329" s="45">
        <f t="shared" si="31"/>
        <v>1</v>
      </c>
      <c r="AH329" s="45">
        <f t="shared" si="32"/>
        <v>1</v>
      </c>
      <c r="AI329" s="45">
        <f t="shared" si="33"/>
        <v>0.96041734442073701</v>
      </c>
      <c r="AJ329" s="45">
        <f t="shared" si="34"/>
        <v>1.0148471247359956</v>
      </c>
      <c r="AK329" s="45">
        <f t="shared" si="36"/>
        <v>0.99881810621920497</v>
      </c>
      <c r="AL329" s="45">
        <f t="shared" si="37"/>
        <v>1</v>
      </c>
      <c r="AM329" s="45">
        <f t="shared" si="38"/>
        <v>1</v>
      </c>
      <c r="AN329" s="45">
        <f t="shared" si="39"/>
        <v>0.96215843413313096</v>
      </c>
      <c r="AS329" s="50" cm="1">
        <f t="array" ref="AS329">SUMPRODUCT(($V329:$AN329&lt;=$I44)*(1))/COUNT($V329:$AN329)</f>
        <v>0.10526315789473684</v>
      </c>
      <c r="AT329" s="50" cm="1">
        <f t="array" ref="AT329">SUMPRODUCT(($V329:$AN329&lt;=$J44)*(1))/COUNT($V329:$AN329)</f>
        <v>0</v>
      </c>
      <c r="AU329" s="50" cm="1">
        <f t="array" ref="AU329">SUMPRODUCT(($V329:$AN329&lt;=$K44)*(1))/COUNT($V329:$AN329)</f>
        <v>0</v>
      </c>
      <c r="AW329" s="52" cm="1">
        <f t="array" ref="AW329">SUMPRODUCT(($V329:$AN329&lt;=$I44)*(1))</f>
        <v>2</v>
      </c>
      <c r="AX329" s="52" cm="1">
        <f t="array" ref="AX329">SUMPRODUCT(($V329:$AN329&lt;=$J44)*(1))</f>
        <v>0</v>
      </c>
      <c r="AY329" s="52" cm="1">
        <f t="array" ref="AY329">SUMPRODUCT(($V329:$AN329&lt;=$K44)*(1))</f>
        <v>0</v>
      </c>
      <c r="BA329" s="52">
        <f t="shared" si="46"/>
        <v>2</v>
      </c>
      <c r="BB329" s="52">
        <f t="shared" si="47"/>
        <v>0</v>
      </c>
      <c r="BC329" s="52">
        <f t="shared" si="48"/>
        <v>0</v>
      </c>
      <c r="BE329" s="50">
        <f t="shared" si="43"/>
        <v>0.10526315789473684</v>
      </c>
      <c r="BF329" s="50">
        <f t="shared" si="44"/>
        <v>0</v>
      </c>
      <c r="BG329" s="50">
        <f t="shared" si="45"/>
        <v>0</v>
      </c>
    </row>
    <row r="330" spans="4:59" ht="15.6">
      <c r="D330" s="44"/>
      <c r="M330" s="42"/>
      <c r="N330" s="39" t="s">
        <v>26</v>
      </c>
      <c r="O330" s="39" t="s">
        <v>601</v>
      </c>
      <c r="P330" t="s">
        <v>656</v>
      </c>
      <c r="R330" s="41"/>
      <c r="S330" s="42"/>
      <c r="T330" s="42"/>
      <c r="U330" s="42"/>
      <c r="V330" s="45">
        <f t="shared" si="20"/>
        <v>1</v>
      </c>
      <c r="W330" s="45">
        <f t="shared" si="21"/>
        <v>0.91365981372204108</v>
      </c>
      <c r="X330" s="45">
        <f t="shared" si="22"/>
        <v>1.0944992709334875</v>
      </c>
      <c r="Y330" s="45">
        <f t="shared" si="23"/>
        <v>1.0944992709334875</v>
      </c>
      <c r="Z330" s="45">
        <f t="shared" si="24"/>
        <v>1</v>
      </c>
      <c r="AA330" s="45">
        <f t="shared" si="25"/>
        <v>1</v>
      </c>
      <c r="AB330" s="45">
        <f t="shared" si="26"/>
        <v>1</v>
      </c>
      <c r="AC330" s="45">
        <f t="shared" si="27"/>
        <v>0.90136244975636004</v>
      </c>
      <c r="AD330" s="45">
        <f t="shared" si="28"/>
        <v>1</v>
      </c>
      <c r="AE330" s="45">
        <f t="shared" si="29"/>
        <v>0.82594106514847299</v>
      </c>
      <c r="AF330" s="45">
        <f t="shared" si="30"/>
        <v>0.96101660856079307</v>
      </c>
      <c r="AG330" s="45">
        <f t="shared" si="31"/>
        <v>1.0404629067758333</v>
      </c>
      <c r="AH330" s="45">
        <f t="shared" si="32"/>
        <v>1.0148425560852341</v>
      </c>
      <c r="AI330" s="45">
        <f t="shared" si="33"/>
        <v>1.0253459873576765</v>
      </c>
      <c r="AJ330" s="45">
        <f t="shared" si="34"/>
        <v>1.0253459873576765</v>
      </c>
      <c r="AK330" s="45">
        <f t="shared" si="36"/>
        <v>1.0000978755756749</v>
      </c>
      <c r="AL330" s="45">
        <f t="shared" si="37"/>
        <v>1</v>
      </c>
      <c r="AM330" s="45">
        <f t="shared" si="38"/>
        <v>1</v>
      </c>
      <c r="AN330" s="45">
        <f t="shared" si="39"/>
        <v>1</v>
      </c>
      <c r="AS330" s="50" cm="1">
        <f t="array" ref="AS330">SUMPRODUCT(($V330:$AN330&lt;=$I45)*(1))/COUNT($V330:$AN330)</f>
        <v>0.15789473684210525</v>
      </c>
      <c r="AT330" s="50" cm="1">
        <f t="array" ref="AT330">SUMPRODUCT(($V330:$AN330&lt;=$J45)*(1))/COUNT($V330:$AN330)</f>
        <v>5.2631578947368418E-2</v>
      </c>
      <c r="AU330" s="50" cm="1">
        <f t="array" ref="AU330">SUMPRODUCT(($V330:$AN330&lt;=$K45)*(1))/COUNT($V330:$AN330)</f>
        <v>0</v>
      </c>
      <c r="AW330" s="52" cm="1">
        <f t="array" ref="AW330">SUMPRODUCT(($V330:$AN330&lt;=$I45)*(1))</f>
        <v>3</v>
      </c>
      <c r="AX330" s="52" cm="1">
        <f t="array" ref="AX330">SUMPRODUCT(($V330:$AN330&lt;=$J45)*(1))</f>
        <v>1</v>
      </c>
      <c r="AY330" s="52" cm="1">
        <f t="array" ref="AY330">SUMPRODUCT(($V330:$AN330&lt;=$K45)*(1))</f>
        <v>0</v>
      </c>
      <c r="BA330" s="52">
        <f t="shared" si="46"/>
        <v>2</v>
      </c>
      <c r="BB330" s="52">
        <f t="shared" si="47"/>
        <v>1</v>
      </c>
      <c r="BC330" s="52">
        <f t="shared" si="48"/>
        <v>0</v>
      </c>
      <c r="BE330" s="50">
        <f t="shared" si="43"/>
        <v>0.10526315789473684</v>
      </c>
      <c r="BF330" s="50">
        <f t="shared" si="44"/>
        <v>5.2631578947368418E-2</v>
      </c>
      <c r="BG330" s="50">
        <f t="shared" si="45"/>
        <v>0</v>
      </c>
    </row>
    <row r="331" spans="4:59" ht="15.6">
      <c r="D331" s="44"/>
      <c r="M331" s="42"/>
      <c r="N331" s="39" t="s">
        <v>26</v>
      </c>
      <c r="O331" s="39" t="s">
        <v>262</v>
      </c>
      <c r="P331" t="s">
        <v>657</v>
      </c>
      <c r="R331" s="41"/>
      <c r="S331" s="42"/>
      <c r="T331" s="42"/>
      <c r="U331" s="42"/>
      <c r="V331" s="45">
        <f t="shared" si="20"/>
        <v>1</v>
      </c>
      <c r="W331" s="45">
        <f t="shared" si="21"/>
        <v>1</v>
      </c>
      <c r="X331" s="45">
        <f t="shared" si="22"/>
        <v>1</v>
      </c>
      <c r="Y331" s="45">
        <f t="shared" si="23"/>
        <v>1</v>
      </c>
      <c r="Z331" s="45">
        <f t="shared" si="24"/>
        <v>1</v>
      </c>
      <c r="AA331" s="45">
        <f t="shared" si="25"/>
        <v>1</v>
      </c>
      <c r="AB331" s="45">
        <f t="shared" si="26"/>
        <v>1</v>
      </c>
      <c r="AC331" s="45">
        <f t="shared" si="27"/>
        <v>1</v>
      </c>
      <c r="AD331" s="45">
        <f t="shared" si="28"/>
        <v>1</v>
      </c>
      <c r="AE331" s="45">
        <f t="shared" si="29"/>
        <v>1</v>
      </c>
      <c r="AF331" s="45">
        <f t="shared" si="30"/>
        <v>1</v>
      </c>
      <c r="AG331" s="45">
        <f t="shared" si="31"/>
        <v>1</v>
      </c>
      <c r="AH331" s="45">
        <f t="shared" si="32"/>
        <v>1</v>
      </c>
      <c r="AI331" s="45">
        <f t="shared" si="33"/>
        <v>1</v>
      </c>
      <c r="AJ331" s="45">
        <f t="shared" si="34"/>
        <v>1</v>
      </c>
      <c r="AK331" s="45">
        <f t="shared" si="36"/>
        <v>1</v>
      </c>
      <c r="AL331" s="45">
        <f t="shared" si="37"/>
        <v>1</v>
      </c>
      <c r="AM331" s="45">
        <f t="shared" si="38"/>
        <v>1</v>
      </c>
      <c r="AN331" s="45">
        <f t="shared" si="39"/>
        <v>1</v>
      </c>
      <c r="AS331" s="50" cm="1">
        <f t="array" ref="AS331">SUMPRODUCT(($V331:$AN331&lt;=$I46)*(1))/COUNT($V331:$AN331)</f>
        <v>0</v>
      </c>
      <c r="AT331" s="50" cm="1">
        <f t="array" ref="AT331">SUMPRODUCT(($V331:$AN331&lt;=$J46)*(1))/COUNT($V331:$AN331)</f>
        <v>0</v>
      </c>
      <c r="AU331" s="50" cm="1">
        <f t="array" ref="AU331">SUMPRODUCT(($V331:$AN331&lt;=$K46)*(1))/COUNT($V331:$AN331)</f>
        <v>0</v>
      </c>
      <c r="AW331" s="52" cm="1">
        <f t="array" ref="AW331">SUMPRODUCT(($V331:$AN331&lt;=$I46)*(1))</f>
        <v>0</v>
      </c>
      <c r="AX331" s="52" cm="1">
        <f t="array" ref="AX331">SUMPRODUCT(($V331:$AN331&lt;=$J46)*(1))</f>
        <v>0</v>
      </c>
      <c r="AY331" s="52" cm="1">
        <f t="array" ref="AY331">SUMPRODUCT(($V331:$AN331&lt;=$K46)*(1))</f>
        <v>0</v>
      </c>
      <c r="BA331" s="52">
        <f t="shared" si="46"/>
        <v>0</v>
      </c>
      <c r="BB331" s="52">
        <f t="shared" si="47"/>
        <v>0</v>
      </c>
      <c r="BC331" s="52">
        <f t="shared" si="48"/>
        <v>0</v>
      </c>
      <c r="BE331" s="50">
        <f t="shared" si="43"/>
        <v>0</v>
      </c>
      <c r="BF331" s="50">
        <f t="shared" si="44"/>
        <v>0</v>
      </c>
      <c r="BG331" s="50">
        <f t="shared" si="45"/>
        <v>0</v>
      </c>
    </row>
    <row r="332" spans="4:59" ht="15.6">
      <c r="D332" s="44"/>
      <c r="M332" s="42"/>
      <c r="N332" s="39" t="s">
        <v>26</v>
      </c>
      <c r="O332" s="39" t="s">
        <v>513</v>
      </c>
      <c r="P332" t="s">
        <v>658</v>
      </c>
      <c r="R332" s="41"/>
      <c r="S332" s="42"/>
      <c r="T332" s="42"/>
      <c r="U332" s="42"/>
      <c r="V332" s="45">
        <f t="shared" si="20"/>
        <v>1</v>
      </c>
      <c r="W332" s="45">
        <f t="shared" si="21"/>
        <v>0.94992442700026203</v>
      </c>
      <c r="X332" s="45">
        <f t="shared" si="22"/>
        <v>1</v>
      </c>
      <c r="Y332" s="45">
        <f t="shared" si="23"/>
        <v>1</v>
      </c>
      <c r="Z332" s="45">
        <f t="shared" si="24"/>
        <v>1</v>
      </c>
      <c r="AA332" s="45">
        <f t="shared" si="25"/>
        <v>1</v>
      </c>
      <c r="AB332" s="45">
        <f t="shared" si="26"/>
        <v>1</v>
      </c>
      <c r="AC332" s="45">
        <f t="shared" si="27"/>
        <v>1</v>
      </c>
      <c r="AD332" s="45">
        <f t="shared" si="28"/>
        <v>1</v>
      </c>
      <c r="AE332" s="45">
        <f t="shared" si="29"/>
        <v>0.94297084135906895</v>
      </c>
      <c r="AF332" s="45">
        <f t="shared" si="30"/>
        <v>1</v>
      </c>
      <c r="AG332" s="45">
        <f t="shared" si="31"/>
        <v>1</v>
      </c>
      <c r="AH332" s="45">
        <f t="shared" si="32"/>
        <v>1</v>
      </c>
      <c r="AI332" s="45">
        <f t="shared" si="33"/>
        <v>1</v>
      </c>
      <c r="AJ332" s="45">
        <f t="shared" si="34"/>
        <v>1</v>
      </c>
      <c r="AK332" s="45">
        <f t="shared" si="36"/>
        <v>0.94527216783110202</v>
      </c>
      <c r="AL332" s="45">
        <f t="shared" si="37"/>
        <v>1</v>
      </c>
      <c r="AM332" s="45">
        <f t="shared" si="38"/>
        <v>1</v>
      </c>
      <c r="AN332" s="45">
        <f t="shared" si="39"/>
        <v>0.98692512763364904</v>
      </c>
      <c r="AS332" s="50" cm="1">
        <f t="array" ref="AS332">SUMPRODUCT(($V332:$AN332&lt;=$I47)*(1))/COUNT($V332:$AN332)</f>
        <v>0.15789473684210525</v>
      </c>
      <c r="AT332" s="50" cm="1">
        <f t="array" ref="AT332">SUMPRODUCT(($V332:$AN332&lt;=$J47)*(1))/COUNT($V332:$AN332)</f>
        <v>0</v>
      </c>
      <c r="AU332" s="50" cm="1">
        <f t="array" ref="AU332">SUMPRODUCT(($V332:$AN332&lt;=$K47)*(1))/COUNT($V332:$AN332)</f>
        <v>0</v>
      </c>
      <c r="AW332" s="52" cm="1">
        <f t="array" ref="AW332">SUMPRODUCT(($V332:$AN332&lt;=$I47)*(1))</f>
        <v>3</v>
      </c>
      <c r="AX332" s="52" cm="1">
        <f t="array" ref="AX332">SUMPRODUCT(($V332:$AN332&lt;=$J47)*(1))</f>
        <v>0</v>
      </c>
      <c r="AY332" s="52" cm="1">
        <f t="array" ref="AY332">SUMPRODUCT(($V332:$AN332&lt;=$K47)*(1))</f>
        <v>0</v>
      </c>
      <c r="BA332" s="52">
        <f t="shared" si="46"/>
        <v>3</v>
      </c>
      <c r="BB332" s="52">
        <f t="shared" si="47"/>
        <v>0</v>
      </c>
      <c r="BC332" s="52">
        <f t="shared" si="48"/>
        <v>0</v>
      </c>
      <c r="BE332" s="50">
        <f t="shared" si="43"/>
        <v>0.15789473684210525</v>
      </c>
      <c r="BF332" s="50">
        <f t="shared" si="44"/>
        <v>0</v>
      </c>
      <c r="BG332" s="50">
        <f t="shared" si="45"/>
        <v>0</v>
      </c>
    </row>
    <row r="333" spans="4:59" ht="15.6">
      <c r="D333" s="44"/>
      <c r="M333" s="42"/>
      <c r="N333" s="39" t="s">
        <v>26</v>
      </c>
      <c r="O333" s="39" t="s">
        <v>221</v>
      </c>
      <c r="P333" t="s">
        <v>659</v>
      </c>
      <c r="R333" s="41"/>
      <c r="S333" s="42"/>
      <c r="T333" s="42"/>
      <c r="U333" s="42"/>
      <c r="V333" s="45">
        <f t="shared" si="20"/>
        <v>1</v>
      </c>
      <c r="W333" s="45">
        <f t="shared" si="21"/>
        <v>0.97659603595844302</v>
      </c>
      <c r="X333" s="45">
        <f t="shared" si="22"/>
        <v>1</v>
      </c>
      <c r="Y333" s="45">
        <f t="shared" si="23"/>
        <v>0.99849254562627299</v>
      </c>
      <c r="Z333" s="45">
        <f t="shared" si="24"/>
        <v>0.99732115866842308</v>
      </c>
      <c r="AA333" s="45">
        <f t="shared" si="25"/>
        <v>0.99633025506454365</v>
      </c>
      <c r="AB333" s="45">
        <f t="shared" si="26"/>
        <v>1.0026860367979695</v>
      </c>
      <c r="AC333" s="45">
        <f t="shared" si="27"/>
        <v>1.001509730223155</v>
      </c>
      <c r="AD333" s="45">
        <f t="shared" si="28"/>
        <v>1.001509730223155</v>
      </c>
      <c r="AE333" s="45">
        <f t="shared" si="29"/>
        <v>0.937481912294574</v>
      </c>
      <c r="AF333" s="45">
        <f t="shared" si="30"/>
        <v>1</v>
      </c>
      <c r="AG333" s="45">
        <f t="shared" si="31"/>
        <v>1</v>
      </c>
      <c r="AH333" s="45">
        <f t="shared" si="32"/>
        <v>1</v>
      </c>
      <c r="AI333" s="45">
        <f t="shared" si="33"/>
        <v>1</v>
      </c>
      <c r="AJ333" s="45">
        <f t="shared" si="34"/>
        <v>1</v>
      </c>
      <c r="AK333" s="45">
        <f t="shared" si="36"/>
        <v>1</v>
      </c>
      <c r="AL333" s="45">
        <f t="shared" si="37"/>
        <v>0.99932921394416996</v>
      </c>
      <c r="AM333" s="45">
        <f t="shared" si="38"/>
        <v>1</v>
      </c>
      <c r="AN333" s="45">
        <f t="shared" si="39"/>
        <v>0.988492760314582</v>
      </c>
      <c r="AS333" s="50" cm="1">
        <f t="array" ref="AS333">SUMPRODUCT(($V333:$AN333&lt;=$I48)*(1))/COUNT($V333:$AN333)</f>
        <v>5.2631578947368418E-2</v>
      </c>
      <c r="AT333" s="50" cm="1">
        <f t="array" ref="AT333">SUMPRODUCT(($V333:$AN333&lt;=$J48)*(1))/COUNT($V333:$AN333)</f>
        <v>0</v>
      </c>
      <c r="AU333" s="50" cm="1">
        <f t="array" ref="AU333">SUMPRODUCT(($V333:$AN333&lt;=$K48)*(1))/COUNT($V333:$AN333)</f>
        <v>0</v>
      </c>
      <c r="AW333" s="52" cm="1">
        <f t="array" ref="AW333">SUMPRODUCT(($V333:$AN333&lt;=$I48)*(1))</f>
        <v>1</v>
      </c>
      <c r="AX333" s="52" cm="1">
        <f t="array" ref="AX333">SUMPRODUCT(($V333:$AN333&lt;=$J48)*(1))</f>
        <v>0</v>
      </c>
      <c r="AY333" s="52" cm="1">
        <f t="array" ref="AY333">SUMPRODUCT(($V333:$AN333&lt;=$K48)*(1))</f>
        <v>0</v>
      </c>
      <c r="BA333" s="52">
        <f t="shared" si="46"/>
        <v>1</v>
      </c>
      <c r="BB333" s="52">
        <f t="shared" si="47"/>
        <v>0</v>
      </c>
      <c r="BC333" s="52">
        <f t="shared" si="48"/>
        <v>0</v>
      </c>
      <c r="BE333" s="50">
        <f t="shared" si="43"/>
        <v>5.2631578947368418E-2</v>
      </c>
      <c r="BF333" s="50">
        <f t="shared" si="44"/>
        <v>0</v>
      </c>
      <c r="BG333" s="50">
        <f t="shared" si="45"/>
        <v>0</v>
      </c>
    </row>
    <row r="334" spans="4:59" ht="15.6">
      <c r="D334" s="44"/>
      <c r="M334" s="42"/>
      <c r="N334" s="39" t="s">
        <v>26</v>
      </c>
      <c r="O334" s="39" t="s">
        <v>594</v>
      </c>
      <c r="P334" t="s">
        <v>660</v>
      </c>
      <c r="R334" s="41"/>
      <c r="S334" s="42"/>
      <c r="T334" s="42"/>
      <c r="U334" s="42"/>
      <c r="V334" s="45">
        <f t="shared" si="20"/>
        <v>1.0021132824968122</v>
      </c>
      <c r="W334" s="45">
        <f t="shared" si="21"/>
        <v>0.81574934798790344</v>
      </c>
      <c r="X334" s="45">
        <f t="shared" si="22"/>
        <v>1.165144758564798</v>
      </c>
      <c r="Y334" s="45">
        <f t="shared" si="23"/>
        <v>1.1617963489258012</v>
      </c>
      <c r="Z334" s="45">
        <f t="shared" si="24"/>
        <v>1.0028820968856484</v>
      </c>
      <c r="AA334" s="45">
        <f t="shared" si="25"/>
        <v>1.0014782439822174</v>
      </c>
      <c r="AB334" s="45">
        <f t="shared" si="26"/>
        <v>0.94421686093625501</v>
      </c>
      <c r="AC334" s="45">
        <f t="shared" si="27"/>
        <v>0.91759803149337404</v>
      </c>
      <c r="AD334" s="45">
        <f t="shared" si="28"/>
        <v>0.99601652865967116</v>
      </c>
      <c r="AE334" s="45">
        <f t="shared" si="29"/>
        <v>0.70295406875640154</v>
      </c>
      <c r="AF334" s="45">
        <f t="shared" si="30"/>
        <v>0.86835487796139699</v>
      </c>
      <c r="AG334" s="45">
        <f t="shared" si="31"/>
        <v>1.0894492165646257</v>
      </c>
      <c r="AH334" s="45">
        <f t="shared" si="32"/>
        <v>1.0408848735610163</v>
      </c>
      <c r="AI334" s="45">
        <f t="shared" si="33"/>
        <v>1.0139878886271319</v>
      </c>
      <c r="AJ334" s="45">
        <f t="shared" si="34"/>
        <v>1.0467328088185097</v>
      </c>
      <c r="AK334" s="45">
        <f t="shared" si="36"/>
        <v>1.0314551092829283</v>
      </c>
      <c r="AL334" s="45">
        <f t="shared" si="37"/>
        <v>0.99367931322792624</v>
      </c>
      <c r="AM334" s="45">
        <f t="shared" si="38"/>
        <v>1.0074313970815401</v>
      </c>
      <c r="AN334" s="45">
        <f t="shared" si="39"/>
        <v>0.87175396115846915</v>
      </c>
      <c r="AS334" s="50" cm="1">
        <f t="array" ref="AS334">SUMPRODUCT(($V334:$AN334&lt;=$I49)*(1))/COUNT($V334:$AN334)</f>
        <v>0.31578947368421051</v>
      </c>
      <c r="AT334" s="50" cm="1">
        <f t="array" ref="AT334">SUMPRODUCT(($V334:$AN334&lt;=$J49)*(1))/COUNT($V334:$AN334)</f>
        <v>0.10526315789473684</v>
      </c>
      <c r="AU334" s="50" cm="1">
        <f t="array" ref="AU334">SUMPRODUCT(($V334:$AN334&lt;=$K49)*(1))/COUNT($V334:$AN334)</f>
        <v>5.2631578947368418E-2</v>
      </c>
      <c r="AW334" s="52" cm="1">
        <f t="array" ref="AW334">SUMPRODUCT(($V334:$AN334&lt;=$I49)*(1))</f>
        <v>6</v>
      </c>
      <c r="AX334" s="52" cm="1">
        <f t="array" ref="AX334">SUMPRODUCT(($V334:$AN334&lt;=$J49)*(1))</f>
        <v>2</v>
      </c>
      <c r="AY334" s="52" cm="1">
        <f t="array" ref="AY334">SUMPRODUCT(($V334:$AN334&lt;=$K49)*(1))</f>
        <v>1</v>
      </c>
      <c r="BA334" s="52">
        <f t="shared" si="46"/>
        <v>4</v>
      </c>
      <c r="BB334" s="52">
        <f t="shared" si="47"/>
        <v>1</v>
      </c>
      <c r="BC334" s="52">
        <f t="shared" si="48"/>
        <v>1</v>
      </c>
      <c r="BE334" s="50">
        <f t="shared" si="43"/>
        <v>0.21052631578947367</v>
      </c>
      <c r="BF334" s="50">
        <f t="shared" si="44"/>
        <v>5.2631578947368418E-2</v>
      </c>
      <c r="BG334" s="50">
        <f t="shared" si="45"/>
        <v>5.2631578947368418E-2</v>
      </c>
    </row>
    <row r="335" spans="4:59" ht="15.6">
      <c r="D335" s="44"/>
      <c r="M335" s="42"/>
      <c r="N335" s="39" t="s">
        <v>26</v>
      </c>
      <c r="O335" s="39" t="s">
        <v>262</v>
      </c>
      <c r="P335" t="s">
        <v>661</v>
      </c>
      <c r="R335" s="41"/>
      <c r="S335" s="42"/>
      <c r="T335" s="42"/>
      <c r="U335" s="42"/>
      <c r="V335" s="45">
        <f t="shared" si="20"/>
        <v>1</v>
      </c>
      <c r="W335" s="45">
        <f t="shared" si="21"/>
        <v>0.99895587628479798</v>
      </c>
      <c r="X335" s="45">
        <f t="shared" si="22"/>
        <v>1</v>
      </c>
      <c r="Y335" s="45">
        <f t="shared" si="23"/>
        <v>1</v>
      </c>
      <c r="Z335" s="45">
        <f t="shared" si="24"/>
        <v>1</v>
      </c>
      <c r="AA335" s="45">
        <f t="shared" si="25"/>
        <v>1</v>
      </c>
      <c r="AB335" s="45">
        <f t="shared" si="26"/>
        <v>1</v>
      </c>
      <c r="AC335" s="45">
        <f t="shared" si="27"/>
        <v>1</v>
      </c>
      <c r="AD335" s="45">
        <f t="shared" si="28"/>
        <v>1</v>
      </c>
      <c r="AE335" s="45">
        <f t="shared" si="29"/>
        <v>1</v>
      </c>
      <c r="AF335" s="45">
        <f t="shared" si="30"/>
        <v>1</v>
      </c>
      <c r="AG335" s="45">
        <f t="shared" si="31"/>
        <v>1</v>
      </c>
      <c r="AH335" s="45">
        <f t="shared" si="32"/>
        <v>1</v>
      </c>
      <c r="AI335" s="45">
        <f t="shared" si="33"/>
        <v>1</v>
      </c>
      <c r="AJ335" s="45">
        <f t="shared" si="34"/>
        <v>1</v>
      </c>
      <c r="AK335" s="45">
        <f t="shared" si="36"/>
        <v>1</v>
      </c>
      <c r="AL335" s="45">
        <f t="shared" si="37"/>
        <v>1</v>
      </c>
      <c r="AM335" s="45">
        <f t="shared" si="38"/>
        <v>1</v>
      </c>
      <c r="AN335" s="45">
        <f t="shared" si="39"/>
        <v>1</v>
      </c>
      <c r="AS335" s="50" cm="1">
        <f t="array" ref="AS335">SUMPRODUCT(($V335:$AN335&lt;=$I50)*(1))/COUNT($V335:$AN335)</f>
        <v>0</v>
      </c>
      <c r="AT335" s="50" cm="1">
        <f t="array" ref="AT335">SUMPRODUCT(($V335:$AN335&lt;=$J50)*(1))/COUNT($V335:$AN335)</f>
        <v>0</v>
      </c>
      <c r="AU335" s="50" cm="1">
        <f t="array" ref="AU335">SUMPRODUCT(($V335:$AN335&lt;=$K50)*(1))/COUNT($V335:$AN335)</f>
        <v>0</v>
      </c>
      <c r="AW335" s="52" cm="1">
        <f t="array" ref="AW335">SUMPRODUCT(($V335:$AN335&lt;=$I50)*(1))</f>
        <v>0</v>
      </c>
      <c r="AX335" s="52" cm="1">
        <f t="array" ref="AX335">SUMPRODUCT(($V335:$AN335&lt;=$J50)*(1))</f>
        <v>0</v>
      </c>
      <c r="AY335" s="52" cm="1">
        <f t="array" ref="AY335">SUMPRODUCT(($V335:$AN335&lt;=$K50)*(1))</f>
        <v>0</v>
      </c>
      <c r="BA335" s="52">
        <f t="shared" si="46"/>
        <v>0</v>
      </c>
      <c r="BB335" s="52">
        <f t="shared" si="47"/>
        <v>0</v>
      </c>
      <c r="BC335" s="52">
        <f t="shared" si="48"/>
        <v>0</v>
      </c>
      <c r="BE335" s="50">
        <f t="shared" si="43"/>
        <v>0</v>
      </c>
      <c r="BF335" s="50">
        <f t="shared" si="44"/>
        <v>0</v>
      </c>
      <c r="BG335" s="50">
        <f t="shared" si="45"/>
        <v>0</v>
      </c>
    </row>
    <row r="336" spans="4:59" ht="15.6">
      <c r="D336" s="44"/>
      <c r="M336" s="42"/>
      <c r="N336" s="39" t="s">
        <v>26</v>
      </c>
      <c r="O336" s="39" t="s">
        <v>508</v>
      </c>
      <c r="P336" t="s">
        <v>662</v>
      </c>
      <c r="R336" s="41"/>
      <c r="S336" s="42"/>
      <c r="T336" s="42"/>
      <c r="U336" s="42"/>
      <c r="V336" s="45">
        <f t="shared" si="20"/>
        <v>1</v>
      </c>
      <c r="W336" s="45">
        <f t="shared" si="21"/>
        <v>0.9291633003311659</v>
      </c>
      <c r="X336" s="45">
        <f t="shared" si="22"/>
        <v>1</v>
      </c>
      <c r="Y336" s="45">
        <f t="shared" si="23"/>
        <v>1</v>
      </c>
      <c r="Z336" s="45">
        <f t="shared" si="24"/>
        <v>1</v>
      </c>
      <c r="AA336" s="45">
        <f t="shared" si="25"/>
        <v>1</v>
      </c>
      <c r="AB336" s="45">
        <f t="shared" si="26"/>
        <v>1</v>
      </c>
      <c r="AC336" s="45">
        <f t="shared" si="27"/>
        <v>1</v>
      </c>
      <c r="AD336" s="45">
        <f t="shared" si="28"/>
        <v>1</v>
      </c>
      <c r="AE336" s="45">
        <f t="shared" si="29"/>
        <v>0.95438746747799597</v>
      </c>
      <c r="AF336" s="45">
        <f t="shared" si="30"/>
        <v>0.99816201211698197</v>
      </c>
      <c r="AG336" s="45">
        <f t="shared" si="31"/>
        <v>1</v>
      </c>
      <c r="AH336" s="45">
        <f t="shared" si="32"/>
        <v>0.99628661977413702</v>
      </c>
      <c r="AI336" s="45">
        <f t="shared" si="33"/>
        <v>1.0018413723029991</v>
      </c>
      <c r="AJ336" s="45">
        <f t="shared" si="34"/>
        <v>1.0018413723029991</v>
      </c>
      <c r="AK336" s="45">
        <f t="shared" si="36"/>
        <v>1</v>
      </c>
      <c r="AL336" s="45">
        <f t="shared" si="37"/>
        <v>1</v>
      </c>
      <c r="AM336" s="45">
        <f t="shared" si="38"/>
        <v>1</v>
      </c>
      <c r="AN336" s="45">
        <f t="shared" si="39"/>
        <v>0.93539633433853597</v>
      </c>
      <c r="AS336" s="50" cm="1">
        <f t="array" ref="AS336">SUMPRODUCT(($V336:$AN336&lt;=$I51)*(1))/COUNT($V336:$AN336)</f>
        <v>0.10526315789473684</v>
      </c>
      <c r="AT336" s="50" cm="1">
        <f t="array" ref="AT336">SUMPRODUCT(($V336:$AN336&lt;=$J51)*(1))/COUNT($V336:$AN336)</f>
        <v>0</v>
      </c>
      <c r="AU336" s="50" cm="1">
        <f t="array" ref="AU336">SUMPRODUCT(($V336:$AN336&lt;=$K51)*(1))/COUNT($V336:$AN336)</f>
        <v>0</v>
      </c>
      <c r="AW336" s="52" cm="1">
        <f t="array" ref="AW336">SUMPRODUCT(($V336:$AN336&lt;=$I51)*(1))</f>
        <v>2</v>
      </c>
      <c r="AX336" s="52" cm="1">
        <f t="array" ref="AX336">SUMPRODUCT(($V336:$AN336&lt;=$J51)*(1))</f>
        <v>0</v>
      </c>
      <c r="AY336" s="52" cm="1">
        <f t="array" ref="AY336">SUMPRODUCT(($V336:$AN336&lt;=$K51)*(1))</f>
        <v>0</v>
      </c>
      <c r="BA336" s="52">
        <f t="shared" si="46"/>
        <v>2</v>
      </c>
      <c r="BB336" s="52">
        <f t="shared" si="47"/>
        <v>0</v>
      </c>
      <c r="BC336" s="52">
        <f t="shared" si="48"/>
        <v>0</v>
      </c>
      <c r="BE336" s="50">
        <f t="shared" si="43"/>
        <v>0.10526315789473684</v>
      </c>
      <c r="BF336" s="50">
        <f t="shared" si="44"/>
        <v>0</v>
      </c>
      <c r="BG336" s="50">
        <f t="shared" si="45"/>
        <v>0</v>
      </c>
    </row>
    <row r="337" spans="4:59" ht="15.6">
      <c r="D337" s="44"/>
      <c r="M337" s="42"/>
      <c r="N337" s="39" t="s">
        <v>26</v>
      </c>
      <c r="O337" s="39" t="s">
        <v>227</v>
      </c>
      <c r="P337" t="s">
        <v>663</v>
      </c>
      <c r="R337" s="41"/>
      <c r="S337" s="42"/>
      <c r="T337" s="42"/>
      <c r="U337" s="42"/>
      <c r="V337" s="45">
        <f t="shared" si="20"/>
        <v>1</v>
      </c>
      <c r="W337" s="45">
        <f t="shared" si="21"/>
        <v>1</v>
      </c>
      <c r="X337" s="45">
        <f t="shared" si="22"/>
        <v>1</v>
      </c>
      <c r="Y337" s="45">
        <f t="shared" si="23"/>
        <v>1</v>
      </c>
      <c r="Z337" s="45">
        <f t="shared" si="24"/>
        <v>1</v>
      </c>
      <c r="AA337" s="45">
        <f t="shared" si="25"/>
        <v>1</v>
      </c>
      <c r="AB337" s="45">
        <f t="shared" si="26"/>
        <v>1</v>
      </c>
      <c r="AC337" s="45">
        <f t="shared" si="27"/>
        <v>1</v>
      </c>
      <c r="AD337" s="45">
        <f t="shared" si="28"/>
        <v>1</v>
      </c>
      <c r="AE337" s="45">
        <f t="shared" si="29"/>
        <v>1</v>
      </c>
      <c r="AF337" s="45">
        <f t="shared" si="30"/>
        <v>1</v>
      </c>
      <c r="AG337" s="45">
        <f t="shared" si="31"/>
        <v>1</v>
      </c>
      <c r="AH337" s="45">
        <f t="shared" si="32"/>
        <v>1</v>
      </c>
      <c r="AI337" s="45">
        <f t="shared" si="33"/>
        <v>1</v>
      </c>
      <c r="AJ337" s="45">
        <f t="shared" si="34"/>
        <v>1</v>
      </c>
      <c r="AK337" s="45">
        <f t="shared" si="36"/>
        <v>1</v>
      </c>
      <c r="AL337" s="45">
        <f t="shared" si="37"/>
        <v>1</v>
      </c>
      <c r="AM337" s="45">
        <f t="shared" si="38"/>
        <v>1</v>
      </c>
      <c r="AN337" s="45">
        <f t="shared" si="39"/>
        <v>1</v>
      </c>
      <c r="AS337" s="50" cm="1">
        <f t="array" ref="AS337">SUMPRODUCT(($V337:$AN337&lt;=$I52)*(1))/COUNT($V337:$AN337)</f>
        <v>0</v>
      </c>
      <c r="AT337" s="50" cm="1">
        <f t="array" ref="AT337">SUMPRODUCT(($V337:$AN337&lt;=$J52)*(1))/COUNT($V337:$AN337)</f>
        <v>0</v>
      </c>
      <c r="AU337" s="50" cm="1">
        <f t="array" ref="AU337">SUMPRODUCT(($V337:$AN337&lt;=$K52)*(1))/COUNT($V337:$AN337)</f>
        <v>0</v>
      </c>
      <c r="AW337" s="52" cm="1">
        <f t="array" ref="AW337">SUMPRODUCT(($V337:$AN337&lt;=$I52)*(1))</f>
        <v>0</v>
      </c>
      <c r="AX337" s="52" cm="1">
        <f t="array" ref="AX337">SUMPRODUCT(($V337:$AN337&lt;=$J52)*(1))</f>
        <v>0</v>
      </c>
      <c r="AY337" s="52" cm="1">
        <f t="array" ref="AY337">SUMPRODUCT(($V337:$AN337&lt;=$K52)*(1))</f>
        <v>0</v>
      </c>
      <c r="BA337" s="52">
        <f t="shared" si="46"/>
        <v>0</v>
      </c>
      <c r="BB337" s="52">
        <f t="shared" si="47"/>
        <v>0</v>
      </c>
      <c r="BC337" s="52">
        <f t="shared" si="48"/>
        <v>0</v>
      </c>
      <c r="BE337" s="50">
        <f t="shared" si="43"/>
        <v>0</v>
      </c>
      <c r="BF337" s="50">
        <f t="shared" si="44"/>
        <v>0</v>
      </c>
      <c r="BG337" s="50">
        <f t="shared" si="45"/>
        <v>0</v>
      </c>
    </row>
    <row r="338" spans="4:59" ht="15.6">
      <c r="D338" s="44"/>
      <c r="M338" s="42"/>
      <c r="N338" s="39" t="s">
        <v>26</v>
      </c>
      <c r="O338" s="39" t="s">
        <v>240</v>
      </c>
      <c r="P338" t="s">
        <v>664</v>
      </c>
      <c r="R338" s="41"/>
      <c r="S338" s="42"/>
      <c r="T338" s="42"/>
      <c r="U338" s="42"/>
      <c r="V338" s="45">
        <f t="shared" si="20"/>
        <v>1</v>
      </c>
      <c r="W338" s="45">
        <f t="shared" si="21"/>
        <v>0.96775319834580398</v>
      </c>
      <c r="X338" s="45">
        <f t="shared" si="22"/>
        <v>1</v>
      </c>
      <c r="Y338" s="45">
        <f t="shared" si="23"/>
        <v>1</v>
      </c>
      <c r="Z338" s="45">
        <f t="shared" si="24"/>
        <v>1</v>
      </c>
      <c r="AA338" s="45">
        <f t="shared" si="25"/>
        <v>1</v>
      </c>
      <c r="AB338" s="45">
        <f t="shared" si="26"/>
        <v>1</v>
      </c>
      <c r="AC338" s="45">
        <f t="shared" si="27"/>
        <v>0.99861890637545703</v>
      </c>
      <c r="AD338" s="45">
        <f t="shared" si="28"/>
        <v>1</v>
      </c>
      <c r="AE338" s="45">
        <f t="shared" si="29"/>
        <v>0.92277383557769799</v>
      </c>
      <c r="AF338" s="45">
        <f t="shared" si="30"/>
        <v>1</v>
      </c>
      <c r="AG338" s="45">
        <f t="shared" si="31"/>
        <v>1</v>
      </c>
      <c r="AH338" s="45">
        <f t="shared" si="32"/>
        <v>1</v>
      </c>
      <c r="AI338" s="45">
        <f t="shared" si="33"/>
        <v>1</v>
      </c>
      <c r="AJ338" s="45">
        <f t="shared" si="34"/>
        <v>1</v>
      </c>
      <c r="AK338" s="45">
        <f t="shared" si="36"/>
        <v>1</v>
      </c>
      <c r="AL338" s="45">
        <f t="shared" si="37"/>
        <v>1</v>
      </c>
      <c r="AM338" s="45">
        <f t="shared" si="38"/>
        <v>1</v>
      </c>
      <c r="AN338" s="45">
        <f t="shared" si="39"/>
        <v>1</v>
      </c>
      <c r="AS338" s="50" cm="1">
        <f t="array" ref="AS338">SUMPRODUCT(($V338:$AN338&lt;=$I53)*(1))/COUNT($V338:$AN338)</f>
        <v>5.2631578947368418E-2</v>
      </c>
      <c r="AT338" s="50" cm="1">
        <f t="array" ref="AT338">SUMPRODUCT(($V338:$AN338&lt;=$J53)*(1))/COUNT($V338:$AN338)</f>
        <v>0</v>
      </c>
      <c r="AU338" s="50" cm="1">
        <f t="array" ref="AU338">SUMPRODUCT(($V338:$AN338&lt;=$K53)*(1))/COUNT($V338:$AN338)</f>
        <v>0</v>
      </c>
      <c r="AW338" s="52" cm="1">
        <f t="array" ref="AW338">SUMPRODUCT(($V338:$AN338&lt;=$I53)*(1))</f>
        <v>1</v>
      </c>
      <c r="AX338" s="52" cm="1">
        <f t="array" ref="AX338">SUMPRODUCT(($V338:$AN338&lt;=$J53)*(1))</f>
        <v>0</v>
      </c>
      <c r="AY338" s="52" cm="1">
        <f t="array" ref="AY338">SUMPRODUCT(($V338:$AN338&lt;=$K53)*(1))</f>
        <v>0</v>
      </c>
      <c r="BA338" s="52">
        <f t="shared" si="46"/>
        <v>1</v>
      </c>
      <c r="BB338" s="52">
        <f t="shared" si="47"/>
        <v>0</v>
      </c>
      <c r="BC338" s="52">
        <f t="shared" si="48"/>
        <v>0</v>
      </c>
      <c r="BE338" s="50">
        <f t="shared" si="43"/>
        <v>5.2631578947368418E-2</v>
      </c>
      <c r="BF338" s="50">
        <f t="shared" si="44"/>
        <v>0</v>
      </c>
      <c r="BG338" s="50">
        <f t="shared" si="45"/>
        <v>0</v>
      </c>
    </row>
    <row r="339" spans="4:59" ht="15.6">
      <c r="D339" s="44"/>
      <c r="M339" s="42"/>
      <c r="N339" s="39" t="s">
        <v>26</v>
      </c>
      <c r="O339" s="39" t="s">
        <v>251</v>
      </c>
      <c r="P339" t="s">
        <v>665</v>
      </c>
      <c r="R339" s="41"/>
      <c r="S339" s="42"/>
      <c r="T339" s="42"/>
      <c r="U339" s="42"/>
      <c r="V339" s="45">
        <f t="shared" si="20"/>
        <v>0.99980349517009359</v>
      </c>
      <c r="W339" s="45">
        <f t="shared" si="21"/>
        <v>0.85941826228154217</v>
      </c>
      <c r="X339" s="45">
        <f t="shared" si="22"/>
        <v>1.0992860708003038</v>
      </c>
      <c r="Y339" s="45">
        <f t="shared" si="23"/>
        <v>1.0893559630387262</v>
      </c>
      <c r="Z339" s="45">
        <f t="shared" si="24"/>
        <v>1.0082386930065699</v>
      </c>
      <c r="AA339" s="45">
        <f t="shared" si="25"/>
        <v>1.0082526210537794</v>
      </c>
      <c r="AB339" s="45">
        <f t="shared" si="26"/>
        <v>0.9693350683604528</v>
      </c>
      <c r="AC339" s="45">
        <f t="shared" si="27"/>
        <v>0.993251694120726</v>
      </c>
      <c r="AD339" s="45">
        <f t="shared" si="28"/>
        <v>1.0067259138691689</v>
      </c>
      <c r="AE339" s="45">
        <f t="shared" si="29"/>
        <v>0.70713350838413602</v>
      </c>
      <c r="AF339" s="45">
        <f t="shared" si="30"/>
        <v>0.82666860223092897</v>
      </c>
      <c r="AG339" s="45">
        <f t="shared" si="31"/>
        <v>1.0253124744694515</v>
      </c>
      <c r="AH339" s="45">
        <f t="shared" si="32"/>
        <v>0.97647257540295385</v>
      </c>
      <c r="AI339" s="45">
        <f t="shared" si="33"/>
        <v>0.96106824585392525</v>
      </c>
      <c r="AJ339" s="45">
        <f t="shared" si="34"/>
        <v>1.074856879512484</v>
      </c>
      <c r="AK339" s="45">
        <f t="shared" si="36"/>
        <v>0.99199913828695829</v>
      </c>
      <c r="AL339" s="45">
        <f t="shared" si="37"/>
        <v>0.94680368560427208</v>
      </c>
      <c r="AM339" s="45">
        <f t="shared" si="38"/>
        <v>1.0392000537864297</v>
      </c>
      <c r="AN339" s="45">
        <f t="shared" si="39"/>
        <v>0.78997404598801546</v>
      </c>
      <c r="AS339" s="50" cm="1">
        <f t="array" ref="AS339">SUMPRODUCT(($V339:$AN339&lt;=$I54)*(1))/COUNT($V339:$AN339)</f>
        <v>0.26315789473684209</v>
      </c>
      <c r="AT339" s="50" cm="1">
        <f t="array" ref="AT339">SUMPRODUCT(($V339:$AN339&lt;=$J54)*(1))/COUNT($V339:$AN339)</f>
        <v>0.15789473684210525</v>
      </c>
      <c r="AU339" s="50" cm="1">
        <f t="array" ref="AU339">SUMPRODUCT(($V339:$AN339&lt;=$K54)*(1))/COUNT($V339:$AN339)</f>
        <v>5.2631578947368418E-2</v>
      </c>
      <c r="AW339" s="52" cm="1">
        <f t="array" ref="AW339">SUMPRODUCT(($V339:$AN339&lt;=$I54)*(1))</f>
        <v>5</v>
      </c>
      <c r="AX339" s="52" cm="1">
        <f t="array" ref="AX339">SUMPRODUCT(($V339:$AN339&lt;=$J54)*(1))</f>
        <v>3</v>
      </c>
      <c r="AY339" s="52" cm="1">
        <f t="array" ref="AY339">SUMPRODUCT(($V339:$AN339&lt;=$K54)*(1))</f>
        <v>1</v>
      </c>
      <c r="BA339" s="52">
        <f t="shared" si="46"/>
        <v>2</v>
      </c>
      <c r="BB339" s="52">
        <f t="shared" si="47"/>
        <v>2</v>
      </c>
      <c r="BC339" s="52">
        <f t="shared" si="48"/>
        <v>1</v>
      </c>
      <c r="BE339" s="50">
        <f t="shared" si="43"/>
        <v>0.10526315789473684</v>
      </c>
      <c r="BF339" s="50">
        <f t="shared" si="44"/>
        <v>0.10526315789473684</v>
      </c>
      <c r="BG339" s="50">
        <f t="shared" si="45"/>
        <v>5.2631578947368418E-2</v>
      </c>
    </row>
    <row r="340" spans="4:59" ht="15.6">
      <c r="D340" s="44"/>
      <c r="M340" s="42"/>
      <c r="N340" s="39" t="s">
        <v>26</v>
      </c>
      <c r="O340" s="39" t="s">
        <v>527</v>
      </c>
      <c r="P340" t="s">
        <v>666</v>
      </c>
      <c r="R340" s="41"/>
      <c r="S340" s="42"/>
      <c r="T340" s="42"/>
      <c r="U340" s="42"/>
      <c r="V340" s="45">
        <f t="shared" si="20"/>
        <v>1.0005446945191232</v>
      </c>
      <c r="W340" s="45">
        <f t="shared" si="21"/>
        <v>0.89267854320296791</v>
      </c>
      <c r="X340" s="45">
        <f t="shared" si="22"/>
        <v>1.0054794512792327</v>
      </c>
      <c r="Y340" s="45">
        <f t="shared" si="23"/>
        <v>1.0058581944251272</v>
      </c>
      <c r="Z340" s="45">
        <f t="shared" si="24"/>
        <v>0.9919168742263994</v>
      </c>
      <c r="AA340" s="45">
        <f t="shared" si="25"/>
        <v>1.0037872093744753</v>
      </c>
      <c r="AB340" s="45">
        <f t="shared" si="26"/>
        <v>1.0027876742572723</v>
      </c>
      <c r="AC340" s="45">
        <f t="shared" si="27"/>
        <v>0.98798516805038072</v>
      </c>
      <c r="AD340" s="45">
        <f t="shared" si="28"/>
        <v>0.99764404206505253</v>
      </c>
      <c r="AE340" s="45">
        <f t="shared" si="29"/>
        <v>0.85612506920416975</v>
      </c>
      <c r="AF340" s="45">
        <f t="shared" si="30"/>
        <v>0.98800062793007215</v>
      </c>
      <c r="AG340" s="45">
        <f t="shared" si="31"/>
        <v>1.01233167784947</v>
      </c>
      <c r="AH340" s="45">
        <f t="shared" si="32"/>
        <v>0.98893898337947905</v>
      </c>
      <c r="AI340" s="45">
        <f t="shared" si="33"/>
        <v>0.91519529837330893</v>
      </c>
      <c r="AJ340" s="45">
        <f t="shared" si="34"/>
        <v>1.0141779451978621</v>
      </c>
      <c r="AK340" s="45">
        <f t="shared" si="36"/>
        <v>0.95063845736253172</v>
      </c>
      <c r="AL340" s="45">
        <f t="shared" si="37"/>
        <v>1.0251655813772644</v>
      </c>
      <c r="AM340" s="45">
        <f t="shared" si="38"/>
        <v>1.0251655813772644</v>
      </c>
      <c r="AN340" s="45">
        <f t="shared" si="39"/>
        <v>0.83819711385045015</v>
      </c>
      <c r="AS340" s="50" cm="1">
        <f t="array" ref="AS340">SUMPRODUCT(($V340:$AN340&lt;=$I55)*(1))/COUNT($V340:$AN340)</f>
        <v>0.21052631578947367</v>
      </c>
      <c r="AT340" s="50" cm="1">
        <f t="array" ref="AT340">SUMPRODUCT(($V340:$AN340&lt;=$J55)*(1))/COUNT($V340:$AN340)</f>
        <v>5.2631578947368418E-2</v>
      </c>
      <c r="AU340" s="50" cm="1">
        <f t="array" ref="AU340">SUMPRODUCT(($V340:$AN340&lt;=$K55)*(1))/COUNT($V340:$AN340)</f>
        <v>0</v>
      </c>
      <c r="AW340" s="52" cm="1">
        <f t="array" ref="AW340">SUMPRODUCT(($V340:$AN340&lt;=$I55)*(1))</f>
        <v>4</v>
      </c>
      <c r="AX340" s="52" cm="1">
        <f t="array" ref="AX340">SUMPRODUCT(($V340:$AN340&lt;=$J55)*(1))</f>
        <v>1</v>
      </c>
      <c r="AY340" s="52" cm="1">
        <f t="array" ref="AY340">SUMPRODUCT(($V340:$AN340&lt;=$K55)*(1))</f>
        <v>0</v>
      </c>
      <c r="BA340" s="52">
        <f t="shared" si="46"/>
        <v>3</v>
      </c>
      <c r="BB340" s="52">
        <f t="shared" si="47"/>
        <v>1</v>
      </c>
      <c r="BC340" s="52">
        <f t="shared" si="48"/>
        <v>0</v>
      </c>
      <c r="BE340" s="50">
        <f t="shared" si="43"/>
        <v>0.15789473684210525</v>
      </c>
      <c r="BF340" s="50">
        <f t="shared" si="44"/>
        <v>5.2631578947368418E-2</v>
      </c>
      <c r="BG340" s="50">
        <f t="shared" si="45"/>
        <v>0</v>
      </c>
    </row>
    <row r="341" spans="4:59" ht="15.6">
      <c r="D341" s="44"/>
      <c r="M341" s="42"/>
      <c r="N341" s="39" t="s">
        <v>26</v>
      </c>
      <c r="O341" s="39" t="s">
        <v>434</v>
      </c>
      <c r="P341" t="s">
        <v>667</v>
      </c>
      <c r="R341" s="41"/>
      <c r="S341" s="42"/>
      <c r="T341" s="42"/>
      <c r="U341" s="42"/>
      <c r="V341" s="45">
        <f t="shared" si="20"/>
        <v>1</v>
      </c>
      <c r="W341" s="45">
        <f t="shared" si="21"/>
        <v>0.97531804706169001</v>
      </c>
      <c r="X341" s="45">
        <f t="shared" si="22"/>
        <v>1</v>
      </c>
      <c r="Y341" s="45">
        <f t="shared" si="23"/>
        <v>0.99660681072796398</v>
      </c>
      <c r="Z341" s="45">
        <f t="shared" si="24"/>
        <v>0.99518925756824894</v>
      </c>
      <c r="AA341" s="45">
        <f t="shared" si="25"/>
        <v>0.99737795703910637</v>
      </c>
      <c r="AB341" s="45">
        <f t="shared" si="26"/>
        <v>1.0048339975488743</v>
      </c>
      <c r="AC341" s="45">
        <f t="shared" si="27"/>
        <v>1.003404742206766</v>
      </c>
      <c r="AD341" s="45">
        <f t="shared" si="28"/>
        <v>1.003404742206766</v>
      </c>
      <c r="AE341" s="45">
        <f t="shared" si="29"/>
        <v>0.95046461397607407</v>
      </c>
      <c r="AF341" s="45">
        <f t="shared" si="30"/>
        <v>0.99205759510979807</v>
      </c>
      <c r="AG341" s="45">
        <f t="shared" si="31"/>
        <v>1</v>
      </c>
      <c r="AH341" s="45">
        <f t="shared" si="32"/>
        <v>1</v>
      </c>
      <c r="AI341" s="45">
        <f t="shared" si="33"/>
        <v>0.98210259634657304</v>
      </c>
      <c r="AJ341" s="45">
        <f t="shared" si="34"/>
        <v>1.0080059917179738</v>
      </c>
      <c r="AK341" s="45">
        <f t="shared" si="36"/>
        <v>1</v>
      </c>
      <c r="AL341" s="45">
        <f t="shared" si="37"/>
        <v>1</v>
      </c>
      <c r="AM341" s="45">
        <f t="shared" si="38"/>
        <v>1</v>
      </c>
      <c r="AN341" s="45">
        <f t="shared" si="39"/>
        <v>0.98142822216748005</v>
      </c>
      <c r="AS341" s="50" cm="1">
        <f t="array" ref="AS341">SUMPRODUCT(($V341:$AN341&lt;=$I56)*(1))/COUNT($V341:$AN341)</f>
        <v>0</v>
      </c>
      <c r="AT341" s="50" cm="1">
        <f t="array" ref="AT341">SUMPRODUCT(($V341:$AN341&lt;=$J56)*(1))/COUNT($V341:$AN341)</f>
        <v>0</v>
      </c>
      <c r="AU341" s="50" cm="1">
        <f t="array" ref="AU341">SUMPRODUCT(($V341:$AN341&lt;=$K56)*(1))/COUNT($V341:$AN341)</f>
        <v>0</v>
      </c>
      <c r="AW341" s="52" cm="1">
        <f t="array" ref="AW341">SUMPRODUCT(($V341:$AN341&lt;=$I56)*(1))</f>
        <v>0</v>
      </c>
      <c r="AX341" s="52" cm="1">
        <f t="array" ref="AX341">SUMPRODUCT(($V341:$AN341&lt;=$J56)*(1))</f>
        <v>0</v>
      </c>
      <c r="AY341" s="52" cm="1">
        <f t="array" ref="AY341">SUMPRODUCT(($V341:$AN341&lt;=$K56)*(1))</f>
        <v>0</v>
      </c>
      <c r="BA341" s="52">
        <f t="shared" si="46"/>
        <v>0</v>
      </c>
      <c r="BB341" s="52">
        <f t="shared" si="47"/>
        <v>0</v>
      </c>
      <c r="BC341" s="52">
        <f t="shared" si="48"/>
        <v>0</v>
      </c>
      <c r="BE341" s="50">
        <f t="shared" si="43"/>
        <v>0</v>
      </c>
      <c r="BF341" s="50">
        <f t="shared" si="44"/>
        <v>0</v>
      </c>
      <c r="BG341" s="50">
        <f t="shared" si="45"/>
        <v>0</v>
      </c>
    </row>
    <row r="342" spans="4:59" ht="15.6">
      <c r="D342" s="44"/>
      <c r="M342" s="42"/>
      <c r="N342" s="39" t="s">
        <v>26</v>
      </c>
      <c r="O342" s="39" t="s">
        <v>576</v>
      </c>
      <c r="P342" t="s">
        <v>668</v>
      </c>
      <c r="R342" s="41"/>
      <c r="S342" s="42"/>
      <c r="T342" s="42"/>
      <c r="U342" s="42"/>
      <c r="V342" s="45">
        <f t="shared" si="20"/>
        <v>1</v>
      </c>
      <c r="W342" s="45">
        <f t="shared" si="21"/>
        <v>0.99971956759226499</v>
      </c>
      <c r="X342" s="45">
        <f t="shared" si="22"/>
        <v>1.0002805110721305</v>
      </c>
      <c r="Y342" s="45">
        <f t="shared" si="23"/>
        <v>1.0002805110721305</v>
      </c>
      <c r="Z342" s="45">
        <f t="shared" si="24"/>
        <v>1</v>
      </c>
      <c r="AA342" s="45">
        <f t="shared" si="25"/>
        <v>1</v>
      </c>
      <c r="AB342" s="45">
        <f t="shared" si="26"/>
        <v>1</v>
      </c>
      <c r="AC342" s="45">
        <f t="shared" si="27"/>
        <v>0.91576735147048194</v>
      </c>
      <c r="AD342" s="45">
        <f t="shared" si="28"/>
        <v>1</v>
      </c>
      <c r="AE342" s="45">
        <f t="shared" si="29"/>
        <v>0.82498037431770999</v>
      </c>
      <c r="AF342" s="45">
        <f t="shared" si="30"/>
        <v>0.996720281604631</v>
      </c>
      <c r="AG342" s="45">
        <f t="shared" si="31"/>
        <v>1.0032905103426699</v>
      </c>
      <c r="AH342" s="45">
        <f t="shared" si="32"/>
        <v>1.0032905103426699</v>
      </c>
      <c r="AI342" s="45">
        <f t="shared" si="33"/>
        <v>1</v>
      </c>
      <c r="AJ342" s="45">
        <f t="shared" si="34"/>
        <v>1</v>
      </c>
      <c r="AK342" s="45">
        <f t="shared" si="36"/>
        <v>1</v>
      </c>
      <c r="AL342" s="45">
        <f t="shared" si="37"/>
        <v>1</v>
      </c>
      <c r="AM342" s="45">
        <f t="shared" si="38"/>
        <v>1</v>
      </c>
      <c r="AN342" s="45">
        <f t="shared" si="39"/>
        <v>1</v>
      </c>
      <c r="AS342" s="50" cm="1">
        <f t="array" ref="AS342">SUMPRODUCT(($V342:$AN342&lt;=$I57)*(1))/COUNT($V342:$AN342)</f>
        <v>0.10526315789473684</v>
      </c>
      <c r="AT342" s="50" cm="1">
        <f t="array" ref="AT342">SUMPRODUCT(($V342:$AN342&lt;=$J57)*(1))/COUNT($V342:$AN342)</f>
        <v>5.2631578947368418E-2</v>
      </c>
      <c r="AU342" s="50" cm="1">
        <f t="array" ref="AU342">SUMPRODUCT(($V342:$AN342&lt;=$K57)*(1))/COUNT($V342:$AN342)</f>
        <v>0</v>
      </c>
      <c r="AW342" s="52" cm="1">
        <f t="array" ref="AW342">SUMPRODUCT(($V342:$AN342&lt;=$I57)*(1))</f>
        <v>2</v>
      </c>
      <c r="AX342" s="52" cm="1">
        <f t="array" ref="AX342">SUMPRODUCT(($V342:$AN342&lt;=$J57)*(1))</f>
        <v>1</v>
      </c>
      <c r="AY342" s="52" cm="1">
        <f t="array" ref="AY342">SUMPRODUCT(($V342:$AN342&lt;=$K57)*(1))</f>
        <v>0</v>
      </c>
      <c r="BA342" s="52">
        <f t="shared" si="46"/>
        <v>1</v>
      </c>
      <c r="BB342" s="52">
        <f t="shared" si="47"/>
        <v>1</v>
      </c>
      <c r="BC342" s="52">
        <f t="shared" si="48"/>
        <v>0</v>
      </c>
      <c r="BE342" s="50">
        <f t="shared" si="43"/>
        <v>5.2631578947368418E-2</v>
      </c>
      <c r="BF342" s="50">
        <f t="shared" si="44"/>
        <v>5.2631578947368418E-2</v>
      </c>
      <c r="BG342" s="50">
        <f t="shared" si="45"/>
        <v>0</v>
      </c>
    </row>
    <row r="343" spans="4:59" ht="15.6">
      <c r="D343" s="44"/>
      <c r="M343" s="42"/>
      <c r="N343" s="39" t="s">
        <v>26</v>
      </c>
      <c r="O343" s="39" t="s">
        <v>434</v>
      </c>
      <c r="P343" t="s">
        <v>669</v>
      </c>
      <c r="R343" s="41"/>
      <c r="S343" s="42"/>
      <c r="T343" s="42"/>
      <c r="U343" s="42"/>
      <c r="V343" s="45">
        <f t="shared" si="20"/>
        <v>1</v>
      </c>
      <c r="W343" s="45">
        <f t="shared" si="21"/>
        <v>0.94275037975203801</v>
      </c>
      <c r="X343" s="45">
        <f t="shared" si="22"/>
        <v>0.98971768067612009</v>
      </c>
      <c r="Y343" s="45">
        <f t="shared" si="23"/>
        <v>1.0041292860289743</v>
      </c>
      <c r="Z343" s="45">
        <f t="shared" si="24"/>
        <v>1</v>
      </c>
      <c r="AA343" s="45">
        <f t="shared" si="25"/>
        <v>1</v>
      </c>
      <c r="AB343" s="45">
        <f t="shared" si="26"/>
        <v>1</v>
      </c>
      <c r="AC343" s="45">
        <f t="shared" si="27"/>
        <v>1</v>
      </c>
      <c r="AD343" s="45">
        <f t="shared" si="28"/>
        <v>1</v>
      </c>
      <c r="AE343" s="45">
        <f t="shared" si="29"/>
        <v>0.95062398673376902</v>
      </c>
      <c r="AF343" s="45">
        <f t="shared" si="30"/>
        <v>0.95329410479861598</v>
      </c>
      <c r="AG343" s="45">
        <f t="shared" si="31"/>
        <v>1</v>
      </c>
      <c r="AH343" s="45">
        <f t="shared" si="32"/>
        <v>1</v>
      </c>
      <c r="AI343" s="45">
        <f t="shared" si="33"/>
        <v>0.91313311440756095</v>
      </c>
      <c r="AJ343" s="45">
        <f t="shared" si="34"/>
        <v>1.0489942138174144</v>
      </c>
      <c r="AK343" s="45">
        <f t="shared" si="36"/>
        <v>1</v>
      </c>
      <c r="AL343" s="45">
        <f t="shared" si="37"/>
        <v>1</v>
      </c>
      <c r="AM343" s="45">
        <f t="shared" si="38"/>
        <v>1</v>
      </c>
      <c r="AN343" s="45">
        <f t="shared" si="39"/>
        <v>1</v>
      </c>
      <c r="AS343" s="50" cm="1">
        <f t="array" ref="AS343">SUMPRODUCT(($V343:$AN343&lt;=$I58)*(1))/COUNT($V343:$AN343)</f>
        <v>0.10526315789473684</v>
      </c>
      <c r="AT343" s="50" cm="1">
        <f t="array" ref="AT343">SUMPRODUCT(($V343:$AN343&lt;=$J58)*(1))/COUNT($V343:$AN343)</f>
        <v>0</v>
      </c>
      <c r="AU343" s="50" cm="1">
        <f t="array" ref="AU343">SUMPRODUCT(($V343:$AN343&lt;=$K58)*(1))/COUNT($V343:$AN343)</f>
        <v>0</v>
      </c>
      <c r="AW343" s="52" cm="1">
        <f t="array" ref="AW343">SUMPRODUCT(($V343:$AN343&lt;=$I58)*(1))</f>
        <v>2</v>
      </c>
      <c r="AX343" s="52" cm="1">
        <f t="array" ref="AX343">SUMPRODUCT(($V343:$AN343&lt;=$J58)*(1))</f>
        <v>0</v>
      </c>
      <c r="AY343" s="52" cm="1">
        <f t="array" ref="AY343">SUMPRODUCT(($V343:$AN343&lt;=$K58)*(1))</f>
        <v>0</v>
      </c>
      <c r="BA343" s="52">
        <f t="shared" si="46"/>
        <v>2</v>
      </c>
      <c r="BB343" s="52">
        <f t="shared" si="47"/>
        <v>0</v>
      </c>
      <c r="BC343" s="52">
        <f t="shared" si="48"/>
        <v>0</v>
      </c>
      <c r="BE343" s="50">
        <f t="shared" si="43"/>
        <v>0.10526315789473684</v>
      </c>
      <c r="BF343" s="50">
        <f t="shared" si="44"/>
        <v>0</v>
      </c>
      <c r="BG343" s="50">
        <f t="shared" si="45"/>
        <v>0</v>
      </c>
    </row>
    <row r="344" spans="4:59" ht="15.6">
      <c r="D344" s="44"/>
      <c r="M344" s="42"/>
      <c r="N344" s="39" t="s">
        <v>26</v>
      </c>
      <c r="O344" s="39" t="s">
        <v>441</v>
      </c>
      <c r="P344" t="s">
        <v>670</v>
      </c>
      <c r="R344" s="41"/>
      <c r="S344" s="42"/>
      <c r="T344" s="42"/>
      <c r="U344" s="42"/>
      <c r="V344" s="45">
        <f t="shared" si="20"/>
        <v>1</v>
      </c>
      <c r="W344" s="45">
        <f t="shared" si="21"/>
        <v>1</v>
      </c>
      <c r="X344" s="45">
        <f t="shared" si="22"/>
        <v>1</v>
      </c>
      <c r="Y344" s="45">
        <f t="shared" si="23"/>
        <v>1</v>
      </c>
      <c r="Z344" s="45">
        <f t="shared" si="24"/>
        <v>1</v>
      </c>
      <c r="AA344" s="45">
        <f t="shared" si="25"/>
        <v>1</v>
      </c>
      <c r="AB344" s="45">
        <f t="shared" si="26"/>
        <v>1</v>
      </c>
      <c r="AC344" s="45">
        <f t="shared" si="27"/>
        <v>1</v>
      </c>
      <c r="AD344" s="45">
        <f t="shared" si="28"/>
        <v>1</v>
      </c>
      <c r="AE344" s="45">
        <f t="shared" si="29"/>
        <v>0.96035283724392795</v>
      </c>
      <c r="AF344" s="45">
        <f t="shared" si="30"/>
        <v>1</v>
      </c>
      <c r="AG344" s="45">
        <f t="shared" si="31"/>
        <v>1</v>
      </c>
      <c r="AH344" s="45">
        <f t="shared" si="32"/>
        <v>1</v>
      </c>
      <c r="AI344" s="45">
        <f t="shared" si="33"/>
        <v>0.99407953821382089</v>
      </c>
      <c r="AJ344" s="45">
        <f t="shared" si="34"/>
        <v>1</v>
      </c>
      <c r="AK344" s="45">
        <f t="shared" si="36"/>
        <v>1</v>
      </c>
      <c r="AL344" s="45">
        <f t="shared" si="37"/>
        <v>1</v>
      </c>
      <c r="AM344" s="45">
        <f t="shared" si="38"/>
        <v>1</v>
      </c>
      <c r="AN344" s="45">
        <f t="shared" si="39"/>
        <v>1</v>
      </c>
      <c r="AS344" s="50" cm="1">
        <f t="array" ref="AS344">SUMPRODUCT(($V344:$AN344&lt;=$I59)*(1))/COUNT($V344:$AN344)</f>
        <v>0</v>
      </c>
      <c r="AT344" s="50" cm="1">
        <f t="array" ref="AT344">SUMPRODUCT(($V344:$AN344&lt;=$J59)*(1))/COUNT($V344:$AN344)</f>
        <v>0</v>
      </c>
      <c r="AU344" s="50" cm="1">
        <f t="array" ref="AU344">SUMPRODUCT(($V344:$AN344&lt;=$K59)*(1))/COUNT($V344:$AN344)</f>
        <v>0</v>
      </c>
      <c r="AW344" s="52" cm="1">
        <f t="array" ref="AW344">SUMPRODUCT(($V344:$AN344&lt;=$I59)*(1))</f>
        <v>0</v>
      </c>
      <c r="AX344" s="52" cm="1">
        <f t="array" ref="AX344">SUMPRODUCT(($V344:$AN344&lt;=$J59)*(1))</f>
        <v>0</v>
      </c>
      <c r="AY344" s="52" cm="1">
        <f t="array" ref="AY344">SUMPRODUCT(($V344:$AN344&lt;=$K59)*(1))</f>
        <v>0</v>
      </c>
      <c r="BA344" s="52">
        <f t="shared" si="46"/>
        <v>0</v>
      </c>
      <c r="BB344" s="52">
        <f t="shared" si="47"/>
        <v>0</v>
      </c>
      <c r="BC344" s="52">
        <f t="shared" si="48"/>
        <v>0</v>
      </c>
      <c r="BE344" s="50">
        <f t="shared" si="43"/>
        <v>0</v>
      </c>
      <c r="BF344" s="50">
        <f t="shared" si="44"/>
        <v>0</v>
      </c>
      <c r="BG344" s="50">
        <f t="shared" si="45"/>
        <v>0</v>
      </c>
    </row>
    <row r="345" spans="4:59" ht="15.6">
      <c r="D345" s="44"/>
      <c r="M345" s="42"/>
      <c r="N345" s="39" t="s">
        <v>26</v>
      </c>
      <c r="O345" s="39" t="s">
        <v>527</v>
      </c>
      <c r="P345" t="s">
        <v>671</v>
      </c>
      <c r="R345" s="41"/>
      <c r="S345" s="42"/>
      <c r="T345" s="42"/>
      <c r="U345" s="42"/>
      <c r="V345" s="45">
        <f t="shared" si="20"/>
        <v>0.99824193758333513</v>
      </c>
      <c r="W345" s="45">
        <f t="shared" si="21"/>
        <v>0.9041892189645907</v>
      </c>
      <c r="X345" s="45">
        <f t="shared" si="22"/>
        <v>1.0015393700328539</v>
      </c>
      <c r="Y345" s="45">
        <f t="shared" si="23"/>
        <v>1.0015503427088304</v>
      </c>
      <c r="Z345" s="45">
        <f t="shared" si="24"/>
        <v>0.99726252536983917</v>
      </c>
      <c r="AA345" s="45">
        <f t="shared" si="25"/>
        <v>0.99937113707775205</v>
      </c>
      <c r="AB345" s="45">
        <f t="shared" si="26"/>
        <v>1.0024028232785183</v>
      </c>
      <c r="AC345" s="45">
        <f t="shared" si="27"/>
        <v>0.99702206471434929</v>
      </c>
      <c r="AD345" s="45">
        <f t="shared" si="28"/>
        <v>1.0007617213420046</v>
      </c>
      <c r="AE345" s="45">
        <f t="shared" si="29"/>
        <v>0.86317914585719613</v>
      </c>
      <c r="AF345" s="45">
        <f t="shared" si="30"/>
        <v>0.93155909404140369</v>
      </c>
      <c r="AG345" s="45">
        <f t="shared" si="31"/>
        <v>1.0006356749933294</v>
      </c>
      <c r="AH345" s="45">
        <f t="shared" si="32"/>
        <v>1.0014840494028179</v>
      </c>
      <c r="AI345" s="45">
        <f t="shared" si="33"/>
        <v>0.94137835063295328</v>
      </c>
      <c r="AJ345" s="45">
        <f t="shared" si="34"/>
        <v>1.05912746333126</v>
      </c>
      <c r="AK345" s="45">
        <f t="shared" si="36"/>
        <v>0.97167823278917687</v>
      </c>
      <c r="AL345" s="45">
        <f t="shared" si="37"/>
        <v>1.0052783999159804</v>
      </c>
      <c r="AM345" s="45">
        <f t="shared" si="38"/>
        <v>1.0055597232111628</v>
      </c>
      <c r="AN345" s="45">
        <f t="shared" si="39"/>
        <v>0.86591971509356835</v>
      </c>
      <c r="AS345" s="50" cm="1">
        <f t="array" ref="AS345">SUMPRODUCT(($V345:$AN345&lt;=$I60)*(1))/COUNT($V345:$AN345)</f>
        <v>0.26315789473684209</v>
      </c>
      <c r="AT345" s="50" cm="1">
        <f t="array" ref="AT345">SUMPRODUCT(($V345:$AN345&lt;=$J60)*(1))/COUNT($V345:$AN345)</f>
        <v>0</v>
      </c>
      <c r="AU345" s="50" cm="1">
        <f t="array" ref="AU345">SUMPRODUCT(($V345:$AN345&lt;=$K60)*(1))/COUNT($V345:$AN345)</f>
        <v>0</v>
      </c>
      <c r="AW345" s="52" cm="1">
        <f t="array" ref="AW345">SUMPRODUCT(($V345:$AN345&lt;=$I60)*(1))</f>
        <v>5</v>
      </c>
      <c r="AX345" s="52" cm="1">
        <f t="array" ref="AX345">SUMPRODUCT(($V345:$AN345&lt;=$J60)*(1))</f>
        <v>0</v>
      </c>
      <c r="AY345" s="52" cm="1">
        <f t="array" ref="AY345">SUMPRODUCT(($V345:$AN345&lt;=$K60)*(1))</f>
        <v>0</v>
      </c>
      <c r="BA345" s="52">
        <f t="shared" si="46"/>
        <v>5</v>
      </c>
      <c r="BB345" s="52">
        <f t="shared" si="47"/>
        <v>0</v>
      </c>
      <c r="BC345" s="52">
        <f t="shared" si="48"/>
        <v>0</v>
      </c>
      <c r="BE345" s="50">
        <f t="shared" si="43"/>
        <v>0.26315789473684209</v>
      </c>
      <c r="BF345" s="50">
        <f t="shared" si="44"/>
        <v>0</v>
      </c>
      <c r="BG345" s="50">
        <f t="shared" si="45"/>
        <v>0</v>
      </c>
    </row>
    <row r="346" spans="4:59" ht="15.6">
      <c r="D346" s="44"/>
      <c r="M346" s="42"/>
      <c r="N346" s="39" t="s">
        <v>26</v>
      </c>
      <c r="O346" s="39" t="s">
        <v>251</v>
      </c>
      <c r="P346" t="s">
        <v>672</v>
      </c>
      <c r="R346" s="41"/>
      <c r="S346" s="42"/>
      <c r="T346" s="42"/>
      <c r="U346" s="42"/>
      <c r="V346" s="45">
        <f t="shared" si="20"/>
        <v>1</v>
      </c>
      <c r="W346" s="45">
        <f t="shared" si="21"/>
        <v>0.94891057167821802</v>
      </c>
      <c r="X346" s="45">
        <f t="shared" si="22"/>
        <v>1.0287457485988674</v>
      </c>
      <c r="Y346" s="45">
        <f t="shared" si="23"/>
        <v>1.0287457485988674</v>
      </c>
      <c r="Z346" s="45">
        <f t="shared" si="24"/>
        <v>1</v>
      </c>
      <c r="AA346" s="45">
        <f t="shared" si="25"/>
        <v>1</v>
      </c>
      <c r="AB346" s="45">
        <f t="shared" si="26"/>
        <v>1</v>
      </c>
      <c r="AC346" s="45">
        <f t="shared" si="27"/>
        <v>1</v>
      </c>
      <c r="AD346" s="45">
        <f t="shared" si="28"/>
        <v>1</v>
      </c>
      <c r="AE346" s="45">
        <f t="shared" si="29"/>
        <v>0.91429135715073295</v>
      </c>
      <c r="AF346" s="45">
        <f t="shared" si="30"/>
        <v>0.92816004226077597</v>
      </c>
      <c r="AG346" s="45">
        <f t="shared" si="31"/>
        <v>1</v>
      </c>
      <c r="AH346" s="45">
        <f t="shared" si="32"/>
        <v>1</v>
      </c>
      <c r="AI346" s="45">
        <f t="shared" si="33"/>
        <v>1</v>
      </c>
      <c r="AJ346" s="45">
        <f t="shared" si="34"/>
        <v>1</v>
      </c>
      <c r="AK346" s="45">
        <f t="shared" si="36"/>
        <v>0.9932498378723309</v>
      </c>
      <c r="AL346" s="45">
        <f t="shared" si="37"/>
        <v>1</v>
      </c>
      <c r="AM346" s="45">
        <f t="shared" si="38"/>
        <v>1</v>
      </c>
      <c r="AN346" s="45">
        <f t="shared" si="39"/>
        <v>0.89820328069007804</v>
      </c>
      <c r="AS346" s="50" cm="1">
        <f t="array" ref="AS346">SUMPRODUCT(($V346:$AN346&lt;=$I61)*(1))/COUNT($V346:$AN346)</f>
        <v>0.21052631578947367</v>
      </c>
      <c r="AT346" s="50" cm="1">
        <f t="array" ref="AT346">SUMPRODUCT(($V346:$AN346&lt;=$J61)*(1))/COUNT($V346:$AN346)</f>
        <v>0</v>
      </c>
      <c r="AU346" s="50" cm="1">
        <f t="array" ref="AU346">SUMPRODUCT(($V346:$AN346&lt;=$K61)*(1))/COUNT($V346:$AN346)</f>
        <v>0</v>
      </c>
      <c r="AW346" s="52" cm="1">
        <f t="array" ref="AW346">SUMPRODUCT(($V346:$AN346&lt;=$I61)*(1))</f>
        <v>4</v>
      </c>
      <c r="AX346" s="52" cm="1">
        <f t="array" ref="AX346">SUMPRODUCT(($V346:$AN346&lt;=$J61)*(1))</f>
        <v>0</v>
      </c>
      <c r="AY346" s="52" cm="1">
        <f t="array" ref="AY346">SUMPRODUCT(($V346:$AN346&lt;=$K61)*(1))</f>
        <v>0</v>
      </c>
      <c r="BA346" s="52">
        <f t="shared" si="46"/>
        <v>4</v>
      </c>
      <c r="BB346" s="52">
        <f t="shared" si="47"/>
        <v>0</v>
      </c>
      <c r="BC346" s="52">
        <f t="shared" si="48"/>
        <v>0</v>
      </c>
      <c r="BE346" s="50">
        <f t="shared" si="43"/>
        <v>0.21052631578947367</v>
      </c>
      <c r="BF346" s="50">
        <f t="shared" si="44"/>
        <v>0</v>
      </c>
      <c r="BG346" s="50">
        <f t="shared" si="45"/>
        <v>0</v>
      </c>
    </row>
    <row r="347" spans="4:59" ht="15.6">
      <c r="D347" s="44"/>
      <c r="M347" s="42"/>
      <c r="N347" s="39" t="s">
        <v>26</v>
      </c>
      <c r="O347" s="39" t="s">
        <v>588</v>
      </c>
      <c r="P347" t="s">
        <v>673</v>
      </c>
      <c r="R347" s="41"/>
      <c r="S347" s="42"/>
      <c r="T347" s="42"/>
      <c r="U347" s="42"/>
      <c r="V347" s="45">
        <f t="shared" si="20"/>
        <v>1</v>
      </c>
      <c r="W347" s="45">
        <f t="shared" si="21"/>
        <v>1</v>
      </c>
      <c r="X347" s="45">
        <f t="shared" si="22"/>
        <v>1</v>
      </c>
      <c r="Y347" s="45">
        <f t="shared" si="23"/>
        <v>1</v>
      </c>
      <c r="Z347" s="45">
        <f t="shared" si="24"/>
        <v>1</v>
      </c>
      <c r="AA347" s="45">
        <f t="shared" si="25"/>
        <v>1</v>
      </c>
      <c r="AB347" s="45">
        <f t="shared" si="26"/>
        <v>1</v>
      </c>
      <c r="AC347" s="45">
        <f t="shared" si="27"/>
        <v>0.97596821617836793</v>
      </c>
      <c r="AD347" s="45">
        <f t="shared" si="28"/>
        <v>1</v>
      </c>
      <c r="AE347" s="45">
        <f t="shared" si="29"/>
        <v>1</v>
      </c>
      <c r="AF347" s="45">
        <f t="shared" si="30"/>
        <v>1</v>
      </c>
      <c r="AG347" s="45">
        <f t="shared" si="31"/>
        <v>1</v>
      </c>
      <c r="AH347" s="45">
        <f t="shared" si="32"/>
        <v>1</v>
      </c>
      <c r="AI347" s="45">
        <f t="shared" si="33"/>
        <v>1</v>
      </c>
      <c r="AJ347" s="45">
        <f t="shared" si="34"/>
        <v>1</v>
      </c>
      <c r="AK347" s="45">
        <f t="shared" si="36"/>
        <v>1</v>
      </c>
      <c r="AL347" s="45">
        <f t="shared" si="37"/>
        <v>1</v>
      </c>
      <c r="AM347" s="45">
        <f t="shared" si="38"/>
        <v>1</v>
      </c>
      <c r="AN347" s="45">
        <f t="shared" si="39"/>
        <v>1</v>
      </c>
      <c r="AS347" s="50" cm="1">
        <f t="array" ref="AS347">SUMPRODUCT(($V347:$AN347&lt;=$I62)*(1))/COUNT($V347:$AN347)</f>
        <v>0</v>
      </c>
      <c r="AT347" s="50" cm="1">
        <f t="array" ref="AT347">SUMPRODUCT(($V347:$AN347&lt;=$J62)*(1))/COUNT($V347:$AN347)</f>
        <v>0</v>
      </c>
      <c r="AU347" s="50" cm="1">
        <f t="array" ref="AU347">SUMPRODUCT(($V347:$AN347&lt;=$K62)*(1))/COUNT($V347:$AN347)</f>
        <v>0</v>
      </c>
      <c r="AW347" s="52" cm="1">
        <f t="array" ref="AW347">SUMPRODUCT(($V347:$AN347&lt;=$I62)*(1))</f>
        <v>0</v>
      </c>
      <c r="AX347" s="52" cm="1">
        <f t="array" ref="AX347">SUMPRODUCT(($V347:$AN347&lt;=$J62)*(1))</f>
        <v>0</v>
      </c>
      <c r="AY347" s="52" cm="1">
        <f t="array" ref="AY347">SUMPRODUCT(($V347:$AN347&lt;=$K62)*(1))</f>
        <v>0</v>
      </c>
      <c r="BA347" s="52">
        <f t="shared" si="46"/>
        <v>0</v>
      </c>
      <c r="BB347" s="52">
        <f t="shared" si="47"/>
        <v>0</v>
      </c>
      <c r="BC347" s="52">
        <f t="shared" si="48"/>
        <v>0</v>
      </c>
      <c r="BE347" s="50">
        <f t="shared" si="43"/>
        <v>0</v>
      </c>
      <c r="BF347" s="50">
        <f t="shared" si="44"/>
        <v>0</v>
      </c>
      <c r="BG347" s="50">
        <f t="shared" si="45"/>
        <v>0</v>
      </c>
    </row>
    <row r="348" spans="4:59" ht="15.6">
      <c r="D348" s="44"/>
      <c r="M348" s="42"/>
      <c r="N348" s="39" t="s">
        <v>26</v>
      </c>
      <c r="O348" s="39" t="s">
        <v>235</v>
      </c>
      <c r="P348" t="s">
        <v>674</v>
      </c>
      <c r="R348" s="41"/>
      <c r="S348" s="42"/>
      <c r="T348" s="42"/>
      <c r="U348" s="42"/>
      <c r="V348" s="45">
        <f t="shared" si="20"/>
        <v>1</v>
      </c>
      <c r="W348" s="45">
        <f t="shared" si="21"/>
        <v>1</v>
      </c>
      <c r="X348" s="45">
        <f t="shared" si="22"/>
        <v>1</v>
      </c>
      <c r="Y348" s="45">
        <f t="shared" si="23"/>
        <v>1</v>
      </c>
      <c r="Z348" s="45">
        <f t="shared" si="24"/>
        <v>1</v>
      </c>
      <c r="AA348" s="45">
        <f t="shared" si="25"/>
        <v>1</v>
      </c>
      <c r="AB348" s="45">
        <f t="shared" si="26"/>
        <v>1</v>
      </c>
      <c r="AC348" s="45">
        <f t="shared" si="27"/>
        <v>1</v>
      </c>
      <c r="AD348" s="45">
        <f t="shared" si="28"/>
        <v>1</v>
      </c>
      <c r="AE348" s="45">
        <f t="shared" si="29"/>
        <v>0.99189669004850201</v>
      </c>
      <c r="AF348" s="45">
        <f t="shared" si="30"/>
        <v>1</v>
      </c>
      <c r="AG348" s="45">
        <f t="shared" si="31"/>
        <v>1</v>
      </c>
      <c r="AH348" s="45">
        <f t="shared" si="32"/>
        <v>1</v>
      </c>
      <c r="AI348" s="45">
        <f t="shared" si="33"/>
        <v>1</v>
      </c>
      <c r="AJ348" s="45">
        <f t="shared" si="34"/>
        <v>1</v>
      </c>
      <c r="AK348" s="45">
        <f t="shared" si="36"/>
        <v>1</v>
      </c>
      <c r="AL348" s="45">
        <f t="shared" si="37"/>
        <v>1</v>
      </c>
      <c r="AM348" s="45">
        <f t="shared" si="38"/>
        <v>1</v>
      </c>
      <c r="AN348" s="45">
        <f t="shared" si="39"/>
        <v>1</v>
      </c>
      <c r="AS348" s="50" cm="1">
        <f t="array" ref="AS348">SUMPRODUCT(($V348:$AN348&lt;=$I63)*(1))/COUNT($V348:$AN348)</f>
        <v>0</v>
      </c>
      <c r="AT348" s="50" cm="1">
        <f t="array" ref="AT348">SUMPRODUCT(($V348:$AN348&lt;=$J63)*(1))/COUNT($V348:$AN348)</f>
        <v>0</v>
      </c>
      <c r="AU348" s="50" cm="1">
        <f t="array" ref="AU348">SUMPRODUCT(($V348:$AN348&lt;=$K63)*(1))/COUNT($V348:$AN348)</f>
        <v>0</v>
      </c>
      <c r="AW348" s="52" cm="1">
        <f t="array" ref="AW348">SUMPRODUCT(($V348:$AN348&lt;=$I63)*(1))</f>
        <v>0</v>
      </c>
      <c r="AX348" s="52" cm="1">
        <f t="array" ref="AX348">SUMPRODUCT(($V348:$AN348&lt;=$J63)*(1))</f>
        <v>0</v>
      </c>
      <c r="AY348" s="52" cm="1">
        <f t="array" ref="AY348">SUMPRODUCT(($V348:$AN348&lt;=$K63)*(1))</f>
        <v>0</v>
      </c>
      <c r="BA348" s="52">
        <f t="shared" si="46"/>
        <v>0</v>
      </c>
      <c r="BB348" s="52">
        <f t="shared" si="47"/>
        <v>0</v>
      </c>
      <c r="BC348" s="52">
        <f t="shared" si="48"/>
        <v>0</v>
      </c>
      <c r="BE348" s="50">
        <f t="shared" si="43"/>
        <v>0</v>
      </c>
      <c r="BF348" s="50">
        <f t="shared" si="44"/>
        <v>0</v>
      </c>
      <c r="BG348" s="50">
        <f t="shared" si="45"/>
        <v>0</v>
      </c>
    </row>
    <row r="349" spans="4:59" ht="15.6">
      <c r="D349" s="44"/>
      <c r="M349" s="42"/>
      <c r="N349" s="39" t="s">
        <v>26</v>
      </c>
      <c r="O349" s="39" t="s">
        <v>245</v>
      </c>
      <c r="P349" t="s">
        <v>675</v>
      </c>
      <c r="R349" s="41"/>
      <c r="S349" s="42"/>
      <c r="T349" s="42"/>
      <c r="U349" s="42"/>
      <c r="V349" s="45">
        <f t="shared" si="20"/>
        <v>0.99897304499508399</v>
      </c>
      <c r="W349" s="45">
        <f t="shared" si="21"/>
        <v>0.85470152947357025</v>
      </c>
      <c r="X349" s="45">
        <f t="shared" si="22"/>
        <v>1.0010280107256759</v>
      </c>
      <c r="Y349" s="45">
        <f t="shared" si="23"/>
        <v>0.97896474587725613</v>
      </c>
      <c r="Z349" s="45">
        <f t="shared" si="24"/>
        <v>0.96890039352225044</v>
      </c>
      <c r="AA349" s="45">
        <f t="shared" si="25"/>
        <v>0.99031143352321005</v>
      </c>
      <c r="AB349" s="45">
        <f t="shared" si="26"/>
        <v>1.0325411875337047</v>
      </c>
      <c r="AC349" s="45">
        <f t="shared" si="27"/>
        <v>1.0225373435982608</v>
      </c>
      <c r="AD349" s="45">
        <f t="shared" si="28"/>
        <v>1.0225373435982608</v>
      </c>
      <c r="AE349" s="45">
        <f t="shared" si="29"/>
        <v>0.74916077597650399</v>
      </c>
      <c r="AF349" s="45">
        <f t="shared" si="30"/>
        <v>0.91982319033495896</v>
      </c>
      <c r="AG349" s="45">
        <f t="shared" si="31"/>
        <v>0.995994041283216</v>
      </c>
      <c r="AH349" s="45">
        <f t="shared" si="32"/>
        <v>0.98655971499575523</v>
      </c>
      <c r="AI349" s="45">
        <f t="shared" si="33"/>
        <v>0.96113586974714282</v>
      </c>
      <c r="AJ349" s="45">
        <f t="shared" si="34"/>
        <v>1.05885159886503</v>
      </c>
      <c r="AK349" s="45">
        <f t="shared" si="36"/>
        <v>0.90805528880559161</v>
      </c>
      <c r="AL349" s="45">
        <f t="shared" si="37"/>
        <v>0.92557925238394223</v>
      </c>
      <c r="AM349" s="45">
        <f t="shared" si="38"/>
        <v>1.05885159886503</v>
      </c>
      <c r="AN349" s="45">
        <f t="shared" si="39"/>
        <v>0.84839258567583464</v>
      </c>
      <c r="AS349" s="50" cm="1">
        <f t="array" ref="AS349">SUMPRODUCT(($V349:$AN349&lt;=$I64)*(1))/COUNT($V349:$AN349)</f>
        <v>0.31578947368421051</v>
      </c>
      <c r="AT349" s="50" cm="1">
        <f t="array" ref="AT349">SUMPRODUCT(($V349:$AN349&lt;=$J64)*(1))/COUNT($V349:$AN349)</f>
        <v>0.10526315789473684</v>
      </c>
      <c r="AU349" s="50" cm="1">
        <f t="array" ref="AU349">SUMPRODUCT(($V349:$AN349&lt;=$K64)*(1))/COUNT($V349:$AN349)</f>
        <v>5.2631578947368418E-2</v>
      </c>
      <c r="AW349" s="52" cm="1">
        <f t="array" ref="AW349">SUMPRODUCT(($V349:$AN349&lt;=$I64)*(1))</f>
        <v>6</v>
      </c>
      <c r="AX349" s="52" cm="1">
        <f t="array" ref="AX349">SUMPRODUCT(($V349:$AN349&lt;=$J64)*(1))</f>
        <v>2</v>
      </c>
      <c r="AY349" s="52" cm="1">
        <f t="array" ref="AY349">SUMPRODUCT(($V349:$AN349&lt;=$K64)*(1))</f>
        <v>1</v>
      </c>
      <c r="BA349" s="52">
        <f t="shared" si="46"/>
        <v>4</v>
      </c>
      <c r="BB349" s="52">
        <f t="shared" si="47"/>
        <v>1</v>
      </c>
      <c r="BC349" s="52">
        <f t="shared" si="48"/>
        <v>1</v>
      </c>
      <c r="BE349" s="50">
        <f t="shared" si="43"/>
        <v>0.21052631578947367</v>
      </c>
      <c r="BF349" s="50">
        <f t="shared" si="44"/>
        <v>5.2631578947368418E-2</v>
      </c>
      <c r="BG349" s="50">
        <f t="shared" si="45"/>
        <v>5.2631578947368418E-2</v>
      </c>
    </row>
    <row r="350" spans="4:59" ht="15.6">
      <c r="D350" s="44"/>
      <c r="M350" s="42"/>
      <c r="N350" s="39" t="s">
        <v>26</v>
      </c>
      <c r="O350" s="39" t="s">
        <v>498</v>
      </c>
      <c r="P350" t="s">
        <v>676</v>
      </c>
      <c r="R350" s="41"/>
      <c r="S350" s="42"/>
      <c r="T350" s="42"/>
      <c r="U350" s="42"/>
      <c r="V350" s="45">
        <f t="shared" si="20"/>
        <v>1</v>
      </c>
      <c r="W350" s="45">
        <f t="shared" si="21"/>
        <v>0.90123401383816004</v>
      </c>
      <c r="X350" s="45">
        <f t="shared" si="22"/>
        <v>0.924742708311731</v>
      </c>
      <c r="Y350" s="45">
        <f t="shared" si="23"/>
        <v>1.000198024745605</v>
      </c>
      <c r="Z350" s="45">
        <f t="shared" si="24"/>
        <v>0.99679127810950718</v>
      </c>
      <c r="AA350" s="45">
        <f t="shared" si="25"/>
        <v>0.9736264960436819</v>
      </c>
      <c r="AB350" s="45">
        <f t="shared" si="26"/>
        <v>1.0305981988004622</v>
      </c>
      <c r="AC350" s="45">
        <f t="shared" si="27"/>
        <v>1.0034177131270241</v>
      </c>
      <c r="AD350" s="45">
        <f t="shared" si="28"/>
        <v>1</v>
      </c>
      <c r="AE350" s="45">
        <f t="shared" si="29"/>
        <v>0.91919888101667402</v>
      </c>
      <c r="AF350" s="45">
        <f t="shared" si="30"/>
        <v>0.90269300553752996</v>
      </c>
      <c r="AG350" s="45">
        <f t="shared" si="31"/>
        <v>0.99993898032469997</v>
      </c>
      <c r="AH350" s="45">
        <f t="shared" si="32"/>
        <v>1.000061023398928</v>
      </c>
      <c r="AI350" s="45">
        <f t="shared" si="33"/>
        <v>0.8362280709217893</v>
      </c>
      <c r="AJ350" s="45">
        <f t="shared" si="34"/>
        <v>1.0879038482879315</v>
      </c>
      <c r="AK350" s="45">
        <f t="shared" si="36"/>
        <v>0.99946064942543211</v>
      </c>
      <c r="AL350" s="45">
        <f t="shared" si="37"/>
        <v>1.000061023398928</v>
      </c>
      <c r="AM350" s="45">
        <f t="shared" si="38"/>
        <v>1</v>
      </c>
      <c r="AN350" s="45">
        <f t="shared" si="39"/>
        <v>0.993103828617658</v>
      </c>
      <c r="AS350" s="50" cm="1">
        <f t="array" ref="AS350">SUMPRODUCT(($V350:$AN350&lt;=$I65)*(1))/COUNT($V350:$AN350)</f>
        <v>0.26315789473684209</v>
      </c>
      <c r="AT350" s="50" cm="1">
        <f t="array" ref="AT350">SUMPRODUCT(($V350:$AN350&lt;=$J65)*(1))/COUNT($V350:$AN350)</f>
        <v>5.2631578947368418E-2</v>
      </c>
      <c r="AU350" s="50" cm="1">
        <f t="array" ref="AU350">SUMPRODUCT(($V350:$AN350&lt;=$K65)*(1))/COUNT($V350:$AN350)</f>
        <v>0</v>
      </c>
      <c r="AW350" s="52" cm="1">
        <f t="array" ref="AW350">SUMPRODUCT(($V350:$AN350&lt;=$I65)*(1))</f>
        <v>5</v>
      </c>
      <c r="AX350" s="52" cm="1">
        <f t="array" ref="AX350">SUMPRODUCT(($V350:$AN350&lt;=$J65)*(1))</f>
        <v>1</v>
      </c>
      <c r="AY350" s="52" cm="1">
        <f t="array" ref="AY350">SUMPRODUCT(($V350:$AN350&lt;=$K65)*(1))</f>
        <v>0</v>
      </c>
      <c r="BA350" s="52">
        <f t="shared" si="46"/>
        <v>4</v>
      </c>
      <c r="BB350" s="52">
        <f t="shared" si="47"/>
        <v>1</v>
      </c>
      <c r="BC350" s="52">
        <f t="shared" si="48"/>
        <v>0</v>
      </c>
      <c r="BE350" s="50">
        <f t="shared" si="43"/>
        <v>0.21052631578947367</v>
      </c>
      <c r="BF350" s="50">
        <f t="shared" si="44"/>
        <v>5.2631578947368418E-2</v>
      </c>
      <c r="BG350" s="50">
        <f t="shared" si="45"/>
        <v>0</v>
      </c>
    </row>
    <row r="351" spans="4:59" ht="15.6">
      <c r="D351" s="44"/>
      <c r="M351" s="42"/>
      <c r="N351" s="39" t="s">
        <v>26</v>
      </c>
      <c r="O351" s="39" t="s">
        <v>99</v>
      </c>
      <c r="P351" t="s">
        <v>677</v>
      </c>
      <c r="R351" s="41"/>
      <c r="S351" s="42"/>
      <c r="T351" s="42"/>
      <c r="U351" s="42"/>
      <c r="V351" s="45">
        <f t="shared" si="20"/>
        <v>1</v>
      </c>
      <c r="W351" s="45">
        <f t="shared" si="21"/>
        <v>0.96066179502381899</v>
      </c>
      <c r="X351" s="45">
        <f t="shared" si="22"/>
        <v>1</v>
      </c>
      <c r="Y351" s="45">
        <f t="shared" si="23"/>
        <v>0.99122513628644104</v>
      </c>
      <c r="Z351" s="45">
        <f t="shared" si="24"/>
        <v>0.99714624335722302</v>
      </c>
      <c r="AA351" s="45">
        <f t="shared" si="25"/>
        <v>1.002172165790254</v>
      </c>
      <c r="AB351" s="45">
        <f t="shared" si="26"/>
        <v>1.0028619238770522</v>
      </c>
      <c r="AC351" s="45">
        <f t="shared" si="27"/>
        <v>0.99853975865451483</v>
      </c>
      <c r="AD351" s="45">
        <f t="shared" si="28"/>
        <v>1.0021516463337354</v>
      </c>
      <c r="AE351" s="45">
        <f t="shared" si="29"/>
        <v>0.96195337058439612</v>
      </c>
      <c r="AF351" s="45">
        <f t="shared" si="30"/>
        <v>1.0006882630653129</v>
      </c>
      <c r="AG351" s="45">
        <f t="shared" si="31"/>
        <v>1</v>
      </c>
      <c r="AH351" s="45">
        <f t="shared" si="32"/>
        <v>0.99623982888603502</v>
      </c>
      <c r="AI351" s="45">
        <f t="shared" si="33"/>
        <v>0.99595903221941895</v>
      </c>
      <c r="AJ351" s="45">
        <f t="shared" si="34"/>
        <v>1.0037743633660676</v>
      </c>
      <c r="AK351" s="45">
        <f t="shared" si="36"/>
        <v>1</v>
      </c>
      <c r="AL351" s="45">
        <f t="shared" si="37"/>
        <v>0.996176408197049</v>
      </c>
      <c r="AM351" s="45">
        <f t="shared" si="38"/>
        <v>1.0037743633660676</v>
      </c>
      <c r="AN351" s="45">
        <f t="shared" si="39"/>
        <v>0.98351688892439693</v>
      </c>
      <c r="AS351" s="50" cm="1">
        <f t="array" ref="AS351">SUMPRODUCT(($V351:$AN351&lt;=$I66)*(1))/COUNT($V351:$AN351)</f>
        <v>0</v>
      </c>
      <c r="AT351" s="50" cm="1">
        <f t="array" ref="AT351">SUMPRODUCT(($V351:$AN351&lt;=$J66)*(1))/COUNT($V351:$AN351)</f>
        <v>0</v>
      </c>
      <c r="AU351" s="50" cm="1">
        <f t="array" ref="AU351">SUMPRODUCT(($V351:$AN351&lt;=$K66)*(1))/COUNT($V351:$AN351)</f>
        <v>0</v>
      </c>
      <c r="AW351" s="52" cm="1">
        <f t="array" ref="AW351">SUMPRODUCT(($V351:$AN351&lt;=$I66)*(1))</f>
        <v>0</v>
      </c>
      <c r="AX351" s="52" cm="1">
        <f t="array" ref="AX351">SUMPRODUCT(($V351:$AN351&lt;=$J66)*(1))</f>
        <v>0</v>
      </c>
      <c r="AY351" s="52" cm="1">
        <f t="array" ref="AY351">SUMPRODUCT(($V351:$AN351&lt;=$K66)*(1))</f>
        <v>0</v>
      </c>
      <c r="BA351" s="52">
        <f t="shared" si="46"/>
        <v>0</v>
      </c>
      <c r="BB351" s="52">
        <f t="shared" si="47"/>
        <v>0</v>
      </c>
      <c r="BC351" s="52">
        <f t="shared" si="48"/>
        <v>0</v>
      </c>
      <c r="BE351" s="50">
        <f t="shared" si="43"/>
        <v>0</v>
      </c>
      <c r="BF351" s="50">
        <f t="shared" si="44"/>
        <v>0</v>
      </c>
      <c r="BG351" s="50">
        <f t="shared" si="45"/>
        <v>0</v>
      </c>
    </row>
    <row r="352" spans="4:59" ht="15.6">
      <c r="D352" s="44"/>
      <c r="M352" s="42"/>
      <c r="N352" s="39" t="s">
        <v>26</v>
      </c>
      <c r="O352" s="39" t="s">
        <v>270</v>
      </c>
      <c r="P352" t="s">
        <v>678</v>
      </c>
      <c r="R352" s="41"/>
      <c r="S352" s="42"/>
      <c r="T352" s="42"/>
      <c r="U352" s="42"/>
      <c r="V352" s="45">
        <f t="shared" si="20"/>
        <v>1</v>
      </c>
      <c r="W352" s="45">
        <f t="shared" si="21"/>
        <v>1</v>
      </c>
      <c r="X352" s="45">
        <f t="shared" si="22"/>
        <v>1</v>
      </c>
      <c r="Y352" s="45">
        <f t="shared" si="23"/>
        <v>1</v>
      </c>
      <c r="Z352" s="45">
        <f t="shared" si="24"/>
        <v>1</v>
      </c>
      <c r="AA352" s="45">
        <f t="shared" si="25"/>
        <v>1</v>
      </c>
      <c r="AB352" s="45">
        <f t="shared" si="26"/>
        <v>1</v>
      </c>
      <c r="AC352" s="45">
        <f t="shared" si="27"/>
        <v>1</v>
      </c>
      <c r="AD352" s="45">
        <f t="shared" si="28"/>
        <v>1</v>
      </c>
      <c r="AE352" s="45">
        <f t="shared" si="29"/>
        <v>0.99745159926870997</v>
      </c>
      <c r="AF352" s="45">
        <f t="shared" si="30"/>
        <v>1</v>
      </c>
      <c r="AG352" s="45">
        <f t="shared" si="31"/>
        <v>1</v>
      </c>
      <c r="AH352" s="45">
        <f t="shared" si="32"/>
        <v>1</v>
      </c>
      <c r="AI352" s="45">
        <f t="shared" si="33"/>
        <v>1</v>
      </c>
      <c r="AJ352" s="45">
        <f t="shared" si="34"/>
        <v>1</v>
      </c>
      <c r="AK352" s="45">
        <f t="shared" si="36"/>
        <v>1</v>
      </c>
      <c r="AL352" s="45">
        <f t="shared" si="37"/>
        <v>1</v>
      </c>
      <c r="AM352" s="45">
        <f t="shared" si="38"/>
        <v>1</v>
      </c>
      <c r="AN352" s="45">
        <f t="shared" si="39"/>
        <v>0.94036537682746502</v>
      </c>
      <c r="AS352" s="50" cm="1">
        <f t="array" ref="AS352">SUMPRODUCT(($V352:$AN352&lt;=$I67)*(1))/COUNT($V352:$AN352)</f>
        <v>5.2631578947368418E-2</v>
      </c>
      <c r="AT352" s="50" cm="1">
        <f t="array" ref="AT352">SUMPRODUCT(($V352:$AN352&lt;=$J67)*(1))/COUNT($V352:$AN352)</f>
        <v>0</v>
      </c>
      <c r="AU352" s="50" cm="1">
        <f t="array" ref="AU352">SUMPRODUCT(($V352:$AN352&lt;=$K67)*(1))/COUNT($V352:$AN352)</f>
        <v>0</v>
      </c>
      <c r="AW352" s="52" cm="1">
        <f t="array" ref="AW352">SUMPRODUCT(($V352:$AN352&lt;=$I67)*(1))</f>
        <v>1</v>
      </c>
      <c r="AX352" s="52" cm="1">
        <f t="array" ref="AX352">SUMPRODUCT(($V352:$AN352&lt;=$J67)*(1))</f>
        <v>0</v>
      </c>
      <c r="AY352" s="52" cm="1">
        <f t="array" ref="AY352">SUMPRODUCT(($V352:$AN352&lt;=$K67)*(1))</f>
        <v>0</v>
      </c>
      <c r="BA352" s="52">
        <f t="shared" si="46"/>
        <v>1</v>
      </c>
      <c r="BB352" s="52">
        <f t="shared" si="47"/>
        <v>0</v>
      </c>
      <c r="BC352" s="52">
        <f t="shared" si="48"/>
        <v>0</v>
      </c>
      <c r="BE352" s="50">
        <f t="shared" si="43"/>
        <v>5.2631578947368418E-2</v>
      </c>
      <c r="BF352" s="50">
        <f t="shared" si="44"/>
        <v>0</v>
      </c>
      <c r="BG352" s="50">
        <f t="shared" si="45"/>
        <v>0</v>
      </c>
    </row>
    <row r="353" spans="4:59" ht="15.6">
      <c r="D353" s="44"/>
      <c r="M353" s="42"/>
      <c r="N353" s="39" t="s">
        <v>26</v>
      </c>
      <c r="O353" s="39" t="s">
        <v>257</v>
      </c>
      <c r="P353" t="s">
        <v>679</v>
      </c>
      <c r="R353" s="41"/>
      <c r="S353" s="42"/>
      <c r="T353" s="42"/>
      <c r="U353" s="42"/>
      <c r="V353" s="45">
        <f t="shared" si="20"/>
        <v>1</v>
      </c>
      <c r="W353" s="45">
        <f t="shared" si="21"/>
        <v>0.99871027891238495</v>
      </c>
      <c r="X353" s="45">
        <f t="shared" si="22"/>
        <v>1</v>
      </c>
      <c r="Y353" s="45">
        <f t="shared" si="23"/>
        <v>1</v>
      </c>
      <c r="Z353" s="45">
        <f t="shared" si="24"/>
        <v>1</v>
      </c>
      <c r="AA353" s="45">
        <f t="shared" si="25"/>
        <v>1</v>
      </c>
      <c r="AB353" s="45">
        <f t="shared" si="26"/>
        <v>1</v>
      </c>
      <c r="AC353" s="45">
        <f t="shared" si="27"/>
        <v>1</v>
      </c>
      <c r="AD353" s="45">
        <f t="shared" si="28"/>
        <v>1</v>
      </c>
      <c r="AE353" s="45">
        <f t="shared" si="29"/>
        <v>0.99824146258083102</v>
      </c>
      <c r="AF353" s="45">
        <f t="shared" si="30"/>
        <v>1</v>
      </c>
      <c r="AG353" s="45">
        <f t="shared" si="31"/>
        <v>1</v>
      </c>
      <c r="AH353" s="45">
        <f t="shared" si="32"/>
        <v>1</v>
      </c>
      <c r="AI353" s="45">
        <f t="shared" si="33"/>
        <v>1</v>
      </c>
      <c r="AJ353" s="45">
        <f t="shared" si="34"/>
        <v>1</v>
      </c>
      <c r="AK353" s="45">
        <f t="shared" si="36"/>
        <v>1</v>
      </c>
      <c r="AL353" s="45">
        <f t="shared" si="37"/>
        <v>1</v>
      </c>
      <c r="AM353" s="45">
        <f t="shared" si="38"/>
        <v>1</v>
      </c>
      <c r="AN353" s="45">
        <f t="shared" si="39"/>
        <v>1</v>
      </c>
      <c r="AS353" s="50" cm="1">
        <f t="array" ref="AS353">SUMPRODUCT(($V353:$AN353&lt;=$I68)*(1))/COUNT($V353:$AN353)</f>
        <v>0</v>
      </c>
      <c r="AT353" s="50" cm="1">
        <f t="array" ref="AT353">SUMPRODUCT(($V353:$AN353&lt;=$J68)*(1))/COUNT($V353:$AN353)</f>
        <v>0</v>
      </c>
      <c r="AU353" s="50" cm="1">
        <f t="array" ref="AU353">SUMPRODUCT(($V353:$AN353&lt;=$K68)*(1))/COUNT($V353:$AN353)</f>
        <v>0</v>
      </c>
      <c r="AW353" s="52" cm="1">
        <f t="array" ref="AW353">SUMPRODUCT(($V353:$AN353&lt;=$I68)*(1))</f>
        <v>0</v>
      </c>
      <c r="AX353" s="52" cm="1">
        <f t="array" ref="AX353">SUMPRODUCT(($V353:$AN353&lt;=$J68)*(1))</f>
        <v>0</v>
      </c>
      <c r="AY353" s="52" cm="1">
        <f t="array" ref="AY353">SUMPRODUCT(($V353:$AN353&lt;=$K68)*(1))</f>
        <v>0</v>
      </c>
      <c r="BA353" s="52">
        <f t="shared" si="46"/>
        <v>0</v>
      </c>
      <c r="BB353" s="52">
        <f t="shared" si="47"/>
        <v>0</v>
      </c>
      <c r="BC353" s="52">
        <f t="shared" si="48"/>
        <v>0</v>
      </c>
      <c r="BE353" s="50">
        <f t="shared" si="43"/>
        <v>0</v>
      </c>
      <c r="BF353" s="50">
        <f t="shared" si="44"/>
        <v>0</v>
      </c>
      <c r="BG353" s="50">
        <f t="shared" si="45"/>
        <v>0</v>
      </c>
    </row>
    <row r="354" spans="4:59" ht="15.6">
      <c r="D354" s="44"/>
      <c r="M354" s="42"/>
      <c r="N354" s="39" t="s">
        <v>26</v>
      </c>
      <c r="O354" s="39" t="s">
        <v>598</v>
      </c>
      <c r="P354" t="s">
        <v>680</v>
      </c>
      <c r="R354" s="41"/>
      <c r="S354" s="42"/>
      <c r="T354" s="42"/>
      <c r="U354" s="42"/>
      <c r="V354" s="45">
        <f t="shared" si="20"/>
        <v>1</v>
      </c>
      <c r="W354" s="45">
        <f t="shared" si="21"/>
        <v>1</v>
      </c>
      <c r="X354" s="45">
        <f t="shared" si="22"/>
        <v>1</v>
      </c>
      <c r="Y354" s="45">
        <f t="shared" si="23"/>
        <v>1</v>
      </c>
      <c r="Z354" s="45">
        <f t="shared" si="24"/>
        <v>1</v>
      </c>
      <c r="AA354" s="45">
        <f t="shared" si="25"/>
        <v>1</v>
      </c>
      <c r="AB354" s="45">
        <f t="shared" si="26"/>
        <v>1</v>
      </c>
      <c r="AC354" s="45">
        <f t="shared" si="27"/>
        <v>0.95587858196916597</v>
      </c>
      <c r="AD354" s="45">
        <f t="shared" si="28"/>
        <v>1</v>
      </c>
      <c r="AE354" s="45">
        <f t="shared" si="29"/>
        <v>0.94998262045908499</v>
      </c>
      <c r="AF354" s="45">
        <f t="shared" si="30"/>
        <v>1</v>
      </c>
      <c r="AG354" s="45">
        <f t="shared" si="31"/>
        <v>0.99343630597816401</v>
      </c>
      <c r="AH354" s="45">
        <f t="shared" si="32"/>
        <v>1.0066070607469628</v>
      </c>
      <c r="AI354" s="45">
        <f t="shared" si="33"/>
        <v>1</v>
      </c>
      <c r="AJ354" s="45">
        <f t="shared" si="34"/>
        <v>1</v>
      </c>
      <c r="AK354" s="45">
        <f t="shared" si="36"/>
        <v>1</v>
      </c>
      <c r="AL354" s="45">
        <f t="shared" si="37"/>
        <v>1</v>
      </c>
      <c r="AM354" s="45">
        <f t="shared" si="38"/>
        <v>1</v>
      </c>
      <c r="AN354" s="45">
        <f t="shared" si="39"/>
        <v>1</v>
      </c>
      <c r="AS354" s="50" cm="1">
        <f t="array" ref="AS354">SUMPRODUCT(($V354:$AN354&lt;=$I69)*(1))/COUNT($V354:$AN354)</f>
        <v>5.2631578947368418E-2</v>
      </c>
      <c r="AT354" s="50" cm="1">
        <f t="array" ref="AT354">SUMPRODUCT(($V354:$AN354&lt;=$J69)*(1))/COUNT($V354:$AN354)</f>
        <v>0</v>
      </c>
      <c r="AU354" s="50" cm="1">
        <f t="array" ref="AU354">SUMPRODUCT(($V354:$AN354&lt;=$K69)*(1))/COUNT($V354:$AN354)</f>
        <v>0</v>
      </c>
      <c r="AW354" s="52" cm="1">
        <f t="array" ref="AW354">SUMPRODUCT(($V354:$AN354&lt;=$I69)*(1))</f>
        <v>1</v>
      </c>
      <c r="AX354" s="52" cm="1">
        <f t="array" ref="AX354">SUMPRODUCT(($V354:$AN354&lt;=$J69)*(1))</f>
        <v>0</v>
      </c>
      <c r="AY354" s="52" cm="1">
        <f t="array" ref="AY354">SUMPRODUCT(($V354:$AN354&lt;=$K69)*(1))</f>
        <v>0</v>
      </c>
      <c r="BA354" s="52">
        <f t="shared" si="46"/>
        <v>1</v>
      </c>
      <c r="BB354" s="52">
        <f t="shared" si="47"/>
        <v>0</v>
      </c>
      <c r="BC354" s="52">
        <f t="shared" si="48"/>
        <v>0</v>
      </c>
      <c r="BE354" s="50">
        <f t="shared" si="43"/>
        <v>5.2631578947368418E-2</v>
      </c>
      <c r="BF354" s="50">
        <f t="shared" si="44"/>
        <v>0</v>
      </c>
      <c r="BG354" s="50">
        <f t="shared" si="45"/>
        <v>0</v>
      </c>
    </row>
    <row r="355" spans="4:59" ht="15.6">
      <c r="D355" s="44"/>
      <c r="M355" s="42"/>
      <c r="N355" s="39" t="s">
        <v>26</v>
      </c>
      <c r="O355" s="39" t="s">
        <v>588</v>
      </c>
      <c r="P355" t="s">
        <v>681</v>
      </c>
      <c r="R355" s="41"/>
      <c r="S355" s="42"/>
      <c r="T355" s="42"/>
      <c r="U355" s="42"/>
      <c r="V355" s="45">
        <f t="shared" si="20"/>
        <v>0.99971486040199653</v>
      </c>
      <c r="W355" s="45">
        <f t="shared" si="21"/>
        <v>0.8563211734571522</v>
      </c>
      <c r="X355" s="45">
        <f t="shared" si="22"/>
        <v>1.126244726410482</v>
      </c>
      <c r="Y355" s="45">
        <f t="shared" si="23"/>
        <v>1.1255871323997633</v>
      </c>
      <c r="Z355" s="45">
        <f t="shared" si="24"/>
        <v>1.000584223106137</v>
      </c>
      <c r="AA355" s="45">
        <f t="shared" si="25"/>
        <v>1.0003137591079776</v>
      </c>
      <c r="AB355" s="45">
        <f t="shared" si="26"/>
        <v>0.99653885924684205</v>
      </c>
      <c r="AC355" s="45">
        <f t="shared" si="27"/>
        <v>0.939674195181464</v>
      </c>
      <c r="AD355" s="45">
        <f t="shared" si="28"/>
        <v>0.99924073208345687</v>
      </c>
      <c r="AE355" s="45">
        <f t="shared" si="29"/>
        <v>0.81975061868620391</v>
      </c>
      <c r="AF355" s="45">
        <f t="shared" si="30"/>
        <v>0.91246464357421952</v>
      </c>
      <c r="AG355" s="45">
        <f t="shared" si="31"/>
        <v>1.0641986394091478</v>
      </c>
      <c r="AH355" s="45">
        <f t="shared" si="32"/>
        <v>1.0408158803934977</v>
      </c>
      <c r="AI355" s="45">
        <f t="shared" si="33"/>
        <v>1.0214641905304447</v>
      </c>
      <c r="AJ355" s="45">
        <f t="shared" si="34"/>
        <v>1.022465797703634</v>
      </c>
      <c r="AK355" s="45">
        <f t="shared" si="36"/>
        <v>1.0009078101272455</v>
      </c>
      <c r="AL355" s="45">
        <f t="shared" si="37"/>
        <v>0.99848251818710287</v>
      </c>
      <c r="AM355" s="45">
        <f t="shared" si="38"/>
        <v>1.0009805602413424</v>
      </c>
      <c r="AN355" s="45">
        <f t="shared" si="39"/>
        <v>0.9824674955355932</v>
      </c>
      <c r="AS355" s="50" cm="1">
        <f t="array" ref="AS355">SUMPRODUCT(($V355:$AN355&lt;=$I70)*(1))/COUNT($V355:$AN355)</f>
        <v>0.21052631578947367</v>
      </c>
      <c r="AT355" s="50" cm="1">
        <f t="array" ref="AT355">SUMPRODUCT(($V355:$AN355&lt;=$J70)*(1))/COUNT($V355:$AN355)</f>
        <v>5.2631578947368418E-2</v>
      </c>
      <c r="AU355" s="50" cm="1">
        <f t="array" ref="AU355">SUMPRODUCT(($V355:$AN355&lt;=$K70)*(1))/COUNT($V355:$AN355)</f>
        <v>0</v>
      </c>
      <c r="AW355" s="52" cm="1">
        <f t="array" ref="AW355">SUMPRODUCT(($V355:$AN355&lt;=$I70)*(1))</f>
        <v>4</v>
      </c>
      <c r="AX355" s="52" cm="1">
        <f t="array" ref="AX355">SUMPRODUCT(($V355:$AN355&lt;=$J70)*(1))</f>
        <v>1</v>
      </c>
      <c r="AY355" s="52" cm="1">
        <f t="array" ref="AY355">SUMPRODUCT(($V355:$AN355&lt;=$K70)*(1))</f>
        <v>0</v>
      </c>
      <c r="BA355" s="52">
        <f t="shared" si="46"/>
        <v>3</v>
      </c>
      <c r="BB355" s="52">
        <f t="shared" si="47"/>
        <v>1</v>
      </c>
      <c r="BC355" s="52">
        <f t="shared" si="48"/>
        <v>0</v>
      </c>
      <c r="BE355" s="50">
        <f t="shared" si="43"/>
        <v>0.15789473684210525</v>
      </c>
      <c r="BF355" s="50">
        <f t="shared" si="44"/>
        <v>5.2631578947368418E-2</v>
      </c>
      <c r="BG355" s="50">
        <f t="shared" si="45"/>
        <v>0</v>
      </c>
    </row>
    <row r="356" spans="4:59" ht="15.6">
      <c r="D356" s="44"/>
      <c r="M356" s="42"/>
      <c r="N356" s="39" t="s">
        <v>26</v>
      </c>
      <c r="O356" s="39" t="s">
        <v>267</v>
      </c>
      <c r="P356" t="s">
        <v>682</v>
      </c>
      <c r="R356" s="41"/>
      <c r="S356" s="42"/>
      <c r="T356" s="42"/>
      <c r="U356" s="42"/>
      <c r="V356" s="45">
        <f t="shared" si="20"/>
        <v>1</v>
      </c>
      <c r="W356" s="45">
        <f t="shared" si="21"/>
        <v>0.91727380467833997</v>
      </c>
      <c r="X356" s="45">
        <f t="shared" si="22"/>
        <v>1</v>
      </c>
      <c r="Y356" s="45">
        <f t="shared" si="23"/>
        <v>0.99867499864289899</v>
      </c>
      <c r="Z356" s="45">
        <f t="shared" si="24"/>
        <v>1.0013267593149939</v>
      </c>
      <c r="AA356" s="45">
        <f t="shared" si="25"/>
        <v>0.98683088970529498</v>
      </c>
      <c r="AB356" s="45">
        <f t="shared" si="26"/>
        <v>1.0013267593149939</v>
      </c>
      <c r="AC356" s="45">
        <f t="shared" si="27"/>
        <v>1</v>
      </c>
      <c r="AD356" s="45">
        <f t="shared" si="28"/>
        <v>1</v>
      </c>
      <c r="AE356" s="45">
        <f t="shared" si="29"/>
        <v>0.87146096724779298</v>
      </c>
      <c r="AF356" s="45">
        <f t="shared" si="30"/>
        <v>1</v>
      </c>
      <c r="AG356" s="45">
        <f t="shared" si="31"/>
        <v>1</v>
      </c>
      <c r="AH356" s="45">
        <f t="shared" si="32"/>
        <v>1</v>
      </c>
      <c r="AI356" s="45">
        <f t="shared" si="33"/>
        <v>1</v>
      </c>
      <c r="AJ356" s="45">
        <f t="shared" si="34"/>
        <v>1</v>
      </c>
      <c r="AK356" s="45">
        <f t="shared" si="36"/>
        <v>1</v>
      </c>
      <c r="AL356" s="45">
        <f t="shared" si="37"/>
        <v>1</v>
      </c>
      <c r="AM356" s="45">
        <f t="shared" si="38"/>
        <v>1</v>
      </c>
      <c r="AN356" s="45">
        <f t="shared" si="39"/>
        <v>0.984688557174761</v>
      </c>
      <c r="AS356" s="50" cm="1">
        <f t="array" ref="AS356">SUMPRODUCT(($V356:$AN356&lt;=$I71)*(1))/COUNT($V356:$AN356)</f>
        <v>0.10526315789473684</v>
      </c>
      <c r="AT356" s="50" cm="1">
        <f t="array" ref="AT356">SUMPRODUCT(($V356:$AN356&lt;=$J71)*(1))/COUNT($V356:$AN356)</f>
        <v>0</v>
      </c>
      <c r="AU356" s="50" cm="1">
        <f t="array" ref="AU356">SUMPRODUCT(($V356:$AN356&lt;=$K71)*(1))/COUNT($V356:$AN356)</f>
        <v>0</v>
      </c>
      <c r="AW356" s="52" cm="1">
        <f t="array" ref="AW356">SUMPRODUCT(($V356:$AN356&lt;=$I71)*(1))</f>
        <v>2</v>
      </c>
      <c r="AX356" s="52" cm="1">
        <f t="array" ref="AX356">SUMPRODUCT(($V356:$AN356&lt;=$J71)*(1))</f>
        <v>0</v>
      </c>
      <c r="AY356" s="52" cm="1">
        <f t="array" ref="AY356">SUMPRODUCT(($V356:$AN356&lt;=$K71)*(1))</f>
        <v>0</v>
      </c>
      <c r="BA356" s="52">
        <f t="shared" si="46"/>
        <v>2</v>
      </c>
      <c r="BB356" s="52">
        <f t="shared" si="47"/>
        <v>0</v>
      </c>
      <c r="BC356" s="52">
        <f t="shared" si="48"/>
        <v>0</v>
      </c>
      <c r="BE356" s="50">
        <f t="shared" si="43"/>
        <v>0.10526315789473684</v>
      </c>
      <c r="BF356" s="50">
        <f t="shared" si="44"/>
        <v>0</v>
      </c>
      <c r="BG356" s="50">
        <f t="shared" si="45"/>
        <v>0</v>
      </c>
    </row>
    <row r="357" spans="4:59" ht="15.6">
      <c r="D357" s="44"/>
      <c r="M357" s="42"/>
      <c r="N357" s="39" t="s">
        <v>26</v>
      </c>
      <c r="O357" s="39" t="s">
        <v>588</v>
      </c>
      <c r="P357" t="s">
        <v>683</v>
      </c>
      <c r="R357" s="41"/>
      <c r="S357" s="42"/>
      <c r="T357" s="42"/>
      <c r="U357" s="42"/>
      <c r="V357" s="45">
        <f t="shared" ref="V357:V420" si="49">V72/MEDIAN(Q72:U72)</f>
        <v>1</v>
      </c>
      <c r="W357" s="45">
        <f t="shared" ref="W357:W420" si="50">W72/MEDIAN(R72:V72)</f>
        <v>0.97187444100892095</v>
      </c>
      <c r="X357" s="45">
        <f t="shared" ref="X357:X420" si="51">X72/MEDIAN(S72:W72)</f>
        <v>1.0289394985651452</v>
      </c>
      <c r="Y357" s="45">
        <f t="shared" ref="Y357:Y420" si="52">Y72/MEDIAN(T72:X72)</f>
        <v>1.0289394985651452</v>
      </c>
      <c r="Z357" s="45">
        <f t="shared" ref="Z357:Z420" si="53">Z72/MEDIAN(U72:Y72)</f>
        <v>1</v>
      </c>
      <c r="AA357" s="45">
        <f t="shared" ref="AA357:AA420" si="54">AA72/MEDIAN(V72:Z72)</f>
        <v>1</v>
      </c>
      <c r="AB357" s="45">
        <f t="shared" ref="AB357:AB420" si="55">AB72/MEDIAN(W72:AA72)</f>
        <v>1</v>
      </c>
      <c r="AC357" s="45">
        <f t="shared" ref="AC357:AC420" si="56">AC72/MEDIAN(X72:AB72)</f>
        <v>0.94369229767993001</v>
      </c>
      <c r="AD357" s="45">
        <f t="shared" ref="AD357:AD420" si="57">AD72/MEDIAN(Y72:AC72)</f>
        <v>1</v>
      </c>
      <c r="AE357" s="45">
        <f t="shared" ref="AE357:AE420" si="58">AE72/MEDIAN(Z72:AD72)</f>
        <v>0.86409377049482206</v>
      </c>
      <c r="AF357" s="45">
        <f t="shared" ref="AF357:AF420" si="59">AF72/MEDIAN(AA72:AE72)</f>
        <v>0.98178657596533303</v>
      </c>
      <c r="AG357" s="45">
        <f t="shared" ref="AG357:AG420" si="60">AG72/MEDIAN(AB72:AF72)</f>
        <v>1.017825632246578</v>
      </c>
      <c r="AH357" s="45">
        <f t="shared" ref="AH357:AH420" si="61">AH72/MEDIAN(AC72:AG72)</f>
        <v>1.0071821844020528</v>
      </c>
      <c r="AI357" s="45">
        <f t="shared" ref="AI357:AI420" si="62">AI72/MEDIAN(AD72:AH72)</f>
        <v>1.011288049596976</v>
      </c>
      <c r="AJ357" s="45">
        <f t="shared" ref="AJ357:AJ420" si="63">AJ72/MEDIAN(AE72:AI72)</f>
        <v>1.011288049596976</v>
      </c>
      <c r="AK357" s="45">
        <f t="shared" si="36"/>
        <v>1.0007129655445934</v>
      </c>
      <c r="AL357" s="45">
        <f t="shared" si="37"/>
        <v>1</v>
      </c>
      <c r="AM357" s="45">
        <f t="shared" si="38"/>
        <v>1</v>
      </c>
      <c r="AN357" s="45">
        <f t="shared" si="39"/>
        <v>0.99997784398284795</v>
      </c>
      <c r="AS357" s="50" cm="1">
        <f t="array" ref="AS357">SUMPRODUCT(($V357:$AN357&lt;=$I72)*(1))/COUNT($V357:$AN357)</f>
        <v>0.10526315789473684</v>
      </c>
      <c r="AT357" s="50" cm="1">
        <f t="array" ref="AT357">SUMPRODUCT(($V357:$AN357&lt;=$J72)*(1))/COUNT($V357:$AN357)</f>
        <v>0</v>
      </c>
      <c r="AU357" s="50" cm="1">
        <f t="array" ref="AU357">SUMPRODUCT(($V357:$AN357&lt;=$K72)*(1))/COUNT($V357:$AN357)</f>
        <v>0</v>
      </c>
      <c r="AW357" s="52" cm="1">
        <f t="array" ref="AW357">SUMPRODUCT(($V357:$AN357&lt;=$I72)*(1))</f>
        <v>2</v>
      </c>
      <c r="AX357" s="52" cm="1">
        <f t="array" ref="AX357">SUMPRODUCT(($V357:$AN357&lt;=$J72)*(1))</f>
        <v>0</v>
      </c>
      <c r="AY357" s="52" cm="1">
        <f t="array" ref="AY357">SUMPRODUCT(($V357:$AN357&lt;=$K72)*(1))</f>
        <v>0</v>
      </c>
      <c r="BA357" s="52">
        <f t="shared" si="46"/>
        <v>2</v>
      </c>
      <c r="BB357" s="52">
        <f t="shared" si="47"/>
        <v>0</v>
      </c>
      <c r="BC357" s="52">
        <f t="shared" si="48"/>
        <v>0</v>
      </c>
      <c r="BE357" s="50">
        <f t="shared" si="43"/>
        <v>0.10526315789473684</v>
      </c>
      <c r="BF357" s="50">
        <f t="shared" si="44"/>
        <v>0</v>
      </c>
      <c r="BG357" s="50">
        <f t="shared" si="45"/>
        <v>0</v>
      </c>
    </row>
    <row r="358" spans="4:59" ht="15.6">
      <c r="D358" s="44"/>
      <c r="M358" s="42"/>
      <c r="N358" s="39" t="s">
        <v>26</v>
      </c>
      <c r="O358" s="39" t="s">
        <v>235</v>
      </c>
      <c r="P358" t="s">
        <v>684</v>
      </c>
      <c r="R358" s="41"/>
      <c r="S358" s="42"/>
      <c r="T358" s="42"/>
      <c r="U358" s="42"/>
      <c r="V358" s="45">
        <f t="shared" si="49"/>
        <v>1</v>
      </c>
      <c r="W358" s="45">
        <f t="shared" si="50"/>
        <v>1</v>
      </c>
      <c r="X358" s="45">
        <f t="shared" si="51"/>
        <v>1</v>
      </c>
      <c r="Y358" s="45">
        <f t="shared" si="52"/>
        <v>1</v>
      </c>
      <c r="Z358" s="45">
        <f t="shared" si="53"/>
        <v>1</v>
      </c>
      <c r="AA358" s="45">
        <f t="shared" si="54"/>
        <v>1</v>
      </c>
      <c r="AB358" s="45">
        <f t="shared" si="55"/>
        <v>1</v>
      </c>
      <c r="AC358" s="45">
        <f t="shared" si="56"/>
        <v>1</v>
      </c>
      <c r="AD358" s="45">
        <f t="shared" si="57"/>
        <v>1</v>
      </c>
      <c r="AE358" s="45">
        <f t="shared" si="58"/>
        <v>1</v>
      </c>
      <c r="AF358" s="45">
        <f t="shared" si="59"/>
        <v>1</v>
      </c>
      <c r="AG358" s="45">
        <f t="shared" si="60"/>
        <v>1</v>
      </c>
      <c r="AH358" s="45">
        <f t="shared" si="61"/>
        <v>1</v>
      </c>
      <c r="AI358" s="45">
        <f t="shared" si="62"/>
        <v>1</v>
      </c>
      <c r="AJ358" s="45">
        <f t="shared" si="63"/>
        <v>1</v>
      </c>
      <c r="AK358" s="45">
        <f t="shared" ref="AK358:AK421" si="64">AK73/MEDIAN(AF73:AJ73)</f>
        <v>1</v>
      </c>
      <c r="AL358" s="45">
        <f t="shared" ref="AL358:AL421" si="65">AL73/MEDIAN(AG73:AK73)</f>
        <v>1</v>
      </c>
      <c r="AM358" s="45">
        <f t="shared" ref="AM358:AM421" si="66">AM73/MEDIAN(AH73:AL73)</f>
        <v>1</v>
      </c>
      <c r="AN358" s="45">
        <f t="shared" ref="AN358:AN421" si="67">AN73/MEDIAN(AI73:AM73)</f>
        <v>1</v>
      </c>
      <c r="AS358" s="50" cm="1">
        <f t="array" ref="AS358">SUMPRODUCT(($V358:$AN358&lt;=$I73)*(1))/COUNT($V358:$AN358)</f>
        <v>0</v>
      </c>
      <c r="AT358" s="50" cm="1">
        <f t="array" ref="AT358">SUMPRODUCT(($V358:$AN358&lt;=$J73)*(1))/COUNT($V358:$AN358)</f>
        <v>0</v>
      </c>
      <c r="AU358" s="50" cm="1">
        <f t="array" ref="AU358">SUMPRODUCT(($V358:$AN358&lt;=$K73)*(1))/COUNT($V358:$AN358)</f>
        <v>0</v>
      </c>
      <c r="AW358" s="52" cm="1">
        <f t="array" ref="AW358">SUMPRODUCT(($V358:$AN358&lt;=$I73)*(1))</f>
        <v>0</v>
      </c>
      <c r="AX358" s="52" cm="1">
        <f t="array" ref="AX358">SUMPRODUCT(($V358:$AN358&lt;=$J73)*(1))</f>
        <v>0</v>
      </c>
      <c r="AY358" s="52" cm="1">
        <f t="array" ref="AY358">SUMPRODUCT(($V358:$AN358&lt;=$K73)*(1))</f>
        <v>0</v>
      </c>
      <c r="BA358" s="52">
        <f t="shared" si="46"/>
        <v>0</v>
      </c>
      <c r="BB358" s="52">
        <f t="shared" si="47"/>
        <v>0</v>
      </c>
      <c r="BC358" s="52">
        <f t="shared" si="48"/>
        <v>0</v>
      </c>
      <c r="BE358" s="50">
        <f t="shared" ref="BE358:BE421" si="68">BA358/COUNT($V358:$AN358)</f>
        <v>0</v>
      </c>
      <c r="BF358" s="50">
        <f t="shared" ref="BF358:BF421" si="69">BB358/COUNT($V358:$AN358)</f>
        <v>0</v>
      </c>
      <c r="BG358" s="50">
        <f t="shared" ref="BG358:BG421" si="70">BC358/COUNT($V358:$AN358)</f>
        <v>0</v>
      </c>
    </row>
    <row r="359" spans="4:59" ht="15.6">
      <c r="D359" s="44"/>
      <c r="M359" s="42"/>
      <c r="N359" s="39" t="s">
        <v>26</v>
      </c>
      <c r="O359" s="39" t="s">
        <v>270</v>
      </c>
      <c r="P359" t="s">
        <v>685</v>
      </c>
      <c r="R359" s="41"/>
      <c r="S359" s="42"/>
      <c r="T359" s="42"/>
      <c r="U359" s="42"/>
      <c r="V359" s="45">
        <f t="shared" si="49"/>
        <v>1</v>
      </c>
      <c r="W359" s="45">
        <f t="shared" si="50"/>
        <v>1</v>
      </c>
      <c r="X359" s="45">
        <f t="shared" si="51"/>
        <v>1</v>
      </c>
      <c r="Y359" s="45">
        <f t="shared" si="52"/>
        <v>1</v>
      </c>
      <c r="Z359" s="45">
        <f t="shared" si="53"/>
        <v>1</v>
      </c>
      <c r="AA359" s="45">
        <f t="shared" si="54"/>
        <v>1</v>
      </c>
      <c r="AB359" s="45">
        <f t="shared" si="55"/>
        <v>1</v>
      </c>
      <c r="AC359" s="45">
        <f t="shared" si="56"/>
        <v>1</v>
      </c>
      <c r="AD359" s="45">
        <f t="shared" si="57"/>
        <v>1</v>
      </c>
      <c r="AE359" s="45">
        <f t="shared" si="58"/>
        <v>1</v>
      </c>
      <c r="AF359" s="45">
        <f t="shared" si="59"/>
        <v>1</v>
      </c>
      <c r="AG359" s="45">
        <f t="shared" si="60"/>
        <v>1</v>
      </c>
      <c r="AH359" s="45">
        <f t="shared" si="61"/>
        <v>1</v>
      </c>
      <c r="AI359" s="45">
        <f t="shared" si="62"/>
        <v>1</v>
      </c>
      <c r="AJ359" s="45">
        <f t="shared" si="63"/>
        <v>1</v>
      </c>
      <c r="AK359" s="45">
        <f t="shared" si="64"/>
        <v>1</v>
      </c>
      <c r="AL359" s="45">
        <f t="shared" si="65"/>
        <v>1</v>
      </c>
      <c r="AM359" s="45">
        <f t="shared" si="66"/>
        <v>1</v>
      </c>
      <c r="AN359" s="45">
        <f t="shared" si="67"/>
        <v>0.97449332768558605</v>
      </c>
      <c r="AS359" s="50" cm="1">
        <f t="array" ref="AS359">SUMPRODUCT(($V359:$AN359&lt;=$I74)*(1))/COUNT($V359:$AN359)</f>
        <v>0</v>
      </c>
      <c r="AT359" s="50" cm="1">
        <f t="array" ref="AT359">SUMPRODUCT(($V359:$AN359&lt;=$J74)*(1))/COUNT($V359:$AN359)</f>
        <v>0</v>
      </c>
      <c r="AU359" s="50" cm="1">
        <f t="array" ref="AU359">SUMPRODUCT(($V359:$AN359&lt;=$K74)*(1))/COUNT($V359:$AN359)</f>
        <v>0</v>
      </c>
      <c r="AW359" s="52" cm="1">
        <f t="array" ref="AW359">SUMPRODUCT(($V359:$AN359&lt;=$I74)*(1))</f>
        <v>0</v>
      </c>
      <c r="AX359" s="52" cm="1">
        <f t="array" ref="AX359">SUMPRODUCT(($V359:$AN359&lt;=$J74)*(1))</f>
        <v>0</v>
      </c>
      <c r="AY359" s="52" cm="1">
        <f t="array" ref="AY359">SUMPRODUCT(($V359:$AN359&lt;=$K74)*(1))</f>
        <v>0</v>
      </c>
      <c r="BA359" s="52">
        <f t="shared" si="46"/>
        <v>0</v>
      </c>
      <c r="BB359" s="52">
        <f t="shared" si="47"/>
        <v>0</v>
      </c>
      <c r="BC359" s="52">
        <f t="shared" si="48"/>
        <v>0</v>
      </c>
      <c r="BE359" s="50">
        <f t="shared" si="68"/>
        <v>0</v>
      </c>
      <c r="BF359" s="50">
        <f t="shared" si="69"/>
        <v>0</v>
      </c>
      <c r="BG359" s="50">
        <f t="shared" si="70"/>
        <v>0</v>
      </c>
    </row>
    <row r="360" spans="4:59" ht="15.6">
      <c r="D360" s="44"/>
      <c r="M360" s="42"/>
      <c r="N360" s="39" t="s">
        <v>26</v>
      </c>
      <c r="O360" s="39" t="s">
        <v>505</v>
      </c>
      <c r="P360" t="s">
        <v>686</v>
      </c>
      <c r="R360" s="41"/>
      <c r="S360" s="42"/>
      <c r="T360" s="42"/>
      <c r="U360" s="42"/>
      <c r="V360" s="45">
        <f t="shared" si="49"/>
        <v>0.99668521949330102</v>
      </c>
      <c r="W360" s="45">
        <f t="shared" si="50"/>
        <v>0.81322482764593795</v>
      </c>
      <c r="X360" s="45">
        <f t="shared" si="51"/>
        <v>1.0011543203680324</v>
      </c>
      <c r="Y360" s="45">
        <f t="shared" si="52"/>
        <v>1.0033258048196845</v>
      </c>
      <c r="Z360" s="45">
        <f t="shared" si="53"/>
        <v>0.98004204493837921</v>
      </c>
      <c r="AA360" s="45">
        <f t="shared" si="54"/>
        <v>0.9961577274048411</v>
      </c>
      <c r="AB360" s="45">
        <f t="shared" si="55"/>
        <v>1.00719572535317</v>
      </c>
      <c r="AC360" s="45">
        <f t="shared" si="56"/>
        <v>1.0021689807529908</v>
      </c>
      <c r="AD360" s="45">
        <f t="shared" si="57"/>
        <v>1</v>
      </c>
      <c r="AE360" s="45">
        <f t="shared" si="58"/>
        <v>0.81006348814955798</v>
      </c>
      <c r="AF360" s="45">
        <f t="shared" si="59"/>
        <v>0.92166655041180701</v>
      </c>
      <c r="AG360" s="45">
        <f t="shared" si="60"/>
        <v>0.99101304528165002</v>
      </c>
      <c r="AH360" s="45">
        <f t="shared" si="61"/>
        <v>1.0084295855965364</v>
      </c>
      <c r="AI360" s="45">
        <f t="shared" si="62"/>
        <v>0.87042209916593338</v>
      </c>
      <c r="AJ360" s="45">
        <f t="shared" si="63"/>
        <v>1.0823835677039844</v>
      </c>
      <c r="AK360" s="45">
        <f t="shared" si="64"/>
        <v>0.97634367048391857</v>
      </c>
      <c r="AL360" s="45">
        <f t="shared" si="65"/>
        <v>1.0090684524902453</v>
      </c>
      <c r="AM360" s="45">
        <f t="shared" si="66"/>
        <v>1.0024090605570539</v>
      </c>
      <c r="AN360" s="45">
        <f t="shared" si="67"/>
        <v>0.97389614009240821</v>
      </c>
      <c r="AS360" s="50" cm="1">
        <f t="array" ref="AS360">SUMPRODUCT(($V360:$AN360&lt;=$I75)*(1))/COUNT($V360:$AN360)</f>
        <v>0.21052631578947367</v>
      </c>
      <c r="AT360" s="50" cm="1">
        <f t="array" ref="AT360">SUMPRODUCT(($V360:$AN360&lt;=$J75)*(1))/COUNT($V360:$AN360)</f>
        <v>0.10526315789473684</v>
      </c>
      <c r="AU360" s="50" cm="1">
        <f t="array" ref="AU360">SUMPRODUCT(($V360:$AN360&lt;=$K75)*(1))/COUNT($V360:$AN360)</f>
        <v>0</v>
      </c>
      <c r="AW360" s="52" cm="1">
        <f t="array" ref="AW360">SUMPRODUCT(($V360:$AN360&lt;=$I75)*(1))</f>
        <v>4</v>
      </c>
      <c r="AX360" s="52" cm="1">
        <f t="array" ref="AX360">SUMPRODUCT(($V360:$AN360&lt;=$J75)*(1))</f>
        <v>2</v>
      </c>
      <c r="AY360" s="52" cm="1">
        <f t="array" ref="AY360">SUMPRODUCT(($V360:$AN360&lt;=$K75)*(1))</f>
        <v>0</v>
      </c>
      <c r="BA360" s="52">
        <f t="shared" si="46"/>
        <v>2</v>
      </c>
      <c r="BB360" s="52">
        <f t="shared" si="47"/>
        <v>2</v>
      </c>
      <c r="BC360" s="52">
        <f t="shared" si="48"/>
        <v>0</v>
      </c>
      <c r="BE360" s="50">
        <f t="shared" si="68"/>
        <v>0.10526315789473684</v>
      </c>
      <c r="BF360" s="50">
        <f t="shared" si="69"/>
        <v>0.10526315789473684</v>
      </c>
      <c r="BG360" s="50">
        <f t="shared" si="70"/>
        <v>0</v>
      </c>
    </row>
    <row r="361" spans="4:59" ht="15.6">
      <c r="D361" s="44"/>
      <c r="M361" s="42"/>
      <c r="N361" s="39" t="s">
        <v>26</v>
      </c>
      <c r="O361" s="39" t="s">
        <v>505</v>
      </c>
      <c r="P361" t="s">
        <v>687</v>
      </c>
      <c r="R361" s="41"/>
      <c r="S361" s="42"/>
      <c r="T361" s="42"/>
      <c r="U361" s="42"/>
      <c r="V361" s="45">
        <f t="shared" si="49"/>
        <v>1</v>
      </c>
      <c r="W361" s="45">
        <f t="shared" si="50"/>
        <v>0.91612298832676597</v>
      </c>
      <c r="X361" s="45">
        <f t="shared" si="51"/>
        <v>1</v>
      </c>
      <c r="Y361" s="45">
        <f t="shared" si="52"/>
        <v>1</v>
      </c>
      <c r="Z361" s="45">
        <f t="shared" si="53"/>
        <v>1</v>
      </c>
      <c r="AA361" s="45">
        <f t="shared" si="54"/>
        <v>1</v>
      </c>
      <c r="AB361" s="45">
        <f t="shared" si="55"/>
        <v>1</v>
      </c>
      <c r="AC361" s="45">
        <f t="shared" si="56"/>
        <v>1</v>
      </c>
      <c r="AD361" s="45">
        <f t="shared" si="57"/>
        <v>1</v>
      </c>
      <c r="AE361" s="45">
        <f t="shared" si="58"/>
        <v>0.92220198606786896</v>
      </c>
      <c r="AF361" s="45">
        <f t="shared" si="59"/>
        <v>1</v>
      </c>
      <c r="AG361" s="45">
        <f t="shared" si="60"/>
        <v>1</v>
      </c>
      <c r="AH361" s="45">
        <f t="shared" si="61"/>
        <v>1</v>
      </c>
      <c r="AI361" s="45">
        <f t="shared" si="62"/>
        <v>0.996409542181528</v>
      </c>
      <c r="AJ361" s="45">
        <f t="shared" si="63"/>
        <v>1</v>
      </c>
      <c r="AK361" s="45">
        <f t="shared" si="64"/>
        <v>0.99372891195789292</v>
      </c>
      <c r="AL361" s="45">
        <f t="shared" si="65"/>
        <v>1</v>
      </c>
      <c r="AM361" s="45">
        <f t="shared" si="66"/>
        <v>1</v>
      </c>
      <c r="AN361" s="45">
        <f t="shared" si="67"/>
        <v>0.99195091130066104</v>
      </c>
      <c r="AS361" s="50" cm="1">
        <f t="array" ref="AS361">SUMPRODUCT(($V361:$AN361&lt;=$I76)*(1))/COUNT($V361:$AN361)</f>
        <v>0.10526315789473684</v>
      </c>
      <c r="AT361" s="50" cm="1">
        <f t="array" ref="AT361">SUMPRODUCT(($V361:$AN361&lt;=$J76)*(1))/COUNT($V361:$AN361)</f>
        <v>0</v>
      </c>
      <c r="AU361" s="50" cm="1">
        <f t="array" ref="AU361">SUMPRODUCT(($V361:$AN361&lt;=$K76)*(1))/COUNT($V361:$AN361)</f>
        <v>0</v>
      </c>
      <c r="AW361" s="52" cm="1">
        <f t="array" ref="AW361">SUMPRODUCT(($V361:$AN361&lt;=$I76)*(1))</f>
        <v>2</v>
      </c>
      <c r="AX361" s="52" cm="1">
        <f t="array" ref="AX361">SUMPRODUCT(($V361:$AN361&lt;=$J76)*(1))</f>
        <v>0</v>
      </c>
      <c r="AY361" s="52" cm="1">
        <f t="array" ref="AY361">SUMPRODUCT(($V361:$AN361&lt;=$K76)*(1))</f>
        <v>0</v>
      </c>
      <c r="BA361" s="52">
        <f t="shared" si="46"/>
        <v>2</v>
      </c>
      <c r="BB361" s="52">
        <f t="shared" si="47"/>
        <v>0</v>
      </c>
      <c r="BC361" s="52">
        <f t="shared" si="48"/>
        <v>0</v>
      </c>
      <c r="BE361" s="50">
        <f t="shared" si="68"/>
        <v>0.10526315789473684</v>
      </c>
      <c r="BF361" s="50">
        <f t="shared" si="69"/>
        <v>0</v>
      </c>
      <c r="BG361" s="50">
        <f t="shared" si="70"/>
        <v>0</v>
      </c>
    </row>
    <row r="362" spans="4:59" ht="15.6">
      <c r="D362" s="44"/>
      <c r="M362" s="42"/>
      <c r="N362" s="39" t="s">
        <v>26</v>
      </c>
      <c r="O362" s="39" t="s">
        <v>576</v>
      </c>
      <c r="P362" t="s">
        <v>688</v>
      </c>
      <c r="R362" s="41"/>
      <c r="S362" s="42"/>
      <c r="T362" s="42"/>
      <c r="U362" s="42"/>
      <c r="V362" s="45">
        <f t="shared" si="49"/>
        <v>1.0003126188401135</v>
      </c>
      <c r="W362" s="45">
        <f t="shared" si="50"/>
        <v>0.93714975533272904</v>
      </c>
      <c r="X362" s="45">
        <f t="shared" si="51"/>
        <v>1.0621446539260759</v>
      </c>
      <c r="Y362" s="45">
        <f t="shared" si="52"/>
        <v>1.0620617210975591</v>
      </c>
      <c r="Z362" s="45">
        <f t="shared" si="53"/>
        <v>1.0000780866374048</v>
      </c>
      <c r="AA362" s="45">
        <f t="shared" si="54"/>
        <v>1</v>
      </c>
      <c r="AB362" s="45">
        <f t="shared" si="55"/>
        <v>0.99545861885735709</v>
      </c>
      <c r="AC362" s="45">
        <f t="shared" si="56"/>
        <v>0.71626134676762898</v>
      </c>
      <c r="AD362" s="45">
        <f t="shared" si="57"/>
        <v>1.0000780866374048</v>
      </c>
      <c r="AE362" s="45">
        <f t="shared" si="58"/>
        <v>0.78383458327699596</v>
      </c>
      <c r="AF362" s="45">
        <f t="shared" si="59"/>
        <v>0.9822623643997227</v>
      </c>
      <c r="AG362" s="45">
        <f t="shared" si="60"/>
        <v>1.009039361154161</v>
      </c>
      <c r="AH362" s="45">
        <f t="shared" si="61"/>
        <v>0.94908450988844417</v>
      </c>
      <c r="AI362" s="45">
        <f t="shared" si="62"/>
        <v>1.0219695679180432</v>
      </c>
      <c r="AJ362" s="45">
        <f t="shared" si="63"/>
        <v>1.0227024222684324</v>
      </c>
      <c r="AK362" s="45">
        <f t="shared" si="64"/>
        <v>1.005543476146781</v>
      </c>
      <c r="AL362" s="45">
        <f t="shared" si="65"/>
        <v>1.0079530982215079</v>
      </c>
      <c r="AM362" s="45">
        <f t="shared" si="66"/>
        <v>0.9984801319262705</v>
      </c>
      <c r="AN362" s="45">
        <f t="shared" si="67"/>
        <v>0.85737867787461608</v>
      </c>
      <c r="AS362" s="50" cm="1">
        <f t="array" ref="AS362">SUMPRODUCT(($V362:$AN362&lt;=$I77)*(1))/COUNT($V362:$AN362)</f>
        <v>0.26315789473684209</v>
      </c>
      <c r="AT362" s="50" cm="1">
        <f t="array" ref="AT362">SUMPRODUCT(($V362:$AN362&lt;=$J77)*(1))/COUNT($V362:$AN362)</f>
        <v>0.10526315789473684</v>
      </c>
      <c r="AU362" s="50" cm="1">
        <f t="array" ref="AU362">SUMPRODUCT(($V362:$AN362&lt;=$K77)*(1))/COUNT($V362:$AN362)</f>
        <v>5.2631578947368418E-2</v>
      </c>
      <c r="AW362" s="52" cm="1">
        <f t="array" ref="AW362">SUMPRODUCT(($V362:$AN362&lt;=$I77)*(1))</f>
        <v>5</v>
      </c>
      <c r="AX362" s="52" cm="1">
        <f t="array" ref="AX362">SUMPRODUCT(($V362:$AN362&lt;=$J77)*(1))</f>
        <v>2</v>
      </c>
      <c r="AY362" s="52" cm="1">
        <f t="array" ref="AY362">SUMPRODUCT(($V362:$AN362&lt;=$K77)*(1))</f>
        <v>1</v>
      </c>
      <c r="BA362" s="52">
        <f t="shared" si="46"/>
        <v>3</v>
      </c>
      <c r="BB362" s="52">
        <f t="shared" si="47"/>
        <v>1</v>
      </c>
      <c r="BC362" s="52">
        <f t="shared" si="48"/>
        <v>1</v>
      </c>
      <c r="BE362" s="50">
        <f t="shared" si="68"/>
        <v>0.15789473684210525</v>
      </c>
      <c r="BF362" s="50">
        <f t="shared" si="69"/>
        <v>5.2631578947368418E-2</v>
      </c>
      <c r="BG362" s="50">
        <f t="shared" si="70"/>
        <v>5.2631578947368418E-2</v>
      </c>
    </row>
    <row r="363" spans="4:59" ht="15.6">
      <c r="D363" s="44"/>
      <c r="M363" s="42"/>
      <c r="N363" s="39" t="s">
        <v>26</v>
      </c>
      <c r="O363" s="39" t="s">
        <v>97</v>
      </c>
      <c r="P363" s="81" t="s">
        <v>98</v>
      </c>
      <c r="R363" s="41"/>
      <c r="S363" s="42"/>
      <c r="T363" s="42"/>
      <c r="U363" s="42"/>
      <c r="V363" s="45">
        <f t="shared" si="49"/>
        <v>1</v>
      </c>
      <c r="W363" s="45">
        <f t="shared" si="50"/>
        <v>0.84156352623682396</v>
      </c>
      <c r="X363" s="45">
        <f t="shared" si="51"/>
        <v>1</v>
      </c>
      <c r="Y363" s="45">
        <f t="shared" si="52"/>
        <v>1</v>
      </c>
      <c r="Z363" s="45">
        <f t="shared" si="53"/>
        <v>1</v>
      </c>
      <c r="AA363" s="45">
        <f t="shared" si="54"/>
        <v>1</v>
      </c>
      <c r="AB363" s="45">
        <f t="shared" si="55"/>
        <v>1</v>
      </c>
      <c r="AC363" s="45">
        <f t="shared" si="56"/>
        <v>1</v>
      </c>
      <c r="AD363" s="45">
        <f t="shared" si="57"/>
        <v>1</v>
      </c>
      <c r="AE363" s="45">
        <f t="shared" si="58"/>
        <v>0.88346046601843498</v>
      </c>
      <c r="AF363" s="45">
        <f t="shared" si="59"/>
        <v>1</v>
      </c>
      <c r="AG363" s="45">
        <f t="shared" si="60"/>
        <v>1</v>
      </c>
      <c r="AH363" s="45">
        <f t="shared" si="61"/>
        <v>1</v>
      </c>
      <c r="AI363" s="45">
        <f t="shared" si="62"/>
        <v>0.94672761235192393</v>
      </c>
      <c r="AJ363" s="45">
        <f t="shared" si="63"/>
        <v>1</v>
      </c>
      <c r="AK363" s="45">
        <f t="shared" si="64"/>
        <v>1</v>
      </c>
      <c r="AL363" s="45">
        <f t="shared" si="65"/>
        <v>1</v>
      </c>
      <c r="AM363" s="45">
        <f t="shared" si="66"/>
        <v>1</v>
      </c>
      <c r="AN363" s="45">
        <f t="shared" si="67"/>
        <v>1</v>
      </c>
      <c r="AS363" s="50" cm="1">
        <f t="array" ref="AS363">SUMPRODUCT(($V363:$AN363&lt;=$I78)*(1))/COUNT($V363:$AN363)</f>
        <v>0.15789473684210525</v>
      </c>
      <c r="AT363" s="50" cm="1">
        <f t="array" ref="AT363">SUMPRODUCT(($V363:$AN363&lt;=$J78)*(1))/COUNT($V363:$AN363)</f>
        <v>5.2631578947368418E-2</v>
      </c>
      <c r="AU363" s="50" cm="1">
        <f t="array" ref="AU363">SUMPRODUCT(($V363:$AN363&lt;=$K78)*(1))/COUNT($V363:$AN363)</f>
        <v>0</v>
      </c>
      <c r="AW363" s="52" cm="1">
        <f t="array" ref="AW363">SUMPRODUCT(($V363:$AN363&lt;=$I78)*(1))</f>
        <v>3</v>
      </c>
      <c r="AX363" s="52" cm="1">
        <f t="array" ref="AX363">SUMPRODUCT(($V363:$AN363&lt;=$J78)*(1))</f>
        <v>1</v>
      </c>
      <c r="AY363" s="52" cm="1">
        <f t="array" ref="AY363">SUMPRODUCT(($V363:$AN363&lt;=$K78)*(1))</f>
        <v>0</v>
      </c>
      <c r="BA363" s="52">
        <f t="shared" si="46"/>
        <v>2</v>
      </c>
      <c r="BB363" s="52">
        <f t="shared" si="47"/>
        <v>1</v>
      </c>
      <c r="BC363" s="52">
        <f t="shared" si="48"/>
        <v>0</v>
      </c>
      <c r="BE363" s="50">
        <f t="shared" si="68"/>
        <v>0.10526315789473684</v>
      </c>
      <c r="BF363" s="50">
        <f t="shared" si="69"/>
        <v>5.2631578947368418E-2</v>
      </c>
      <c r="BG363" s="50">
        <f t="shared" si="70"/>
        <v>0</v>
      </c>
    </row>
    <row r="364" spans="4:59" ht="15.6">
      <c r="D364" s="44"/>
      <c r="M364" s="42"/>
      <c r="N364" s="39" t="s">
        <v>26</v>
      </c>
      <c r="O364" s="39" t="s">
        <v>498</v>
      </c>
      <c r="P364" s="90" t="s">
        <v>502</v>
      </c>
      <c r="R364" s="41"/>
      <c r="S364" s="42"/>
      <c r="T364" s="42"/>
      <c r="U364" s="42"/>
      <c r="V364" s="45">
        <f t="shared" si="49"/>
        <v>1</v>
      </c>
      <c r="W364" s="45">
        <f t="shared" si="50"/>
        <v>0.98670288145135698</v>
      </c>
      <c r="X364" s="45">
        <f t="shared" si="51"/>
        <v>1</v>
      </c>
      <c r="Y364" s="45">
        <f t="shared" si="52"/>
        <v>1</v>
      </c>
      <c r="Z364" s="45">
        <f t="shared" si="53"/>
        <v>1</v>
      </c>
      <c r="AA364" s="45">
        <f t="shared" si="54"/>
        <v>1</v>
      </c>
      <c r="AB364" s="45">
        <f t="shared" si="55"/>
        <v>1</v>
      </c>
      <c r="AC364" s="45">
        <f t="shared" si="56"/>
        <v>1</v>
      </c>
      <c r="AD364" s="45">
        <f t="shared" si="57"/>
        <v>1</v>
      </c>
      <c r="AE364" s="45">
        <f t="shared" si="58"/>
        <v>0.99895865639994197</v>
      </c>
      <c r="AF364" s="45">
        <f t="shared" si="59"/>
        <v>1</v>
      </c>
      <c r="AG364" s="45">
        <f t="shared" si="60"/>
        <v>1</v>
      </c>
      <c r="AH364" s="45">
        <f t="shared" si="61"/>
        <v>1</v>
      </c>
      <c r="AI364" s="45">
        <f t="shared" si="62"/>
        <v>1</v>
      </c>
      <c r="AJ364" s="45">
        <f t="shared" si="63"/>
        <v>1</v>
      </c>
      <c r="AK364" s="45">
        <f t="shared" si="64"/>
        <v>1</v>
      </c>
      <c r="AL364" s="45">
        <f t="shared" si="65"/>
        <v>1</v>
      </c>
      <c r="AM364" s="45">
        <f t="shared" si="66"/>
        <v>1</v>
      </c>
      <c r="AN364" s="45">
        <f t="shared" si="67"/>
        <v>1</v>
      </c>
      <c r="AS364" s="50" cm="1">
        <f t="array" ref="AS364">SUMPRODUCT(($V364:$AN364&lt;=$I79)*(1))/COUNT($V364:$AN364)</f>
        <v>0</v>
      </c>
      <c r="AT364" s="50" cm="1">
        <f t="array" ref="AT364">SUMPRODUCT(($V364:$AN364&lt;=$J79)*(1))/COUNT($V364:$AN364)</f>
        <v>0</v>
      </c>
      <c r="AU364" s="50" cm="1">
        <f t="array" ref="AU364">SUMPRODUCT(($V364:$AN364&lt;=$K79)*(1))/COUNT($V364:$AN364)</f>
        <v>0</v>
      </c>
      <c r="AW364" s="52" cm="1">
        <f t="array" ref="AW364">SUMPRODUCT(($V364:$AN364&lt;=$I79)*(1))</f>
        <v>0</v>
      </c>
      <c r="AX364" s="52" cm="1">
        <f t="array" ref="AX364">SUMPRODUCT(($V364:$AN364&lt;=$J79)*(1))</f>
        <v>0</v>
      </c>
      <c r="AY364" s="52" cm="1">
        <f t="array" ref="AY364">SUMPRODUCT(($V364:$AN364&lt;=$K79)*(1))</f>
        <v>0</v>
      </c>
      <c r="BA364" s="52">
        <f t="shared" si="46"/>
        <v>0</v>
      </c>
      <c r="BB364" s="52">
        <f t="shared" si="47"/>
        <v>0</v>
      </c>
      <c r="BC364" s="52">
        <f t="shared" si="48"/>
        <v>0</v>
      </c>
      <c r="BE364" s="50">
        <f t="shared" si="68"/>
        <v>0</v>
      </c>
      <c r="BF364" s="50">
        <f t="shared" si="69"/>
        <v>0</v>
      </c>
      <c r="BG364" s="50">
        <f t="shared" si="70"/>
        <v>0</v>
      </c>
    </row>
    <row r="365" spans="4:59" ht="15.6">
      <c r="D365" s="44"/>
      <c r="M365" s="42"/>
      <c r="N365" s="39" t="s">
        <v>26</v>
      </c>
      <c r="O365" s="39" t="s">
        <v>230</v>
      </c>
      <c r="P365" t="s">
        <v>689</v>
      </c>
      <c r="R365" s="41"/>
      <c r="S365" s="42"/>
      <c r="T365" s="42"/>
      <c r="U365" s="42"/>
      <c r="V365" s="45">
        <f t="shared" si="49"/>
        <v>1</v>
      </c>
      <c r="W365" s="45">
        <f t="shared" si="50"/>
        <v>0.99107093046356098</v>
      </c>
      <c r="X365" s="45">
        <f t="shared" si="51"/>
        <v>1</v>
      </c>
      <c r="Y365" s="45">
        <f t="shared" si="52"/>
        <v>0.99838500500128302</v>
      </c>
      <c r="Z365" s="45">
        <f t="shared" si="53"/>
        <v>0.998893104753241</v>
      </c>
      <c r="AA365" s="45">
        <f t="shared" si="54"/>
        <v>1.0007393459397205</v>
      </c>
      <c r="AB365" s="45">
        <f t="shared" si="55"/>
        <v>1.0011081218215361</v>
      </c>
      <c r="AC365" s="45">
        <f t="shared" si="56"/>
        <v>1.0003685034303007</v>
      </c>
      <c r="AD365" s="45">
        <f t="shared" si="57"/>
        <v>1.0003685034303007</v>
      </c>
      <c r="AE365" s="45">
        <f t="shared" si="58"/>
        <v>0.982931059196821</v>
      </c>
      <c r="AF365" s="45">
        <f t="shared" si="59"/>
        <v>1</v>
      </c>
      <c r="AG365" s="45">
        <f t="shared" si="60"/>
        <v>1</v>
      </c>
      <c r="AH365" s="45">
        <f t="shared" si="61"/>
        <v>1</v>
      </c>
      <c r="AI365" s="45">
        <f t="shared" si="62"/>
        <v>1</v>
      </c>
      <c r="AJ365" s="45">
        <f t="shared" si="63"/>
        <v>1</v>
      </c>
      <c r="AK365" s="45">
        <f t="shared" si="64"/>
        <v>1</v>
      </c>
      <c r="AL365" s="45">
        <f t="shared" si="65"/>
        <v>0.99974557002295195</v>
      </c>
      <c r="AM365" s="45">
        <f t="shared" si="66"/>
        <v>1</v>
      </c>
      <c r="AN365" s="45">
        <f t="shared" si="67"/>
        <v>0.99857937143295006</v>
      </c>
      <c r="AS365" s="50" cm="1">
        <f t="array" ref="AS365">SUMPRODUCT(($V365:$AN365&lt;=$I80)*(1))/COUNT($V365:$AN365)</f>
        <v>0</v>
      </c>
      <c r="AT365" s="50" cm="1">
        <f t="array" ref="AT365">SUMPRODUCT(($V365:$AN365&lt;=$J80)*(1))/COUNT($V365:$AN365)</f>
        <v>0</v>
      </c>
      <c r="AU365" s="50" cm="1">
        <f t="array" ref="AU365">SUMPRODUCT(($V365:$AN365&lt;=$K80)*(1))/COUNT($V365:$AN365)</f>
        <v>0</v>
      </c>
      <c r="AW365" s="52" cm="1">
        <f t="array" ref="AW365">SUMPRODUCT(($V365:$AN365&lt;=$I80)*(1))</f>
        <v>0</v>
      </c>
      <c r="AX365" s="52" cm="1">
        <f t="array" ref="AX365">SUMPRODUCT(($V365:$AN365&lt;=$J80)*(1))</f>
        <v>0</v>
      </c>
      <c r="AY365" s="52" cm="1">
        <f t="array" ref="AY365">SUMPRODUCT(($V365:$AN365&lt;=$K80)*(1))</f>
        <v>0</v>
      </c>
      <c r="BA365" s="52">
        <f t="shared" si="46"/>
        <v>0</v>
      </c>
      <c r="BB365" s="52">
        <f t="shared" si="47"/>
        <v>0</v>
      </c>
      <c r="BC365" s="52">
        <f t="shared" si="48"/>
        <v>0</v>
      </c>
      <c r="BE365" s="50">
        <f t="shared" si="68"/>
        <v>0</v>
      </c>
      <c r="BF365" s="50">
        <f t="shared" si="69"/>
        <v>0</v>
      </c>
      <c r="BG365" s="50">
        <f t="shared" si="70"/>
        <v>0</v>
      </c>
    </row>
    <row r="366" spans="4:59" ht="15.6">
      <c r="D366" s="44"/>
      <c r="M366" s="42"/>
      <c r="N366" s="39" t="s">
        <v>26</v>
      </c>
      <c r="O366" s="39" t="s">
        <v>267</v>
      </c>
      <c r="P366" t="s">
        <v>690</v>
      </c>
      <c r="R366" s="41"/>
      <c r="S366" s="42"/>
      <c r="T366" s="42"/>
      <c r="U366" s="42"/>
      <c r="V366" s="45">
        <f t="shared" si="49"/>
        <v>1</v>
      </c>
      <c r="W366" s="45">
        <f t="shared" si="50"/>
        <v>0.94939160278367596</v>
      </c>
      <c r="X366" s="45">
        <f t="shared" si="51"/>
        <v>1</v>
      </c>
      <c r="Y366" s="45">
        <f t="shared" si="52"/>
        <v>1</v>
      </c>
      <c r="Z366" s="45">
        <f t="shared" si="53"/>
        <v>1</v>
      </c>
      <c r="AA366" s="45">
        <f t="shared" si="54"/>
        <v>0.99851599868185004</v>
      </c>
      <c r="AB366" s="45">
        <f t="shared" si="55"/>
        <v>1</v>
      </c>
      <c r="AC366" s="45">
        <f t="shared" si="56"/>
        <v>1</v>
      </c>
      <c r="AD366" s="45">
        <f t="shared" si="57"/>
        <v>1</v>
      </c>
      <c r="AE366" s="45">
        <f t="shared" si="58"/>
        <v>0.882039501084806</v>
      </c>
      <c r="AF366" s="45">
        <f t="shared" si="59"/>
        <v>1</v>
      </c>
      <c r="AG366" s="45">
        <f t="shared" si="60"/>
        <v>1</v>
      </c>
      <c r="AH366" s="45">
        <f t="shared" si="61"/>
        <v>1</v>
      </c>
      <c r="AI366" s="45">
        <f t="shared" si="62"/>
        <v>1</v>
      </c>
      <c r="AJ366" s="45">
        <f t="shared" si="63"/>
        <v>1</v>
      </c>
      <c r="AK366" s="45">
        <f t="shared" si="64"/>
        <v>1</v>
      </c>
      <c r="AL366" s="45">
        <f t="shared" si="65"/>
        <v>1</v>
      </c>
      <c r="AM366" s="45">
        <f t="shared" si="66"/>
        <v>1</v>
      </c>
      <c r="AN366" s="45">
        <f t="shared" si="67"/>
        <v>1</v>
      </c>
      <c r="AS366" s="50" cm="1">
        <f t="array" ref="AS366">SUMPRODUCT(($V366:$AN366&lt;=$I81)*(1))/COUNT($V366:$AN366)</f>
        <v>0.10526315789473684</v>
      </c>
      <c r="AT366" s="50" cm="1">
        <f t="array" ref="AT366">SUMPRODUCT(($V366:$AN366&lt;=$J81)*(1))/COUNT($V366:$AN366)</f>
        <v>0</v>
      </c>
      <c r="AU366" s="50" cm="1">
        <f t="array" ref="AU366">SUMPRODUCT(($V366:$AN366&lt;=$K81)*(1))/COUNT($V366:$AN366)</f>
        <v>0</v>
      </c>
      <c r="AW366" s="52" cm="1">
        <f t="array" ref="AW366">SUMPRODUCT(($V366:$AN366&lt;=$I81)*(1))</f>
        <v>2</v>
      </c>
      <c r="AX366" s="52" cm="1">
        <f t="array" ref="AX366">SUMPRODUCT(($V366:$AN366&lt;=$J81)*(1))</f>
        <v>0</v>
      </c>
      <c r="AY366" s="52" cm="1">
        <f t="array" ref="AY366">SUMPRODUCT(($V366:$AN366&lt;=$K81)*(1))</f>
        <v>0</v>
      </c>
      <c r="BA366" s="52">
        <f t="shared" si="46"/>
        <v>2</v>
      </c>
      <c r="BB366" s="52">
        <f t="shared" si="47"/>
        <v>0</v>
      </c>
      <c r="BC366" s="52">
        <f t="shared" si="48"/>
        <v>0</v>
      </c>
      <c r="BE366" s="50">
        <f t="shared" si="68"/>
        <v>0.10526315789473684</v>
      </c>
      <c r="BF366" s="50">
        <f t="shared" si="69"/>
        <v>0</v>
      </c>
      <c r="BG366" s="50">
        <f t="shared" si="70"/>
        <v>0</v>
      </c>
    </row>
    <row r="367" spans="4:59" ht="15.6">
      <c r="D367" s="44"/>
      <c r="M367" s="42"/>
      <c r="N367" s="39" t="s">
        <v>26</v>
      </c>
      <c r="O367" s="39" t="s">
        <v>508</v>
      </c>
      <c r="P367" t="s">
        <v>691</v>
      </c>
      <c r="R367" s="41"/>
      <c r="S367" s="42"/>
      <c r="T367" s="42"/>
      <c r="U367" s="42"/>
      <c r="V367" s="45">
        <f t="shared" si="49"/>
        <v>1.0225900138743054</v>
      </c>
      <c r="W367" s="45">
        <f t="shared" si="50"/>
        <v>0.82183785171201473</v>
      </c>
      <c r="X367" s="45">
        <f t="shared" si="51"/>
        <v>1.0505154141436672</v>
      </c>
      <c r="Y367" s="45">
        <f t="shared" si="52"/>
        <v>1.0397446158406396</v>
      </c>
      <c r="Z367" s="45">
        <f t="shared" si="53"/>
        <v>1.0085622761491715</v>
      </c>
      <c r="AA367" s="45">
        <f t="shared" si="54"/>
        <v>0.97653174294257039</v>
      </c>
      <c r="AB367" s="45">
        <f t="shared" si="55"/>
        <v>1.0067654477120944</v>
      </c>
      <c r="AC367" s="45">
        <f t="shared" si="56"/>
        <v>0.93565899044551049</v>
      </c>
      <c r="AD367" s="45">
        <f t="shared" si="57"/>
        <v>0.97311545333421268</v>
      </c>
      <c r="AE367" s="45">
        <f t="shared" si="58"/>
        <v>0.77198884144514235</v>
      </c>
      <c r="AF367" s="45">
        <f t="shared" si="59"/>
        <v>0.98954671541898997</v>
      </c>
      <c r="AG367" s="45">
        <f t="shared" si="60"/>
        <v>1.0486880828489804</v>
      </c>
      <c r="AH367" s="45">
        <f t="shared" si="61"/>
        <v>1.0487047940313896</v>
      </c>
      <c r="AI367" s="45">
        <f t="shared" si="62"/>
        <v>1.0137753407912224</v>
      </c>
      <c r="AJ367" s="45">
        <f t="shared" si="63"/>
        <v>0.95707154280408946</v>
      </c>
      <c r="AK367" s="45">
        <f t="shared" si="64"/>
        <v>1.0193742365140295</v>
      </c>
      <c r="AL367" s="45">
        <f t="shared" si="65"/>
        <v>1.0018007834168263</v>
      </c>
      <c r="AM367" s="45">
        <f t="shared" si="66"/>
        <v>1.0046990773620694</v>
      </c>
      <c r="AN367" s="45">
        <f t="shared" si="67"/>
        <v>0.85201575591526379</v>
      </c>
      <c r="AS367" s="50" cm="1">
        <f t="array" ref="AS367">SUMPRODUCT(($V367:$AN367&lt;=$I82)*(1))/COUNT($V367:$AN367)</f>
        <v>0.21052631578947367</v>
      </c>
      <c r="AT367" s="50" cm="1">
        <f t="array" ref="AT367">SUMPRODUCT(($V367:$AN367&lt;=$J82)*(1))/COUNT($V367:$AN367)</f>
        <v>0.10526315789473684</v>
      </c>
      <c r="AU367" s="50" cm="1">
        <f t="array" ref="AU367">SUMPRODUCT(($V367:$AN367&lt;=$K82)*(1))/COUNT($V367:$AN367)</f>
        <v>0</v>
      </c>
      <c r="AW367" s="52" cm="1">
        <f t="array" ref="AW367">SUMPRODUCT(($V367:$AN367&lt;=$I82)*(1))</f>
        <v>4</v>
      </c>
      <c r="AX367" s="52" cm="1">
        <f t="array" ref="AX367">SUMPRODUCT(($V367:$AN367&lt;=$J82)*(1))</f>
        <v>2</v>
      </c>
      <c r="AY367" s="52" cm="1">
        <f t="array" ref="AY367">SUMPRODUCT(($V367:$AN367&lt;=$K82)*(1))</f>
        <v>0</v>
      </c>
      <c r="BA367" s="52">
        <f t="shared" si="46"/>
        <v>2</v>
      </c>
      <c r="BB367" s="52">
        <f t="shared" si="47"/>
        <v>2</v>
      </c>
      <c r="BC367" s="52">
        <f t="shared" si="48"/>
        <v>0</v>
      </c>
      <c r="BE367" s="50">
        <f t="shared" si="68"/>
        <v>0.10526315789473684</v>
      </c>
      <c r="BF367" s="50">
        <f t="shared" si="69"/>
        <v>0.10526315789473684</v>
      </c>
      <c r="BG367" s="50">
        <f t="shared" si="70"/>
        <v>0</v>
      </c>
    </row>
    <row r="368" spans="4:59" ht="15.6">
      <c r="D368" s="44"/>
      <c r="M368" s="42"/>
      <c r="N368" s="39" t="s">
        <v>26</v>
      </c>
      <c r="O368" s="39" t="s">
        <v>434</v>
      </c>
      <c r="P368" t="s">
        <v>692</v>
      </c>
      <c r="R368" s="41"/>
      <c r="S368" s="42"/>
      <c r="T368" s="42"/>
      <c r="U368" s="42"/>
      <c r="V368" s="45">
        <f t="shared" si="49"/>
        <v>1</v>
      </c>
      <c r="W368" s="45">
        <f t="shared" si="50"/>
        <v>1</v>
      </c>
      <c r="X368" s="45">
        <f t="shared" si="51"/>
        <v>1</v>
      </c>
      <c r="Y368" s="45">
        <f t="shared" si="52"/>
        <v>1</v>
      </c>
      <c r="Z368" s="45">
        <f t="shared" si="53"/>
        <v>1</v>
      </c>
      <c r="AA368" s="45">
        <f t="shared" si="54"/>
        <v>1</v>
      </c>
      <c r="AB368" s="45">
        <f t="shared" si="55"/>
        <v>1</v>
      </c>
      <c r="AC368" s="45">
        <f t="shared" si="56"/>
        <v>1</v>
      </c>
      <c r="AD368" s="45">
        <f t="shared" si="57"/>
        <v>1</v>
      </c>
      <c r="AE368" s="45">
        <f t="shared" si="58"/>
        <v>0.97685231457747501</v>
      </c>
      <c r="AF368" s="45">
        <f t="shared" si="59"/>
        <v>1</v>
      </c>
      <c r="AG368" s="45">
        <f t="shared" si="60"/>
        <v>1</v>
      </c>
      <c r="AH368" s="45">
        <f t="shared" si="61"/>
        <v>1</v>
      </c>
      <c r="AI368" s="45">
        <f t="shared" si="62"/>
        <v>1</v>
      </c>
      <c r="AJ368" s="45">
        <f t="shared" si="63"/>
        <v>1</v>
      </c>
      <c r="AK368" s="45">
        <f t="shared" si="64"/>
        <v>1</v>
      </c>
      <c r="AL368" s="45">
        <f t="shared" si="65"/>
        <v>1</v>
      </c>
      <c r="AM368" s="45">
        <f t="shared" si="66"/>
        <v>1</v>
      </c>
      <c r="AN368" s="45">
        <f t="shared" si="67"/>
        <v>1</v>
      </c>
      <c r="AS368" s="50" cm="1">
        <f t="array" ref="AS368">SUMPRODUCT(($V368:$AN368&lt;=$I83)*(1))/COUNT($V368:$AN368)</f>
        <v>0</v>
      </c>
      <c r="AT368" s="50" cm="1">
        <f t="array" ref="AT368">SUMPRODUCT(($V368:$AN368&lt;=$J83)*(1))/COUNT($V368:$AN368)</f>
        <v>0</v>
      </c>
      <c r="AU368" s="50" cm="1">
        <f t="array" ref="AU368">SUMPRODUCT(($V368:$AN368&lt;=$K83)*(1))/COUNT($V368:$AN368)</f>
        <v>0</v>
      </c>
      <c r="AW368" s="52" cm="1">
        <f t="array" ref="AW368">SUMPRODUCT(($V368:$AN368&lt;=$I83)*(1))</f>
        <v>0</v>
      </c>
      <c r="AX368" s="52" cm="1">
        <f t="array" ref="AX368">SUMPRODUCT(($V368:$AN368&lt;=$J83)*(1))</f>
        <v>0</v>
      </c>
      <c r="AY368" s="52" cm="1">
        <f t="array" ref="AY368">SUMPRODUCT(($V368:$AN368&lt;=$K83)*(1))</f>
        <v>0</v>
      </c>
      <c r="BA368" s="52">
        <f t="shared" si="46"/>
        <v>0</v>
      </c>
      <c r="BB368" s="52">
        <f t="shared" si="47"/>
        <v>0</v>
      </c>
      <c r="BC368" s="52">
        <f t="shared" si="48"/>
        <v>0</v>
      </c>
      <c r="BE368" s="50">
        <f t="shared" si="68"/>
        <v>0</v>
      </c>
      <c r="BF368" s="50">
        <f t="shared" si="69"/>
        <v>0</v>
      </c>
      <c r="BG368" s="50">
        <f t="shared" si="70"/>
        <v>0</v>
      </c>
    </row>
    <row r="369" spans="4:59" ht="15.6">
      <c r="D369" s="44"/>
      <c r="M369" s="42"/>
      <c r="N369" s="39" t="s">
        <v>26</v>
      </c>
      <c r="O369" s="39" t="s">
        <v>498</v>
      </c>
      <c r="P369" t="s">
        <v>693</v>
      </c>
      <c r="R369" s="41"/>
      <c r="S369" s="42"/>
      <c r="T369" s="42"/>
      <c r="U369" s="42"/>
      <c r="V369" s="45">
        <f t="shared" si="49"/>
        <v>0.98378000830207313</v>
      </c>
      <c r="W369" s="45">
        <f t="shared" si="50"/>
        <v>0.83870099510473384</v>
      </c>
      <c r="X369" s="45">
        <f t="shared" si="51"/>
        <v>1.0069031239116566</v>
      </c>
      <c r="Y369" s="45">
        <f t="shared" si="52"/>
        <v>1.0174587195274021</v>
      </c>
      <c r="Z369" s="45">
        <f t="shared" si="53"/>
        <v>0.94773449266552479</v>
      </c>
      <c r="AA369" s="45">
        <f t="shared" si="54"/>
        <v>0.94981219258357263</v>
      </c>
      <c r="AB369" s="45">
        <f t="shared" si="55"/>
        <v>1.0712209502805232</v>
      </c>
      <c r="AC369" s="45">
        <f t="shared" si="56"/>
        <v>1.012471104380164</v>
      </c>
      <c r="AD369" s="45">
        <f t="shared" si="57"/>
        <v>1</v>
      </c>
      <c r="AE369" s="45">
        <f t="shared" si="58"/>
        <v>0.79511698011277399</v>
      </c>
      <c r="AF369" s="45">
        <f t="shared" si="59"/>
        <v>0.90079054777810996</v>
      </c>
      <c r="AG369" s="45">
        <f t="shared" si="60"/>
        <v>0.98083807633398801</v>
      </c>
      <c r="AH369" s="45">
        <f t="shared" si="61"/>
        <v>1.0195362763012139</v>
      </c>
      <c r="AI369" s="45">
        <f t="shared" si="62"/>
        <v>0.81965997262805823</v>
      </c>
      <c r="AJ369" s="45">
        <f t="shared" si="63"/>
        <v>1.110135982739384</v>
      </c>
      <c r="AK369" s="45">
        <f t="shared" si="64"/>
        <v>0.99567354333312186</v>
      </c>
      <c r="AL369" s="45">
        <f t="shared" si="65"/>
        <v>1.0195362763012139</v>
      </c>
      <c r="AM369" s="45">
        <f t="shared" si="66"/>
        <v>1</v>
      </c>
      <c r="AN369" s="45">
        <f t="shared" si="67"/>
        <v>0.94317801596000395</v>
      </c>
      <c r="AS369" s="50" cm="1">
        <f t="array" ref="AS369">SUMPRODUCT(($V369:$AN369&lt;=$I84)*(1))/COUNT($V369:$AN369)</f>
        <v>0.36842105263157893</v>
      </c>
      <c r="AT369" s="50" cm="1">
        <f t="array" ref="AT369">SUMPRODUCT(($V369:$AN369&lt;=$J84)*(1))/COUNT($V369:$AN369)</f>
        <v>0.15789473684210525</v>
      </c>
      <c r="AU369" s="50" cm="1">
        <f t="array" ref="AU369">SUMPRODUCT(($V369:$AN369&lt;=$K84)*(1))/COUNT($V369:$AN369)</f>
        <v>0</v>
      </c>
      <c r="AW369" s="52" cm="1">
        <f t="array" ref="AW369">SUMPRODUCT(($V369:$AN369&lt;=$I84)*(1))</f>
        <v>7</v>
      </c>
      <c r="AX369" s="52" cm="1">
        <f t="array" ref="AX369">SUMPRODUCT(($V369:$AN369&lt;=$J84)*(1))</f>
        <v>3</v>
      </c>
      <c r="AY369" s="52" cm="1">
        <f t="array" ref="AY369">SUMPRODUCT(($V369:$AN369&lt;=$K84)*(1))</f>
        <v>0</v>
      </c>
      <c r="BA369" s="52">
        <f t="shared" si="46"/>
        <v>4</v>
      </c>
      <c r="BB369" s="52">
        <f t="shared" si="47"/>
        <v>3</v>
      </c>
      <c r="BC369" s="52">
        <f t="shared" si="48"/>
        <v>0</v>
      </c>
      <c r="BE369" s="50">
        <f t="shared" si="68"/>
        <v>0.21052631578947367</v>
      </c>
      <c r="BF369" s="50">
        <f t="shared" si="69"/>
        <v>0.15789473684210525</v>
      </c>
      <c r="BG369" s="50">
        <f t="shared" si="70"/>
        <v>0</v>
      </c>
    </row>
    <row r="370" spans="4:59" ht="15.6">
      <c r="D370" s="44"/>
      <c r="M370" s="42"/>
      <c r="N370" s="39" t="s">
        <v>26</v>
      </c>
      <c r="O370" s="39" t="s">
        <v>245</v>
      </c>
      <c r="P370" t="s">
        <v>694</v>
      </c>
      <c r="R370" s="41"/>
      <c r="S370" s="42"/>
      <c r="T370" s="42"/>
      <c r="U370" s="42"/>
      <c r="V370" s="45">
        <f t="shared" si="49"/>
        <v>1.003534733775483</v>
      </c>
      <c r="W370" s="45">
        <f t="shared" si="50"/>
        <v>0.91503370425555475</v>
      </c>
      <c r="X370" s="45">
        <f t="shared" si="51"/>
        <v>1.0038203101193774</v>
      </c>
      <c r="Y370" s="45">
        <f t="shared" si="52"/>
        <v>0.99255040001762473</v>
      </c>
      <c r="Z370" s="45">
        <f t="shared" si="53"/>
        <v>1.0012863222296779</v>
      </c>
      <c r="AA370" s="45">
        <f t="shared" si="54"/>
        <v>0.99155491170834875</v>
      </c>
      <c r="AB370" s="45">
        <f t="shared" si="55"/>
        <v>1.0113544965591195</v>
      </c>
      <c r="AC370" s="45">
        <f t="shared" si="56"/>
        <v>1.0085302763160693</v>
      </c>
      <c r="AD370" s="45">
        <f t="shared" si="57"/>
        <v>1.0090653049370648</v>
      </c>
      <c r="AE370" s="45">
        <f t="shared" si="58"/>
        <v>0.84707930531865627</v>
      </c>
      <c r="AF370" s="45">
        <f t="shared" si="59"/>
        <v>0.97154566868563674</v>
      </c>
      <c r="AG370" s="45">
        <f t="shared" si="60"/>
        <v>1.0010375689233795</v>
      </c>
      <c r="AH370" s="45">
        <f t="shared" si="61"/>
        <v>0.9975850418032054</v>
      </c>
      <c r="AI370" s="45">
        <f t="shared" si="62"/>
        <v>0.98466205953889752</v>
      </c>
      <c r="AJ370" s="45">
        <f t="shared" si="63"/>
        <v>1.0185011193650075</v>
      </c>
      <c r="AK370" s="45">
        <f t="shared" si="64"/>
        <v>0.98182754026776264</v>
      </c>
      <c r="AL370" s="45">
        <f t="shared" si="65"/>
        <v>0.99745503279452408</v>
      </c>
      <c r="AM370" s="45">
        <f t="shared" si="66"/>
        <v>1.0064980346420005</v>
      </c>
      <c r="AN370" s="45">
        <f t="shared" si="67"/>
        <v>0.9309608451117245</v>
      </c>
      <c r="AS370" s="50" cm="1">
        <f t="array" ref="AS370">SUMPRODUCT(($V370:$AN370&lt;=$I85)*(1))/COUNT($V370:$AN370)</f>
        <v>0.15789473684210525</v>
      </c>
      <c r="AT370" s="50" cm="1">
        <f t="array" ref="AT370">SUMPRODUCT(($V370:$AN370&lt;=$J85)*(1))/COUNT($V370:$AN370)</f>
        <v>5.2631578947368418E-2</v>
      </c>
      <c r="AU370" s="50" cm="1">
        <f t="array" ref="AU370">SUMPRODUCT(($V370:$AN370&lt;=$K85)*(1))/COUNT($V370:$AN370)</f>
        <v>0</v>
      </c>
      <c r="AW370" s="52" cm="1">
        <f t="array" ref="AW370">SUMPRODUCT(($V370:$AN370&lt;=$I85)*(1))</f>
        <v>3</v>
      </c>
      <c r="AX370" s="52" cm="1">
        <f t="array" ref="AX370">SUMPRODUCT(($V370:$AN370&lt;=$J85)*(1))</f>
        <v>1</v>
      </c>
      <c r="AY370" s="52" cm="1">
        <f t="array" ref="AY370">SUMPRODUCT(($V370:$AN370&lt;=$K85)*(1))</f>
        <v>0</v>
      </c>
      <c r="BA370" s="52">
        <f t="shared" si="46"/>
        <v>2</v>
      </c>
      <c r="BB370" s="52">
        <f t="shared" si="47"/>
        <v>1</v>
      </c>
      <c r="BC370" s="52">
        <f t="shared" si="48"/>
        <v>0</v>
      </c>
      <c r="BE370" s="50">
        <f t="shared" si="68"/>
        <v>0.10526315789473684</v>
      </c>
      <c r="BF370" s="50">
        <f t="shared" si="69"/>
        <v>5.2631578947368418E-2</v>
      </c>
      <c r="BG370" s="50">
        <f t="shared" si="70"/>
        <v>0</v>
      </c>
    </row>
    <row r="371" spans="4:59" ht="15.6">
      <c r="D371" s="44"/>
      <c r="M371" s="42"/>
      <c r="N371" s="39" t="s">
        <v>26</v>
      </c>
      <c r="O371" s="39" t="s">
        <v>278</v>
      </c>
      <c r="P371" t="s">
        <v>695</v>
      </c>
      <c r="R371" s="41"/>
      <c r="S371" s="42"/>
      <c r="T371" s="42"/>
      <c r="U371" s="42"/>
      <c r="V371" s="45">
        <f t="shared" si="49"/>
        <v>1</v>
      </c>
      <c r="W371" s="45">
        <f t="shared" si="50"/>
        <v>1</v>
      </c>
      <c r="X371" s="45">
        <f t="shared" si="51"/>
        <v>1</v>
      </c>
      <c r="Y371" s="45">
        <f t="shared" si="52"/>
        <v>1</v>
      </c>
      <c r="Z371" s="45">
        <f t="shared" si="53"/>
        <v>1</v>
      </c>
      <c r="AA371" s="45">
        <f t="shared" si="54"/>
        <v>1</v>
      </c>
      <c r="AB371" s="45">
        <f t="shared" si="55"/>
        <v>1</v>
      </c>
      <c r="AC371" s="45">
        <f t="shared" si="56"/>
        <v>1</v>
      </c>
      <c r="AD371" s="45">
        <f t="shared" si="57"/>
        <v>1</v>
      </c>
      <c r="AE371" s="45">
        <f t="shared" si="58"/>
        <v>1</v>
      </c>
      <c r="AF371" s="45">
        <f t="shared" si="59"/>
        <v>0.998703230420106</v>
      </c>
      <c r="AG371" s="45">
        <f t="shared" si="60"/>
        <v>1</v>
      </c>
      <c r="AH371" s="45">
        <f t="shared" si="61"/>
        <v>1</v>
      </c>
      <c r="AI371" s="45">
        <f t="shared" si="62"/>
        <v>1</v>
      </c>
      <c r="AJ371" s="45">
        <f t="shared" si="63"/>
        <v>1</v>
      </c>
      <c r="AK371" s="45">
        <f t="shared" si="64"/>
        <v>1</v>
      </c>
      <c r="AL371" s="45">
        <f t="shared" si="65"/>
        <v>1</v>
      </c>
      <c r="AM371" s="45">
        <f t="shared" si="66"/>
        <v>1</v>
      </c>
      <c r="AN371" s="45">
        <f t="shared" si="67"/>
        <v>0.99260661104326797</v>
      </c>
      <c r="AS371" s="50" cm="1">
        <f t="array" ref="AS371">SUMPRODUCT(($V371:$AN371&lt;=$I86)*(1))/COUNT($V371:$AN371)</f>
        <v>0</v>
      </c>
      <c r="AT371" s="50" cm="1">
        <f t="array" ref="AT371">SUMPRODUCT(($V371:$AN371&lt;=$J86)*(1))/COUNT($V371:$AN371)</f>
        <v>0</v>
      </c>
      <c r="AU371" s="50" cm="1">
        <f t="array" ref="AU371">SUMPRODUCT(($V371:$AN371&lt;=$K86)*(1))/COUNT($V371:$AN371)</f>
        <v>0</v>
      </c>
      <c r="AW371" s="52" cm="1">
        <f t="array" ref="AW371">SUMPRODUCT(($V371:$AN371&lt;=$I86)*(1))</f>
        <v>0</v>
      </c>
      <c r="AX371" s="52" cm="1">
        <f t="array" ref="AX371">SUMPRODUCT(($V371:$AN371&lt;=$J86)*(1))</f>
        <v>0</v>
      </c>
      <c r="AY371" s="52" cm="1">
        <f t="array" ref="AY371">SUMPRODUCT(($V371:$AN371&lt;=$K86)*(1))</f>
        <v>0</v>
      </c>
      <c r="BA371" s="52">
        <f t="shared" ref="BA371:BA434" si="71">AW371-AX371</f>
        <v>0</v>
      </c>
      <c r="BB371" s="52">
        <f t="shared" ref="BB371:BB434" si="72">AX371-AY371</f>
        <v>0</v>
      </c>
      <c r="BC371" s="52">
        <f t="shared" ref="BC371:BC434" si="73">AY371</f>
        <v>0</v>
      </c>
      <c r="BE371" s="50">
        <f t="shared" si="68"/>
        <v>0</v>
      </c>
      <c r="BF371" s="50">
        <f t="shared" si="69"/>
        <v>0</v>
      </c>
      <c r="BG371" s="50">
        <f t="shared" si="70"/>
        <v>0</v>
      </c>
    </row>
    <row r="372" spans="4:59" ht="15.6">
      <c r="D372" s="44"/>
      <c r="M372" s="42"/>
      <c r="N372" s="39" t="s">
        <v>26</v>
      </c>
      <c r="O372" s="39" t="s">
        <v>230</v>
      </c>
      <c r="P372" t="s">
        <v>696</v>
      </c>
      <c r="R372" s="41"/>
      <c r="S372" s="42"/>
      <c r="T372" s="42"/>
      <c r="U372" s="42"/>
      <c r="V372" s="45">
        <f t="shared" si="49"/>
        <v>1.0017129219846308</v>
      </c>
      <c r="W372" s="45">
        <f t="shared" si="50"/>
        <v>0.940529531593567</v>
      </c>
      <c r="X372" s="45">
        <f t="shared" si="51"/>
        <v>1.0031098545050401</v>
      </c>
      <c r="Y372" s="45">
        <f t="shared" si="52"/>
        <v>0.96663265038811685</v>
      </c>
      <c r="Z372" s="45">
        <f t="shared" si="53"/>
        <v>0.99427088094889993</v>
      </c>
      <c r="AA372" s="45">
        <f t="shared" si="54"/>
        <v>0.9961950549874844</v>
      </c>
      <c r="AB372" s="45">
        <f t="shared" si="55"/>
        <v>1.0152925195711335</v>
      </c>
      <c r="AC372" s="45">
        <f t="shared" si="56"/>
        <v>1.0057521587202054</v>
      </c>
      <c r="AD372" s="45">
        <f t="shared" si="57"/>
        <v>1.0114293873625471</v>
      </c>
      <c r="AE372" s="45">
        <f t="shared" si="58"/>
        <v>0.92405616180343486</v>
      </c>
      <c r="AF372" s="45">
        <f t="shared" si="59"/>
        <v>0.99505323918002708</v>
      </c>
      <c r="AG372" s="45">
        <f t="shared" si="60"/>
        <v>1.0036603012656367</v>
      </c>
      <c r="AH372" s="45">
        <f t="shared" si="61"/>
        <v>0.9806764425247948</v>
      </c>
      <c r="AI372" s="45">
        <f t="shared" si="62"/>
        <v>0.98440079770859346</v>
      </c>
      <c r="AJ372" s="45">
        <f t="shared" si="63"/>
        <v>1.0246290927867454</v>
      </c>
      <c r="AK372" s="45">
        <f t="shared" si="64"/>
        <v>1.0106441740954559</v>
      </c>
      <c r="AL372" s="45">
        <f t="shared" si="65"/>
        <v>0.99504919339165943</v>
      </c>
      <c r="AM372" s="45">
        <f t="shared" si="66"/>
        <v>1.0069624971888265</v>
      </c>
      <c r="AN372" s="45">
        <f t="shared" si="67"/>
        <v>0.94513139642902877</v>
      </c>
      <c r="AS372" s="50" cm="1">
        <f t="array" ref="AS372">SUMPRODUCT(($V372:$AN372&lt;=$I87)*(1))/COUNT($V372:$AN372)</f>
        <v>0.15789473684210525</v>
      </c>
      <c r="AT372" s="50" cm="1">
        <f t="array" ref="AT372">SUMPRODUCT(($V372:$AN372&lt;=$J87)*(1))/COUNT($V372:$AN372)</f>
        <v>0</v>
      </c>
      <c r="AU372" s="50" cm="1">
        <f t="array" ref="AU372">SUMPRODUCT(($V372:$AN372&lt;=$K87)*(1))/COUNT($V372:$AN372)</f>
        <v>0</v>
      </c>
      <c r="AW372" s="52" cm="1">
        <f t="array" ref="AW372">SUMPRODUCT(($V372:$AN372&lt;=$I87)*(1))</f>
        <v>3</v>
      </c>
      <c r="AX372" s="52" cm="1">
        <f t="array" ref="AX372">SUMPRODUCT(($V372:$AN372&lt;=$J87)*(1))</f>
        <v>0</v>
      </c>
      <c r="AY372" s="52" cm="1">
        <f t="array" ref="AY372">SUMPRODUCT(($V372:$AN372&lt;=$K87)*(1))</f>
        <v>0</v>
      </c>
      <c r="BA372" s="52">
        <f t="shared" si="71"/>
        <v>3</v>
      </c>
      <c r="BB372" s="52">
        <f t="shared" si="72"/>
        <v>0</v>
      </c>
      <c r="BC372" s="52">
        <f t="shared" si="73"/>
        <v>0</v>
      </c>
      <c r="BE372" s="50">
        <f t="shared" si="68"/>
        <v>0.15789473684210525</v>
      </c>
      <c r="BF372" s="50">
        <f t="shared" si="69"/>
        <v>0</v>
      </c>
      <c r="BG372" s="50">
        <f t="shared" si="70"/>
        <v>0</v>
      </c>
    </row>
    <row r="373" spans="4:59" ht="15.6">
      <c r="D373" s="44"/>
      <c r="M373" s="42"/>
      <c r="N373" s="39" t="s">
        <v>26</v>
      </c>
      <c r="O373" s="39" t="s">
        <v>221</v>
      </c>
      <c r="P373" t="s">
        <v>697</v>
      </c>
      <c r="R373" s="41"/>
      <c r="S373" s="42"/>
      <c r="T373" s="42"/>
      <c r="U373" s="42"/>
      <c r="V373" s="45">
        <f t="shared" si="49"/>
        <v>1</v>
      </c>
      <c r="W373" s="45">
        <f t="shared" si="50"/>
        <v>0.90976453863341111</v>
      </c>
      <c r="X373" s="45">
        <f t="shared" si="51"/>
        <v>1</v>
      </c>
      <c r="Y373" s="45">
        <f t="shared" si="52"/>
        <v>1</v>
      </c>
      <c r="Z373" s="45">
        <f t="shared" si="53"/>
        <v>1</v>
      </c>
      <c r="AA373" s="45">
        <f t="shared" si="54"/>
        <v>1</v>
      </c>
      <c r="AB373" s="45">
        <f t="shared" si="55"/>
        <v>1</v>
      </c>
      <c r="AC373" s="45">
        <f t="shared" si="56"/>
        <v>1</v>
      </c>
      <c r="AD373" s="45">
        <f t="shared" si="57"/>
        <v>1</v>
      </c>
      <c r="AE373" s="45">
        <f t="shared" si="58"/>
        <v>0.90432756805572401</v>
      </c>
      <c r="AF373" s="45">
        <f t="shared" si="59"/>
        <v>1</v>
      </c>
      <c r="AG373" s="45">
        <f t="shared" si="60"/>
        <v>1</v>
      </c>
      <c r="AH373" s="45">
        <f t="shared" si="61"/>
        <v>1</v>
      </c>
      <c r="AI373" s="45">
        <f t="shared" si="62"/>
        <v>1</v>
      </c>
      <c r="AJ373" s="45">
        <f t="shared" si="63"/>
        <v>1</v>
      </c>
      <c r="AK373" s="45">
        <f t="shared" si="64"/>
        <v>1</v>
      </c>
      <c r="AL373" s="45">
        <f t="shared" si="65"/>
        <v>1</v>
      </c>
      <c r="AM373" s="45">
        <f t="shared" si="66"/>
        <v>1</v>
      </c>
      <c r="AN373" s="45">
        <f t="shared" si="67"/>
        <v>0.96875191381551207</v>
      </c>
      <c r="AS373" s="50" cm="1">
        <f t="array" ref="AS373">SUMPRODUCT(($V373:$AN373&lt;=$I88)*(1))/COUNT($V373:$AN373)</f>
        <v>0.10526315789473684</v>
      </c>
      <c r="AT373" s="50" cm="1">
        <f t="array" ref="AT373">SUMPRODUCT(($V373:$AN373&lt;=$J88)*(1))/COUNT($V373:$AN373)</f>
        <v>0</v>
      </c>
      <c r="AU373" s="50" cm="1">
        <f t="array" ref="AU373">SUMPRODUCT(($V373:$AN373&lt;=$K88)*(1))/COUNT($V373:$AN373)</f>
        <v>0</v>
      </c>
      <c r="AW373" s="52" cm="1">
        <f t="array" ref="AW373">SUMPRODUCT(($V373:$AN373&lt;=$I88)*(1))</f>
        <v>2</v>
      </c>
      <c r="AX373" s="52" cm="1">
        <f t="array" ref="AX373">SUMPRODUCT(($V373:$AN373&lt;=$J88)*(1))</f>
        <v>0</v>
      </c>
      <c r="AY373" s="52" cm="1">
        <f t="array" ref="AY373">SUMPRODUCT(($V373:$AN373&lt;=$K88)*(1))</f>
        <v>0</v>
      </c>
      <c r="BA373" s="52">
        <f t="shared" si="71"/>
        <v>2</v>
      </c>
      <c r="BB373" s="52">
        <f t="shared" si="72"/>
        <v>0</v>
      </c>
      <c r="BC373" s="52">
        <f t="shared" si="73"/>
        <v>0</v>
      </c>
      <c r="BE373" s="50">
        <f t="shared" si="68"/>
        <v>0.10526315789473684</v>
      </c>
      <c r="BF373" s="50">
        <f t="shared" si="69"/>
        <v>0</v>
      </c>
      <c r="BG373" s="50">
        <f t="shared" si="70"/>
        <v>0</v>
      </c>
    </row>
    <row r="374" spans="4:59" ht="15.6">
      <c r="D374" s="44"/>
      <c r="M374" s="42"/>
      <c r="N374" s="39" t="s">
        <v>26</v>
      </c>
      <c r="O374" s="39" t="s">
        <v>475</v>
      </c>
      <c r="P374" s="89" t="s">
        <v>477</v>
      </c>
      <c r="R374" s="41"/>
      <c r="S374" s="42"/>
      <c r="T374" s="42"/>
      <c r="U374" s="42"/>
      <c r="V374" s="45">
        <f t="shared" si="49"/>
        <v>1</v>
      </c>
      <c r="W374" s="45">
        <f t="shared" si="50"/>
        <v>0.97085663681574996</v>
      </c>
      <c r="X374" s="45">
        <f t="shared" si="51"/>
        <v>1.0273125489009296</v>
      </c>
      <c r="Y374" s="45">
        <f t="shared" si="52"/>
        <v>1.0273125489009296</v>
      </c>
      <c r="Z374" s="45">
        <f t="shared" si="53"/>
        <v>1</v>
      </c>
      <c r="AA374" s="45">
        <f t="shared" si="54"/>
        <v>1</v>
      </c>
      <c r="AB374" s="45">
        <f t="shared" si="55"/>
        <v>1</v>
      </c>
      <c r="AC374" s="45">
        <f t="shared" si="56"/>
        <v>0.99914305340478404</v>
      </c>
      <c r="AD374" s="45">
        <f t="shared" si="57"/>
        <v>1</v>
      </c>
      <c r="AE374" s="45">
        <f t="shared" si="58"/>
        <v>0.92676116479826698</v>
      </c>
      <c r="AF374" s="45">
        <f t="shared" si="59"/>
        <v>0.98737489546800006</v>
      </c>
      <c r="AG374" s="45">
        <f t="shared" si="60"/>
        <v>0.99494882822734843</v>
      </c>
      <c r="AH374" s="45">
        <f t="shared" si="61"/>
        <v>0.99825975833124536</v>
      </c>
      <c r="AI374" s="45">
        <f t="shared" si="62"/>
        <v>1.0076924799572227</v>
      </c>
      <c r="AJ374" s="45">
        <f t="shared" si="63"/>
        <v>1.0076924799572227</v>
      </c>
      <c r="AK374" s="45">
        <f t="shared" si="64"/>
        <v>1.0059388515143104</v>
      </c>
      <c r="AL374" s="45">
        <f t="shared" si="65"/>
        <v>1</v>
      </c>
      <c r="AM374" s="45">
        <f t="shared" si="66"/>
        <v>1</v>
      </c>
      <c r="AN374" s="45">
        <f t="shared" si="67"/>
        <v>0.91931686304521998</v>
      </c>
      <c r="AS374" s="50" cm="1">
        <f t="array" ref="AS374">SUMPRODUCT(($V374:$AN374&lt;=$I89)*(1))/COUNT($V374:$AN374)</f>
        <v>0.10526315789473684</v>
      </c>
      <c r="AT374" s="50" cm="1">
        <f t="array" ref="AT374">SUMPRODUCT(($V374:$AN374&lt;=$J89)*(1))/COUNT($V374:$AN374)</f>
        <v>0</v>
      </c>
      <c r="AU374" s="50" cm="1">
        <f t="array" ref="AU374">SUMPRODUCT(($V374:$AN374&lt;=$K89)*(1))/COUNT($V374:$AN374)</f>
        <v>0</v>
      </c>
      <c r="AW374" s="52" cm="1">
        <f t="array" ref="AW374">SUMPRODUCT(($V374:$AN374&lt;=$I89)*(1))</f>
        <v>2</v>
      </c>
      <c r="AX374" s="52" cm="1">
        <f t="array" ref="AX374">SUMPRODUCT(($V374:$AN374&lt;=$J89)*(1))</f>
        <v>0</v>
      </c>
      <c r="AY374" s="52" cm="1">
        <f t="array" ref="AY374">SUMPRODUCT(($V374:$AN374&lt;=$K89)*(1))</f>
        <v>0</v>
      </c>
      <c r="BA374" s="52">
        <f t="shared" si="71"/>
        <v>2</v>
      </c>
      <c r="BB374" s="52">
        <f t="shared" si="72"/>
        <v>0</v>
      </c>
      <c r="BC374" s="52">
        <f t="shared" si="73"/>
        <v>0</v>
      </c>
      <c r="BE374" s="50">
        <f t="shared" si="68"/>
        <v>0.10526315789473684</v>
      </c>
      <c r="BF374" s="50">
        <f t="shared" si="69"/>
        <v>0</v>
      </c>
      <c r="BG374" s="50">
        <f t="shared" si="70"/>
        <v>0</v>
      </c>
    </row>
    <row r="375" spans="4:59" ht="15.6">
      <c r="D375" s="44"/>
      <c r="M375" s="42"/>
      <c r="N375" s="39" t="s">
        <v>26</v>
      </c>
      <c r="O375" s="39" t="s">
        <v>429</v>
      </c>
      <c r="P375" t="s">
        <v>698</v>
      </c>
      <c r="R375" s="41"/>
      <c r="S375" s="42"/>
      <c r="T375" s="42"/>
      <c r="U375" s="42"/>
      <c r="V375" s="45">
        <f t="shared" si="49"/>
        <v>1</v>
      </c>
      <c r="W375" s="45">
        <f t="shared" si="50"/>
        <v>1</v>
      </c>
      <c r="X375" s="45">
        <f t="shared" si="51"/>
        <v>1</v>
      </c>
      <c r="Y375" s="45">
        <f t="shared" si="52"/>
        <v>1</v>
      </c>
      <c r="Z375" s="45">
        <f t="shared" si="53"/>
        <v>1</v>
      </c>
      <c r="AA375" s="45">
        <f t="shared" si="54"/>
        <v>1</v>
      </c>
      <c r="AB375" s="45">
        <f t="shared" si="55"/>
        <v>1</v>
      </c>
      <c r="AC375" s="45">
        <f t="shared" si="56"/>
        <v>1</v>
      </c>
      <c r="AD375" s="45">
        <f t="shared" si="57"/>
        <v>1</v>
      </c>
      <c r="AE375" s="45">
        <f t="shared" si="58"/>
        <v>0.99980934928324006</v>
      </c>
      <c r="AF375" s="45">
        <f t="shared" si="59"/>
        <v>1</v>
      </c>
      <c r="AG375" s="45">
        <f t="shared" si="60"/>
        <v>1</v>
      </c>
      <c r="AH375" s="45">
        <f t="shared" si="61"/>
        <v>1</v>
      </c>
      <c r="AI375" s="45">
        <f t="shared" si="62"/>
        <v>1</v>
      </c>
      <c r="AJ375" s="45">
        <f t="shared" si="63"/>
        <v>1</v>
      </c>
      <c r="AK375" s="45">
        <f t="shared" si="64"/>
        <v>1</v>
      </c>
      <c r="AL375" s="45">
        <f t="shared" si="65"/>
        <v>1</v>
      </c>
      <c r="AM375" s="45">
        <f t="shared" si="66"/>
        <v>1</v>
      </c>
      <c r="AN375" s="45">
        <f t="shared" si="67"/>
        <v>1</v>
      </c>
      <c r="AS375" s="50" cm="1">
        <f t="array" ref="AS375">SUMPRODUCT(($V375:$AN375&lt;=$I90)*(1))/COUNT($V375:$AN375)</f>
        <v>0</v>
      </c>
      <c r="AT375" s="50" cm="1">
        <f t="array" ref="AT375">SUMPRODUCT(($V375:$AN375&lt;=$J90)*(1))/COUNT($V375:$AN375)</f>
        <v>0</v>
      </c>
      <c r="AU375" s="50" cm="1">
        <f t="array" ref="AU375">SUMPRODUCT(($V375:$AN375&lt;=$K90)*(1))/COUNT($V375:$AN375)</f>
        <v>0</v>
      </c>
      <c r="AW375" s="52" cm="1">
        <f t="array" ref="AW375">SUMPRODUCT(($V375:$AN375&lt;=$I90)*(1))</f>
        <v>0</v>
      </c>
      <c r="AX375" s="52" cm="1">
        <f t="array" ref="AX375">SUMPRODUCT(($V375:$AN375&lt;=$J90)*(1))</f>
        <v>0</v>
      </c>
      <c r="AY375" s="52" cm="1">
        <f t="array" ref="AY375">SUMPRODUCT(($V375:$AN375&lt;=$K90)*(1))</f>
        <v>0</v>
      </c>
      <c r="BA375" s="52">
        <f t="shared" si="71"/>
        <v>0</v>
      </c>
      <c r="BB375" s="52">
        <f t="shared" si="72"/>
        <v>0</v>
      </c>
      <c r="BC375" s="52">
        <f t="shared" si="73"/>
        <v>0</v>
      </c>
      <c r="BE375" s="50">
        <f t="shared" si="68"/>
        <v>0</v>
      </c>
      <c r="BF375" s="50">
        <f t="shared" si="69"/>
        <v>0</v>
      </c>
      <c r="BG375" s="50">
        <f t="shared" si="70"/>
        <v>0</v>
      </c>
    </row>
    <row r="376" spans="4:59" ht="15.6">
      <c r="D376" s="44"/>
      <c r="M376" s="42"/>
      <c r="N376" s="39" t="s">
        <v>26</v>
      </c>
      <c r="O376" s="39" t="s">
        <v>240</v>
      </c>
      <c r="P376" t="s">
        <v>699</v>
      </c>
      <c r="R376" s="41"/>
      <c r="S376" s="42"/>
      <c r="T376" s="42"/>
      <c r="U376" s="42"/>
      <c r="V376" s="45">
        <f t="shared" si="49"/>
        <v>1</v>
      </c>
      <c r="W376" s="45">
        <f t="shared" si="50"/>
        <v>0.99982810338444095</v>
      </c>
      <c r="X376" s="45">
        <f t="shared" si="51"/>
        <v>1</v>
      </c>
      <c r="Y376" s="45">
        <f t="shared" si="52"/>
        <v>1</v>
      </c>
      <c r="Z376" s="45">
        <f t="shared" si="53"/>
        <v>1</v>
      </c>
      <c r="AA376" s="45">
        <f t="shared" si="54"/>
        <v>1</v>
      </c>
      <c r="AB376" s="45">
        <f t="shared" si="55"/>
        <v>1</v>
      </c>
      <c r="AC376" s="45">
        <f t="shared" si="56"/>
        <v>1</v>
      </c>
      <c r="AD376" s="45">
        <f t="shared" si="57"/>
        <v>1</v>
      </c>
      <c r="AE376" s="45">
        <f t="shared" si="58"/>
        <v>0.98932952683136799</v>
      </c>
      <c r="AF376" s="45">
        <f t="shared" si="59"/>
        <v>1</v>
      </c>
      <c r="AG376" s="45">
        <f t="shared" si="60"/>
        <v>1</v>
      </c>
      <c r="AH376" s="45">
        <f t="shared" si="61"/>
        <v>1</v>
      </c>
      <c r="AI376" s="45">
        <f t="shared" si="62"/>
        <v>1</v>
      </c>
      <c r="AJ376" s="45">
        <f t="shared" si="63"/>
        <v>1</v>
      </c>
      <c r="AK376" s="45">
        <f t="shared" si="64"/>
        <v>1</v>
      </c>
      <c r="AL376" s="45">
        <f t="shared" si="65"/>
        <v>1</v>
      </c>
      <c r="AM376" s="45">
        <f t="shared" si="66"/>
        <v>1</v>
      </c>
      <c r="AN376" s="45">
        <f t="shared" si="67"/>
        <v>1</v>
      </c>
      <c r="AS376" s="50" cm="1">
        <f t="array" ref="AS376">SUMPRODUCT(($V376:$AN376&lt;=$I91)*(1))/COUNT($V376:$AN376)</f>
        <v>0</v>
      </c>
      <c r="AT376" s="50" cm="1">
        <f t="array" ref="AT376">SUMPRODUCT(($V376:$AN376&lt;=$J91)*(1))/COUNT($V376:$AN376)</f>
        <v>0</v>
      </c>
      <c r="AU376" s="50" cm="1">
        <f t="array" ref="AU376">SUMPRODUCT(($V376:$AN376&lt;=$K91)*(1))/COUNT($V376:$AN376)</f>
        <v>0</v>
      </c>
      <c r="AW376" s="52" cm="1">
        <f t="array" ref="AW376">SUMPRODUCT(($V376:$AN376&lt;=$I91)*(1))</f>
        <v>0</v>
      </c>
      <c r="AX376" s="52" cm="1">
        <f t="array" ref="AX376">SUMPRODUCT(($V376:$AN376&lt;=$J91)*(1))</f>
        <v>0</v>
      </c>
      <c r="AY376" s="52" cm="1">
        <f t="array" ref="AY376">SUMPRODUCT(($V376:$AN376&lt;=$K91)*(1))</f>
        <v>0</v>
      </c>
      <c r="BA376" s="52">
        <f t="shared" si="71"/>
        <v>0</v>
      </c>
      <c r="BB376" s="52">
        <f t="shared" si="72"/>
        <v>0</v>
      </c>
      <c r="BC376" s="52">
        <f t="shared" si="73"/>
        <v>0</v>
      </c>
      <c r="BE376" s="50">
        <f t="shared" si="68"/>
        <v>0</v>
      </c>
      <c r="BF376" s="50">
        <f t="shared" si="69"/>
        <v>0</v>
      </c>
      <c r="BG376" s="50">
        <f t="shared" si="70"/>
        <v>0</v>
      </c>
    </row>
    <row r="377" spans="4:59" ht="15.6">
      <c r="D377" s="44"/>
      <c r="M377" s="42"/>
      <c r="N377" s="39" t="s">
        <v>26</v>
      </c>
      <c r="O377" s="39" t="s">
        <v>273</v>
      </c>
      <c r="P377" s="89" t="s">
        <v>277</v>
      </c>
      <c r="R377" s="41"/>
      <c r="S377" s="42"/>
      <c r="T377" s="42"/>
      <c r="U377" s="42"/>
      <c r="V377" s="45">
        <f t="shared" si="49"/>
        <v>1.0041025223077908</v>
      </c>
      <c r="W377" s="45">
        <f t="shared" si="50"/>
        <v>0.83218762855133876</v>
      </c>
      <c r="X377" s="45">
        <f t="shared" si="51"/>
        <v>0.95822720223419544</v>
      </c>
      <c r="Y377" s="45">
        <f t="shared" si="52"/>
        <v>1.0218528525798942</v>
      </c>
      <c r="Z377" s="45">
        <f t="shared" si="53"/>
        <v>0.96669169849024705</v>
      </c>
      <c r="AA377" s="45">
        <f t="shared" si="54"/>
        <v>1.0184227275937532</v>
      </c>
      <c r="AB377" s="45">
        <f t="shared" si="55"/>
        <v>1.0526778352161521</v>
      </c>
      <c r="AC377" s="45">
        <f t="shared" si="56"/>
        <v>1.0336354508734642</v>
      </c>
      <c r="AD377" s="45">
        <f t="shared" si="57"/>
        <v>1</v>
      </c>
      <c r="AE377" s="45">
        <f t="shared" si="58"/>
        <v>0.81144880852697299</v>
      </c>
      <c r="AF377" s="45">
        <f t="shared" si="59"/>
        <v>0.87562747474105707</v>
      </c>
      <c r="AG377" s="45">
        <f t="shared" si="60"/>
        <v>0.99516998486084707</v>
      </c>
      <c r="AH377" s="45">
        <f t="shared" si="61"/>
        <v>1.0040695212986828</v>
      </c>
      <c r="AI377" s="45">
        <f t="shared" si="62"/>
        <v>0.81750302432742583</v>
      </c>
      <c r="AJ377" s="45">
        <f t="shared" si="63"/>
        <v>1.1349606475333454</v>
      </c>
      <c r="AK377" s="45">
        <f t="shared" si="64"/>
        <v>0.99332561940787178</v>
      </c>
      <c r="AL377" s="45">
        <f t="shared" si="65"/>
        <v>1.0062359199763204</v>
      </c>
      <c r="AM377" s="45">
        <f t="shared" si="66"/>
        <v>1.0062359199763204</v>
      </c>
      <c r="AN377" s="45">
        <f t="shared" si="67"/>
        <v>0.98083759665623615</v>
      </c>
      <c r="AS377" s="50" cm="1">
        <f t="array" ref="AS377">SUMPRODUCT(($V377:$AN377&lt;=$I92)*(1))/COUNT($V377:$AN377)</f>
        <v>0.21052631578947367</v>
      </c>
      <c r="AT377" s="50" cm="1">
        <f t="array" ref="AT377">SUMPRODUCT(($V377:$AN377&lt;=$J92)*(1))/COUNT($V377:$AN377)</f>
        <v>0.15789473684210525</v>
      </c>
      <c r="AU377" s="50" cm="1">
        <f t="array" ref="AU377">SUMPRODUCT(($V377:$AN377&lt;=$K92)*(1))/COUNT($V377:$AN377)</f>
        <v>0</v>
      </c>
      <c r="AW377" s="52" cm="1">
        <f t="array" ref="AW377">SUMPRODUCT(($V377:$AN377&lt;=$I92)*(1))</f>
        <v>4</v>
      </c>
      <c r="AX377" s="52" cm="1">
        <f t="array" ref="AX377">SUMPRODUCT(($V377:$AN377&lt;=$J92)*(1))</f>
        <v>3</v>
      </c>
      <c r="AY377" s="52" cm="1">
        <f t="array" ref="AY377">SUMPRODUCT(($V377:$AN377&lt;=$K92)*(1))</f>
        <v>0</v>
      </c>
      <c r="BA377" s="52">
        <f t="shared" si="71"/>
        <v>1</v>
      </c>
      <c r="BB377" s="52">
        <f t="shared" si="72"/>
        <v>3</v>
      </c>
      <c r="BC377" s="52">
        <f t="shared" si="73"/>
        <v>0</v>
      </c>
      <c r="BE377" s="50">
        <f t="shared" si="68"/>
        <v>5.2631578947368418E-2</v>
      </c>
      <c r="BF377" s="50">
        <f t="shared" si="69"/>
        <v>0.15789473684210525</v>
      </c>
      <c r="BG377" s="50">
        <f t="shared" si="70"/>
        <v>0</v>
      </c>
    </row>
    <row r="378" spans="4:59" ht="15.6">
      <c r="D378" s="44"/>
      <c r="M378" s="42"/>
      <c r="N378" s="39" t="s">
        <v>26</v>
      </c>
      <c r="O378" s="39" t="s">
        <v>498</v>
      </c>
      <c r="P378" s="90" t="s">
        <v>504</v>
      </c>
      <c r="R378" s="41"/>
      <c r="S378" s="42"/>
      <c r="T378" s="42"/>
      <c r="U378" s="42"/>
      <c r="V378" s="45">
        <f t="shared" si="49"/>
        <v>1</v>
      </c>
      <c r="W378" s="45">
        <f t="shared" si="50"/>
        <v>1</v>
      </c>
      <c r="X378" s="45">
        <f t="shared" si="51"/>
        <v>1</v>
      </c>
      <c r="Y378" s="45">
        <f t="shared" si="52"/>
        <v>1</v>
      </c>
      <c r="Z378" s="45">
        <f t="shared" si="53"/>
        <v>1</v>
      </c>
      <c r="AA378" s="45">
        <f t="shared" si="54"/>
        <v>1</v>
      </c>
      <c r="AB378" s="45">
        <f t="shared" si="55"/>
        <v>1</v>
      </c>
      <c r="AC378" s="45">
        <f t="shared" si="56"/>
        <v>1</v>
      </c>
      <c r="AD378" s="45">
        <f t="shared" si="57"/>
        <v>1</v>
      </c>
      <c r="AE378" s="45">
        <f t="shared" si="58"/>
        <v>0.99398696638230311</v>
      </c>
      <c r="AF378" s="45">
        <f t="shared" si="59"/>
        <v>1</v>
      </c>
      <c r="AG378" s="45">
        <f t="shared" si="60"/>
        <v>1</v>
      </c>
      <c r="AH378" s="45">
        <f t="shared" si="61"/>
        <v>1</v>
      </c>
      <c r="AI378" s="45">
        <f t="shared" si="62"/>
        <v>1</v>
      </c>
      <c r="AJ378" s="45">
        <f t="shared" si="63"/>
        <v>1</v>
      </c>
      <c r="AK378" s="45">
        <f t="shared" si="64"/>
        <v>1</v>
      </c>
      <c r="AL378" s="45">
        <f t="shared" si="65"/>
        <v>1</v>
      </c>
      <c r="AM378" s="45">
        <f t="shared" si="66"/>
        <v>1</v>
      </c>
      <c r="AN378" s="45">
        <f t="shared" si="67"/>
        <v>0.994552499141932</v>
      </c>
      <c r="AS378" s="50" cm="1">
        <f t="array" ref="AS378">SUMPRODUCT(($V378:$AN378&lt;=$I93)*(1))/COUNT($V378:$AN378)</f>
        <v>0</v>
      </c>
      <c r="AT378" s="50" cm="1">
        <f t="array" ref="AT378">SUMPRODUCT(($V378:$AN378&lt;=$J93)*(1))/COUNT($V378:$AN378)</f>
        <v>0</v>
      </c>
      <c r="AU378" s="50" cm="1">
        <f t="array" ref="AU378">SUMPRODUCT(($V378:$AN378&lt;=$K93)*(1))/COUNT($V378:$AN378)</f>
        <v>0</v>
      </c>
      <c r="AW378" s="52" cm="1">
        <f t="array" ref="AW378">SUMPRODUCT(($V378:$AN378&lt;=$I93)*(1))</f>
        <v>0</v>
      </c>
      <c r="AX378" s="52" cm="1">
        <f t="array" ref="AX378">SUMPRODUCT(($V378:$AN378&lt;=$J93)*(1))</f>
        <v>0</v>
      </c>
      <c r="AY378" s="52" cm="1">
        <f t="array" ref="AY378">SUMPRODUCT(($V378:$AN378&lt;=$K93)*(1))</f>
        <v>0</v>
      </c>
      <c r="BA378" s="52">
        <f t="shared" si="71"/>
        <v>0</v>
      </c>
      <c r="BB378" s="52">
        <f t="shared" si="72"/>
        <v>0</v>
      </c>
      <c r="BC378" s="52">
        <f t="shared" si="73"/>
        <v>0</v>
      </c>
      <c r="BE378" s="50">
        <f t="shared" si="68"/>
        <v>0</v>
      </c>
      <c r="BF378" s="50">
        <f t="shared" si="69"/>
        <v>0</v>
      </c>
      <c r="BG378" s="50">
        <f t="shared" si="70"/>
        <v>0</v>
      </c>
    </row>
    <row r="379" spans="4:59" ht="15.6">
      <c r="D379" s="44"/>
      <c r="M379" s="42"/>
      <c r="N379" s="39" t="s">
        <v>26</v>
      </c>
      <c r="O379" s="39" t="s">
        <v>262</v>
      </c>
      <c r="P379" t="s">
        <v>700</v>
      </c>
      <c r="R379" s="41"/>
      <c r="S379" s="42"/>
      <c r="T379" s="42"/>
      <c r="U379" s="42"/>
      <c r="V379" s="45">
        <f t="shared" si="49"/>
        <v>1</v>
      </c>
      <c r="W379" s="45">
        <f t="shared" si="50"/>
        <v>1</v>
      </c>
      <c r="X379" s="45">
        <f t="shared" si="51"/>
        <v>1</v>
      </c>
      <c r="Y379" s="45">
        <f t="shared" si="52"/>
        <v>1</v>
      </c>
      <c r="Z379" s="45">
        <f t="shared" si="53"/>
        <v>1</v>
      </c>
      <c r="AA379" s="45">
        <f t="shared" si="54"/>
        <v>1</v>
      </c>
      <c r="AB379" s="45">
        <f t="shared" si="55"/>
        <v>1</v>
      </c>
      <c r="AC379" s="45">
        <f t="shared" si="56"/>
        <v>1</v>
      </c>
      <c r="AD379" s="45">
        <f t="shared" si="57"/>
        <v>1</v>
      </c>
      <c r="AE379" s="45">
        <f t="shared" si="58"/>
        <v>0.98876758717209901</v>
      </c>
      <c r="AF379" s="45">
        <f t="shared" si="59"/>
        <v>1</v>
      </c>
      <c r="AG379" s="45">
        <f t="shared" si="60"/>
        <v>1</v>
      </c>
      <c r="AH379" s="45">
        <f t="shared" si="61"/>
        <v>1</v>
      </c>
      <c r="AI379" s="45">
        <f t="shared" si="62"/>
        <v>1</v>
      </c>
      <c r="AJ379" s="45">
        <f t="shared" si="63"/>
        <v>1</v>
      </c>
      <c r="AK379" s="45">
        <f t="shared" si="64"/>
        <v>1</v>
      </c>
      <c r="AL379" s="45">
        <f t="shared" si="65"/>
        <v>1</v>
      </c>
      <c r="AM379" s="45">
        <f t="shared" si="66"/>
        <v>1</v>
      </c>
      <c r="AN379" s="45">
        <f t="shared" si="67"/>
        <v>0.99974539178715904</v>
      </c>
      <c r="AS379" s="50" cm="1">
        <f t="array" ref="AS379">SUMPRODUCT(($V379:$AN379&lt;=$I94)*(1))/COUNT($V379:$AN379)</f>
        <v>0</v>
      </c>
      <c r="AT379" s="50" cm="1">
        <f t="array" ref="AT379">SUMPRODUCT(($V379:$AN379&lt;=$J94)*(1))/COUNT($V379:$AN379)</f>
        <v>0</v>
      </c>
      <c r="AU379" s="50" cm="1">
        <f t="array" ref="AU379">SUMPRODUCT(($V379:$AN379&lt;=$K94)*(1))/COUNT($V379:$AN379)</f>
        <v>0</v>
      </c>
      <c r="AW379" s="52" cm="1">
        <f t="array" ref="AW379">SUMPRODUCT(($V379:$AN379&lt;=$I94)*(1))</f>
        <v>0</v>
      </c>
      <c r="AX379" s="52" cm="1">
        <f t="array" ref="AX379">SUMPRODUCT(($V379:$AN379&lt;=$J94)*(1))</f>
        <v>0</v>
      </c>
      <c r="AY379" s="52" cm="1">
        <f t="array" ref="AY379">SUMPRODUCT(($V379:$AN379&lt;=$K94)*(1))</f>
        <v>0</v>
      </c>
      <c r="BA379" s="52">
        <f t="shared" si="71"/>
        <v>0</v>
      </c>
      <c r="BB379" s="52">
        <f t="shared" si="72"/>
        <v>0</v>
      </c>
      <c r="BC379" s="52">
        <f t="shared" si="73"/>
        <v>0</v>
      </c>
      <c r="BE379" s="50">
        <f t="shared" si="68"/>
        <v>0</v>
      </c>
      <c r="BF379" s="50">
        <f t="shared" si="69"/>
        <v>0</v>
      </c>
      <c r="BG379" s="50">
        <f t="shared" si="70"/>
        <v>0</v>
      </c>
    </row>
    <row r="380" spans="4:59" ht="15.6">
      <c r="D380" s="44"/>
      <c r="M380" s="42"/>
      <c r="N380" s="39" t="s">
        <v>26</v>
      </c>
      <c r="O380" s="39" t="s">
        <v>257</v>
      </c>
      <c r="P380" t="s">
        <v>261</v>
      </c>
      <c r="R380" s="41"/>
      <c r="S380" s="42"/>
      <c r="T380" s="42"/>
      <c r="U380" s="42"/>
      <c r="V380" s="45">
        <f t="shared" si="49"/>
        <v>1</v>
      </c>
      <c r="W380" s="45">
        <f t="shared" si="50"/>
        <v>0.99875994545229996</v>
      </c>
      <c r="X380" s="45">
        <f t="shared" si="51"/>
        <v>1</v>
      </c>
      <c r="Y380" s="45">
        <f t="shared" si="52"/>
        <v>1</v>
      </c>
      <c r="Z380" s="45">
        <f t="shared" si="53"/>
        <v>1</v>
      </c>
      <c r="AA380" s="45">
        <f t="shared" si="54"/>
        <v>1</v>
      </c>
      <c r="AB380" s="45">
        <f t="shared" si="55"/>
        <v>1</v>
      </c>
      <c r="AC380" s="45">
        <f t="shared" si="56"/>
        <v>1</v>
      </c>
      <c r="AD380" s="45">
        <f t="shared" si="57"/>
        <v>1</v>
      </c>
      <c r="AE380" s="45">
        <f t="shared" si="58"/>
        <v>0.96728865681245002</v>
      </c>
      <c r="AF380" s="45">
        <f t="shared" si="59"/>
        <v>1</v>
      </c>
      <c r="AG380" s="45">
        <f t="shared" si="60"/>
        <v>1</v>
      </c>
      <c r="AH380" s="45">
        <f t="shared" si="61"/>
        <v>1</v>
      </c>
      <c r="AI380" s="45">
        <f t="shared" si="62"/>
        <v>1</v>
      </c>
      <c r="AJ380" s="45">
        <f t="shared" si="63"/>
        <v>1</v>
      </c>
      <c r="AK380" s="45">
        <f t="shared" si="64"/>
        <v>1</v>
      </c>
      <c r="AL380" s="45">
        <f t="shared" si="65"/>
        <v>1</v>
      </c>
      <c r="AM380" s="45">
        <f t="shared" si="66"/>
        <v>1</v>
      </c>
      <c r="AN380" s="45">
        <f t="shared" si="67"/>
        <v>1</v>
      </c>
      <c r="AS380" s="50" cm="1">
        <f t="array" ref="AS380">SUMPRODUCT(($V380:$AN380&lt;=$I95)*(1))/COUNT($V380:$AN380)</f>
        <v>0</v>
      </c>
      <c r="AT380" s="50" cm="1">
        <f t="array" ref="AT380">SUMPRODUCT(($V380:$AN380&lt;=$J95)*(1))/COUNT($V380:$AN380)</f>
        <v>0</v>
      </c>
      <c r="AU380" s="50" cm="1">
        <f t="array" ref="AU380">SUMPRODUCT(($V380:$AN380&lt;=$K95)*(1))/COUNT($V380:$AN380)</f>
        <v>0</v>
      </c>
      <c r="AW380" s="52" cm="1">
        <f t="array" ref="AW380">SUMPRODUCT(($V380:$AN380&lt;=$I95)*(1))</f>
        <v>0</v>
      </c>
      <c r="AX380" s="52" cm="1">
        <f t="array" ref="AX380">SUMPRODUCT(($V380:$AN380&lt;=$J95)*(1))</f>
        <v>0</v>
      </c>
      <c r="AY380" s="52" cm="1">
        <f t="array" ref="AY380">SUMPRODUCT(($V380:$AN380&lt;=$K95)*(1))</f>
        <v>0</v>
      </c>
      <c r="BA380" s="52">
        <f t="shared" si="71"/>
        <v>0</v>
      </c>
      <c r="BB380" s="52">
        <f t="shared" si="72"/>
        <v>0</v>
      </c>
      <c r="BC380" s="52">
        <f t="shared" si="73"/>
        <v>0</v>
      </c>
      <c r="BE380" s="50">
        <f t="shared" si="68"/>
        <v>0</v>
      </c>
      <c r="BF380" s="50">
        <f t="shared" si="69"/>
        <v>0</v>
      </c>
      <c r="BG380" s="50">
        <f t="shared" si="70"/>
        <v>0</v>
      </c>
    </row>
    <row r="381" spans="4:59" ht="15.6">
      <c r="D381" s="44"/>
      <c r="M381" s="42"/>
      <c r="N381" s="39" t="s">
        <v>26</v>
      </c>
      <c r="O381" s="39" t="s">
        <v>248</v>
      </c>
      <c r="P381" t="s">
        <v>701</v>
      </c>
      <c r="R381" s="41"/>
      <c r="S381" s="42"/>
      <c r="T381" s="42"/>
      <c r="U381" s="42"/>
      <c r="V381" s="45">
        <f t="shared" si="49"/>
        <v>1.0016220967640272</v>
      </c>
      <c r="W381" s="45">
        <f t="shared" si="50"/>
        <v>0.91046154067514196</v>
      </c>
      <c r="X381" s="45">
        <f t="shared" si="51"/>
        <v>1.012927583385639</v>
      </c>
      <c r="Y381" s="45">
        <f t="shared" si="52"/>
        <v>1.012927583385639</v>
      </c>
      <c r="Z381" s="45">
        <f t="shared" si="53"/>
        <v>0.99960239798175299</v>
      </c>
      <c r="AA381" s="45">
        <f t="shared" si="54"/>
        <v>0.999478225819601</v>
      </c>
      <c r="AB381" s="45">
        <f t="shared" si="55"/>
        <v>1.0003977601684928</v>
      </c>
      <c r="AC381" s="45">
        <f t="shared" si="56"/>
        <v>0.99944488398014497</v>
      </c>
      <c r="AD381" s="45">
        <f t="shared" si="57"/>
        <v>1.0003977601684928</v>
      </c>
      <c r="AE381" s="45">
        <f t="shared" si="58"/>
        <v>0.88978736803959035</v>
      </c>
      <c r="AF381" s="45">
        <f t="shared" si="59"/>
        <v>0.9963822683560396</v>
      </c>
      <c r="AG381" s="45">
        <f t="shared" si="60"/>
        <v>1.0005554243448067</v>
      </c>
      <c r="AH381" s="45">
        <f t="shared" si="61"/>
        <v>1.0005554243448067</v>
      </c>
      <c r="AI381" s="45">
        <f t="shared" si="62"/>
        <v>0.99967621267983997</v>
      </c>
      <c r="AJ381" s="45">
        <f t="shared" si="63"/>
        <v>1.000323892192345</v>
      </c>
      <c r="AK381" s="45">
        <f t="shared" si="64"/>
        <v>1</v>
      </c>
      <c r="AL381" s="45">
        <f t="shared" si="65"/>
        <v>1</v>
      </c>
      <c r="AM381" s="45">
        <f t="shared" si="66"/>
        <v>1</v>
      </c>
      <c r="AN381" s="45">
        <f t="shared" si="67"/>
        <v>1</v>
      </c>
      <c r="AS381" s="50" cm="1">
        <f t="array" ref="AS381">SUMPRODUCT(($V381:$AN381&lt;=$I96)*(1))/COUNT($V381:$AN381)</f>
        <v>0.10526315789473684</v>
      </c>
      <c r="AT381" s="50" cm="1">
        <f t="array" ref="AT381">SUMPRODUCT(($V381:$AN381&lt;=$J96)*(1))/COUNT($V381:$AN381)</f>
        <v>0</v>
      </c>
      <c r="AU381" s="50" cm="1">
        <f t="array" ref="AU381">SUMPRODUCT(($V381:$AN381&lt;=$K96)*(1))/COUNT($V381:$AN381)</f>
        <v>0</v>
      </c>
      <c r="AW381" s="52" cm="1">
        <f t="array" ref="AW381">SUMPRODUCT(($V381:$AN381&lt;=$I96)*(1))</f>
        <v>2</v>
      </c>
      <c r="AX381" s="52" cm="1">
        <f t="array" ref="AX381">SUMPRODUCT(($V381:$AN381&lt;=$J96)*(1))</f>
        <v>0</v>
      </c>
      <c r="AY381" s="52" cm="1">
        <f t="array" ref="AY381">SUMPRODUCT(($V381:$AN381&lt;=$K96)*(1))</f>
        <v>0</v>
      </c>
      <c r="BA381" s="52">
        <f t="shared" si="71"/>
        <v>2</v>
      </c>
      <c r="BB381" s="52">
        <f t="shared" si="72"/>
        <v>0</v>
      </c>
      <c r="BC381" s="52">
        <f t="shared" si="73"/>
        <v>0</v>
      </c>
      <c r="BE381" s="50">
        <f t="shared" si="68"/>
        <v>0.10526315789473684</v>
      </c>
      <c r="BF381" s="50">
        <f t="shared" si="69"/>
        <v>0</v>
      </c>
      <c r="BG381" s="50">
        <f t="shared" si="70"/>
        <v>0</v>
      </c>
    </row>
    <row r="382" spans="4:59" ht="15.6">
      <c r="D382" s="44"/>
      <c r="M382" s="42"/>
      <c r="N382" s="39" t="s">
        <v>26</v>
      </c>
      <c r="O382" s="39" t="s">
        <v>429</v>
      </c>
      <c r="P382" t="s">
        <v>702</v>
      </c>
      <c r="R382" s="41"/>
      <c r="S382" s="42"/>
      <c r="T382" s="42"/>
      <c r="U382" s="42"/>
      <c r="V382" s="45">
        <f t="shared" si="49"/>
        <v>1</v>
      </c>
      <c r="W382" s="45">
        <f t="shared" si="50"/>
        <v>1</v>
      </c>
      <c r="X382" s="45">
        <f t="shared" si="51"/>
        <v>1</v>
      </c>
      <c r="Y382" s="45">
        <f t="shared" si="52"/>
        <v>1</v>
      </c>
      <c r="Z382" s="45">
        <f t="shared" si="53"/>
        <v>1</v>
      </c>
      <c r="AA382" s="45">
        <f t="shared" si="54"/>
        <v>1</v>
      </c>
      <c r="AB382" s="45">
        <f t="shared" si="55"/>
        <v>1</v>
      </c>
      <c r="AC382" s="45">
        <f t="shared" si="56"/>
        <v>1</v>
      </c>
      <c r="AD382" s="45">
        <f t="shared" si="57"/>
        <v>1</v>
      </c>
      <c r="AE382" s="45">
        <f t="shared" si="58"/>
        <v>0.97791203598075693</v>
      </c>
      <c r="AF382" s="45">
        <f t="shared" si="59"/>
        <v>1</v>
      </c>
      <c r="AG382" s="45">
        <f t="shared" si="60"/>
        <v>1</v>
      </c>
      <c r="AH382" s="45">
        <f t="shared" si="61"/>
        <v>1</v>
      </c>
      <c r="AI382" s="45">
        <f t="shared" si="62"/>
        <v>0.99988681442269889</v>
      </c>
      <c r="AJ382" s="45">
        <f t="shared" si="63"/>
        <v>1</v>
      </c>
      <c r="AK382" s="45">
        <f t="shared" si="64"/>
        <v>1</v>
      </c>
      <c r="AL382" s="45">
        <f t="shared" si="65"/>
        <v>1</v>
      </c>
      <c r="AM382" s="45">
        <f t="shared" si="66"/>
        <v>1</v>
      </c>
      <c r="AN382" s="45">
        <f t="shared" si="67"/>
        <v>0.99041725698837302</v>
      </c>
      <c r="AS382" s="50" cm="1">
        <f t="array" ref="AS382">SUMPRODUCT(($V382:$AN382&lt;=$I97)*(1))/COUNT($V382:$AN382)</f>
        <v>0</v>
      </c>
      <c r="AT382" s="50" cm="1">
        <f t="array" ref="AT382">SUMPRODUCT(($V382:$AN382&lt;=$J97)*(1))/COUNT($V382:$AN382)</f>
        <v>0</v>
      </c>
      <c r="AU382" s="50" cm="1">
        <f t="array" ref="AU382">SUMPRODUCT(($V382:$AN382&lt;=$K97)*(1))/COUNT($V382:$AN382)</f>
        <v>0</v>
      </c>
      <c r="AW382" s="52" cm="1">
        <f t="array" ref="AW382">SUMPRODUCT(($V382:$AN382&lt;=$I97)*(1))</f>
        <v>0</v>
      </c>
      <c r="AX382" s="52" cm="1">
        <f t="array" ref="AX382">SUMPRODUCT(($V382:$AN382&lt;=$J97)*(1))</f>
        <v>0</v>
      </c>
      <c r="AY382" s="52" cm="1">
        <f t="array" ref="AY382">SUMPRODUCT(($V382:$AN382&lt;=$K97)*(1))</f>
        <v>0</v>
      </c>
      <c r="BA382" s="52">
        <f t="shared" si="71"/>
        <v>0</v>
      </c>
      <c r="BB382" s="52">
        <f t="shared" si="72"/>
        <v>0</v>
      </c>
      <c r="BC382" s="52">
        <f t="shared" si="73"/>
        <v>0</v>
      </c>
      <c r="BE382" s="50">
        <f t="shared" si="68"/>
        <v>0</v>
      </c>
      <c r="BF382" s="50">
        <f t="shared" si="69"/>
        <v>0</v>
      </c>
      <c r="BG382" s="50">
        <f t="shared" si="70"/>
        <v>0</v>
      </c>
    </row>
    <row r="383" spans="4:59" ht="15.6">
      <c r="D383" s="44"/>
      <c r="M383" s="42"/>
      <c r="N383" s="39" t="s">
        <v>26</v>
      </c>
      <c r="O383" s="39" t="s">
        <v>576</v>
      </c>
      <c r="P383" t="s">
        <v>703</v>
      </c>
      <c r="R383" s="41"/>
      <c r="S383" s="42"/>
      <c r="T383" s="42"/>
      <c r="U383" s="42"/>
      <c r="V383" s="45">
        <f t="shared" si="49"/>
        <v>1</v>
      </c>
      <c r="W383" s="45">
        <f t="shared" si="50"/>
        <v>1</v>
      </c>
      <c r="X383" s="45">
        <f t="shared" si="51"/>
        <v>1</v>
      </c>
      <c r="Y383" s="45">
        <f t="shared" si="52"/>
        <v>1</v>
      </c>
      <c r="Z383" s="45">
        <f t="shared" si="53"/>
        <v>1</v>
      </c>
      <c r="AA383" s="45">
        <f t="shared" si="54"/>
        <v>1</v>
      </c>
      <c r="AB383" s="45">
        <f t="shared" si="55"/>
        <v>1</v>
      </c>
      <c r="AC383" s="45">
        <f t="shared" si="56"/>
        <v>0.98886310892479501</v>
      </c>
      <c r="AD383" s="45">
        <f t="shared" si="57"/>
        <v>1</v>
      </c>
      <c r="AE383" s="45">
        <f t="shared" si="58"/>
        <v>0.86724852290769505</v>
      </c>
      <c r="AF383" s="45">
        <f t="shared" si="59"/>
        <v>1</v>
      </c>
      <c r="AG383" s="45">
        <f t="shared" si="60"/>
        <v>1</v>
      </c>
      <c r="AH383" s="45">
        <f t="shared" si="61"/>
        <v>1</v>
      </c>
      <c r="AI383" s="45">
        <f t="shared" si="62"/>
        <v>1</v>
      </c>
      <c r="AJ383" s="45">
        <f t="shared" si="63"/>
        <v>1</v>
      </c>
      <c r="AK383" s="45">
        <f t="shared" si="64"/>
        <v>1</v>
      </c>
      <c r="AL383" s="45">
        <f t="shared" si="65"/>
        <v>1</v>
      </c>
      <c r="AM383" s="45">
        <f t="shared" si="66"/>
        <v>1</v>
      </c>
      <c r="AN383" s="45">
        <f t="shared" si="67"/>
        <v>1</v>
      </c>
      <c r="AS383" s="50" cm="1">
        <f t="array" ref="AS383">SUMPRODUCT(($V383:$AN383&lt;=$I98)*(1))/COUNT($V383:$AN383)</f>
        <v>5.2631578947368418E-2</v>
      </c>
      <c r="AT383" s="50" cm="1">
        <f t="array" ref="AT383">SUMPRODUCT(($V383:$AN383&lt;=$J98)*(1))/COUNT($V383:$AN383)</f>
        <v>0</v>
      </c>
      <c r="AU383" s="50" cm="1">
        <f t="array" ref="AU383">SUMPRODUCT(($V383:$AN383&lt;=$K98)*(1))/COUNT($V383:$AN383)</f>
        <v>0</v>
      </c>
      <c r="AW383" s="52" cm="1">
        <f t="array" ref="AW383">SUMPRODUCT(($V383:$AN383&lt;=$I98)*(1))</f>
        <v>1</v>
      </c>
      <c r="AX383" s="52" cm="1">
        <f t="array" ref="AX383">SUMPRODUCT(($V383:$AN383&lt;=$J98)*(1))</f>
        <v>0</v>
      </c>
      <c r="AY383" s="52" cm="1">
        <f t="array" ref="AY383">SUMPRODUCT(($V383:$AN383&lt;=$K98)*(1))</f>
        <v>0</v>
      </c>
      <c r="BA383" s="52">
        <f t="shared" si="71"/>
        <v>1</v>
      </c>
      <c r="BB383" s="52">
        <f t="shared" si="72"/>
        <v>0</v>
      </c>
      <c r="BC383" s="52">
        <f t="shared" si="73"/>
        <v>0</v>
      </c>
      <c r="BE383" s="50">
        <f t="shared" si="68"/>
        <v>5.2631578947368418E-2</v>
      </c>
      <c r="BF383" s="50">
        <f t="shared" si="69"/>
        <v>0</v>
      </c>
      <c r="BG383" s="50">
        <f t="shared" si="70"/>
        <v>0</v>
      </c>
    </row>
    <row r="384" spans="4:59" ht="15.6">
      <c r="D384" s="44"/>
      <c r="M384" s="42"/>
      <c r="N384" s="39" t="s">
        <v>26</v>
      </c>
      <c r="O384" s="39" t="s">
        <v>251</v>
      </c>
      <c r="P384" t="s">
        <v>704</v>
      </c>
      <c r="R384" s="41"/>
      <c r="S384" s="42"/>
      <c r="T384" s="42"/>
      <c r="U384" s="42"/>
      <c r="V384" s="45">
        <f t="shared" si="49"/>
        <v>1.0016798686813502</v>
      </c>
      <c r="W384" s="45">
        <f t="shared" si="50"/>
        <v>0.91525981595577788</v>
      </c>
      <c r="X384" s="45">
        <f t="shared" si="51"/>
        <v>1.0203900438929892</v>
      </c>
      <c r="Y384" s="45">
        <f t="shared" si="52"/>
        <v>1.0203900438929892</v>
      </c>
      <c r="Z384" s="45">
        <f t="shared" si="53"/>
        <v>0.99979162327002535</v>
      </c>
      <c r="AA384" s="45">
        <f t="shared" si="54"/>
        <v>1.000098546080961</v>
      </c>
      <c r="AB384" s="45">
        <f t="shared" si="55"/>
        <v>0.99248502980088404</v>
      </c>
      <c r="AC384" s="45">
        <f t="shared" si="56"/>
        <v>1</v>
      </c>
      <c r="AD384" s="45">
        <f t="shared" si="57"/>
        <v>1</v>
      </c>
      <c r="AE384" s="45">
        <f t="shared" si="58"/>
        <v>0.80415207961400104</v>
      </c>
      <c r="AF384" s="45">
        <f t="shared" si="59"/>
        <v>0.87087330561670095</v>
      </c>
      <c r="AG384" s="45">
        <f t="shared" si="60"/>
        <v>1.0075718725960265</v>
      </c>
      <c r="AH384" s="45">
        <f t="shared" si="61"/>
        <v>0.99488182920877311</v>
      </c>
      <c r="AI384" s="45">
        <f t="shared" si="62"/>
        <v>0.99163069903785139</v>
      </c>
      <c r="AJ384" s="45">
        <f t="shared" si="63"/>
        <v>1.0136278578329652</v>
      </c>
      <c r="AK384" s="45">
        <f t="shared" si="64"/>
        <v>0.98570109361921132</v>
      </c>
      <c r="AL384" s="45">
        <f t="shared" si="65"/>
        <v>0.96769555631156901</v>
      </c>
      <c r="AM384" s="45">
        <f t="shared" si="66"/>
        <v>1.0136278578329652</v>
      </c>
      <c r="AN384" s="45">
        <f t="shared" si="67"/>
        <v>0.8477959631221722</v>
      </c>
      <c r="AS384" s="50" cm="1">
        <f t="array" ref="AS384">SUMPRODUCT(($V384:$AN384&lt;=$I99)*(1))/COUNT($V384:$AN384)</f>
        <v>0.21052631578947367</v>
      </c>
      <c r="AT384" s="50" cm="1">
        <f t="array" ref="AT384">SUMPRODUCT(($V384:$AN384&lt;=$J99)*(1))/COUNT($V384:$AN384)</f>
        <v>0.10526315789473684</v>
      </c>
      <c r="AU384" s="50" cm="1">
        <f t="array" ref="AU384">SUMPRODUCT(($V384:$AN384&lt;=$K99)*(1))/COUNT($V384:$AN384)</f>
        <v>0</v>
      </c>
      <c r="AW384" s="52" cm="1">
        <f t="array" ref="AW384">SUMPRODUCT(($V384:$AN384&lt;=$I99)*(1))</f>
        <v>4</v>
      </c>
      <c r="AX384" s="52" cm="1">
        <f t="array" ref="AX384">SUMPRODUCT(($V384:$AN384&lt;=$J99)*(1))</f>
        <v>2</v>
      </c>
      <c r="AY384" s="52" cm="1">
        <f t="array" ref="AY384">SUMPRODUCT(($V384:$AN384&lt;=$K99)*(1))</f>
        <v>0</v>
      </c>
      <c r="BA384" s="52">
        <f t="shared" si="71"/>
        <v>2</v>
      </c>
      <c r="BB384" s="52">
        <f t="shared" si="72"/>
        <v>2</v>
      </c>
      <c r="BC384" s="52">
        <f t="shared" si="73"/>
        <v>0</v>
      </c>
      <c r="BE384" s="50">
        <f t="shared" si="68"/>
        <v>0.10526315789473684</v>
      </c>
      <c r="BF384" s="50">
        <f t="shared" si="69"/>
        <v>0.10526315789473684</v>
      </c>
      <c r="BG384" s="50">
        <f t="shared" si="70"/>
        <v>0</v>
      </c>
    </row>
    <row r="385" spans="4:59" ht="15.6">
      <c r="D385" s="44"/>
      <c r="M385" s="42"/>
      <c r="N385" s="39" t="s">
        <v>26</v>
      </c>
      <c r="O385" s="39" t="s">
        <v>221</v>
      </c>
      <c r="P385" t="s">
        <v>705</v>
      </c>
      <c r="R385" s="41"/>
      <c r="S385" s="42"/>
      <c r="T385" s="42"/>
      <c r="U385" s="42"/>
      <c r="V385" s="45">
        <f t="shared" si="49"/>
        <v>1</v>
      </c>
      <c r="W385" s="45">
        <f t="shared" si="50"/>
        <v>0.89034784749740492</v>
      </c>
      <c r="X385" s="45">
        <f t="shared" si="51"/>
        <v>1</v>
      </c>
      <c r="Y385" s="45">
        <f t="shared" si="52"/>
        <v>0.99180577897092603</v>
      </c>
      <c r="Z385" s="45">
        <f t="shared" si="53"/>
        <v>1.0082619210361692</v>
      </c>
      <c r="AA385" s="45">
        <f t="shared" si="54"/>
        <v>1</v>
      </c>
      <c r="AB385" s="45">
        <f t="shared" si="55"/>
        <v>1</v>
      </c>
      <c r="AC385" s="45">
        <f t="shared" si="56"/>
        <v>1</v>
      </c>
      <c r="AD385" s="45">
        <f t="shared" si="57"/>
        <v>1</v>
      </c>
      <c r="AE385" s="45">
        <f t="shared" si="58"/>
        <v>0.88709969077537498</v>
      </c>
      <c r="AF385" s="45">
        <f t="shared" si="59"/>
        <v>1</v>
      </c>
      <c r="AG385" s="45">
        <f t="shared" si="60"/>
        <v>1</v>
      </c>
      <c r="AH385" s="45">
        <f t="shared" si="61"/>
        <v>1</v>
      </c>
      <c r="AI385" s="45">
        <f t="shared" si="62"/>
        <v>1</v>
      </c>
      <c r="AJ385" s="45">
        <f t="shared" si="63"/>
        <v>1</v>
      </c>
      <c r="AK385" s="45">
        <f t="shared" si="64"/>
        <v>1</v>
      </c>
      <c r="AL385" s="45">
        <f t="shared" si="65"/>
        <v>1</v>
      </c>
      <c r="AM385" s="45">
        <f t="shared" si="66"/>
        <v>1</v>
      </c>
      <c r="AN385" s="45">
        <f t="shared" si="67"/>
        <v>0.95328774923779303</v>
      </c>
      <c r="AS385" s="50" cm="1">
        <f t="array" ref="AS385">SUMPRODUCT(($V385:$AN385&lt;=$I100)*(1))/COUNT($V385:$AN385)</f>
        <v>0.10526315789473684</v>
      </c>
      <c r="AT385" s="50" cm="1">
        <f t="array" ref="AT385">SUMPRODUCT(($V385:$AN385&lt;=$J100)*(1))/COUNT($V385:$AN385)</f>
        <v>0</v>
      </c>
      <c r="AU385" s="50" cm="1">
        <f t="array" ref="AU385">SUMPRODUCT(($V385:$AN385&lt;=$K100)*(1))/COUNT($V385:$AN385)</f>
        <v>0</v>
      </c>
      <c r="AW385" s="52" cm="1">
        <f t="array" ref="AW385">SUMPRODUCT(($V385:$AN385&lt;=$I100)*(1))</f>
        <v>2</v>
      </c>
      <c r="AX385" s="52" cm="1">
        <f t="array" ref="AX385">SUMPRODUCT(($V385:$AN385&lt;=$J100)*(1))</f>
        <v>0</v>
      </c>
      <c r="AY385" s="52" cm="1">
        <f t="array" ref="AY385">SUMPRODUCT(($V385:$AN385&lt;=$K100)*(1))</f>
        <v>0</v>
      </c>
      <c r="BA385" s="52">
        <f t="shared" si="71"/>
        <v>2</v>
      </c>
      <c r="BB385" s="52">
        <f t="shared" si="72"/>
        <v>0</v>
      </c>
      <c r="BC385" s="52">
        <f t="shared" si="73"/>
        <v>0</v>
      </c>
      <c r="BE385" s="50">
        <f t="shared" si="68"/>
        <v>0.10526315789473684</v>
      </c>
      <c r="BF385" s="50">
        <f t="shared" si="69"/>
        <v>0</v>
      </c>
      <c r="BG385" s="50">
        <f t="shared" si="70"/>
        <v>0</v>
      </c>
    </row>
    <row r="386" spans="4:59" ht="15.6">
      <c r="D386" s="44"/>
      <c r="M386" s="42"/>
      <c r="N386" s="39" t="s">
        <v>26</v>
      </c>
      <c r="O386" s="39" t="s">
        <v>513</v>
      </c>
      <c r="P386" t="s">
        <v>706</v>
      </c>
      <c r="R386" s="41"/>
      <c r="S386" s="42"/>
      <c r="T386" s="42"/>
      <c r="U386" s="42"/>
      <c r="V386" s="45">
        <f t="shared" si="49"/>
        <v>0.99860906808486505</v>
      </c>
      <c r="W386" s="45">
        <f t="shared" si="50"/>
        <v>0.93280156997284391</v>
      </c>
      <c r="X386" s="45">
        <f t="shared" si="51"/>
        <v>1.001767636646077</v>
      </c>
      <c r="Y386" s="45">
        <f t="shared" si="52"/>
        <v>0.9979595171429404</v>
      </c>
      <c r="Z386" s="45">
        <f t="shared" si="53"/>
        <v>1.0006710721984544</v>
      </c>
      <c r="AA386" s="45">
        <f t="shared" si="54"/>
        <v>1.0003270725028706</v>
      </c>
      <c r="AB386" s="45">
        <f t="shared" si="55"/>
        <v>1.0014119707779221</v>
      </c>
      <c r="AC386" s="45">
        <f t="shared" si="56"/>
        <v>1.0010958290672012</v>
      </c>
      <c r="AD386" s="45">
        <f t="shared" si="57"/>
        <v>1.0010958290672012</v>
      </c>
      <c r="AE386" s="45">
        <f t="shared" si="58"/>
        <v>0.93266046053025797</v>
      </c>
      <c r="AF386" s="45">
        <f t="shared" si="59"/>
        <v>0.99955991994987969</v>
      </c>
      <c r="AG386" s="45">
        <f t="shared" si="60"/>
        <v>0.99972844133422101</v>
      </c>
      <c r="AH386" s="45">
        <f t="shared" si="61"/>
        <v>0.97783760237601447</v>
      </c>
      <c r="AI386" s="45">
        <f t="shared" si="62"/>
        <v>1.0001976969455815</v>
      </c>
      <c r="AJ386" s="45">
        <f t="shared" si="63"/>
        <v>0.99928320066833443</v>
      </c>
      <c r="AK386" s="45">
        <f t="shared" si="64"/>
        <v>0.99796458653041897</v>
      </c>
      <c r="AL386" s="45">
        <f t="shared" si="65"/>
        <v>1.0011860183372032</v>
      </c>
      <c r="AM386" s="45">
        <f t="shared" si="66"/>
        <v>1.0011860183372032</v>
      </c>
      <c r="AN386" s="45">
        <f t="shared" si="67"/>
        <v>0.98603956755371513</v>
      </c>
      <c r="AS386" s="50" cm="1">
        <f t="array" ref="AS386">SUMPRODUCT(($V386:$AN386&lt;=$I101)*(1))/COUNT($V386:$AN386)</f>
        <v>0.10526315789473684</v>
      </c>
      <c r="AT386" s="50" cm="1">
        <f t="array" ref="AT386">SUMPRODUCT(($V386:$AN386&lt;=$J101)*(1))/COUNT($V386:$AN386)</f>
        <v>0</v>
      </c>
      <c r="AU386" s="50" cm="1">
        <f t="array" ref="AU386">SUMPRODUCT(($V386:$AN386&lt;=$K101)*(1))/COUNT($V386:$AN386)</f>
        <v>0</v>
      </c>
      <c r="AW386" s="52" cm="1">
        <f t="array" ref="AW386">SUMPRODUCT(($V386:$AN386&lt;=$I101)*(1))</f>
        <v>2</v>
      </c>
      <c r="AX386" s="52" cm="1">
        <f t="array" ref="AX386">SUMPRODUCT(($V386:$AN386&lt;=$J101)*(1))</f>
        <v>0</v>
      </c>
      <c r="AY386" s="52" cm="1">
        <f t="array" ref="AY386">SUMPRODUCT(($V386:$AN386&lt;=$K101)*(1))</f>
        <v>0</v>
      </c>
      <c r="BA386" s="52">
        <f t="shared" si="71"/>
        <v>2</v>
      </c>
      <c r="BB386" s="52">
        <f t="shared" si="72"/>
        <v>0</v>
      </c>
      <c r="BC386" s="52">
        <f t="shared" si="73"/>
        <v>0</v>
      </c>
      <c r="BE386" s="50">
        <f t="shared" si="68"/>
        <v>0.10526315789473684</v>
      </c>
      <c r="BF386" s="50">
        <f t="shared" si="69"/>
        <v>0</v>
      </c>
      <c r="BG386" s="50">
        <f t="shared" si="70"/>
        <v>0</v>
      </c>
    </row>
    <row r="387" spans="4:59" ht="15.6">
      <c r="D387" s="44"/>
      <c r="M387" s="42"/>
      <c r="N387" s="39" t="s">
        <v>26</v>
      </c>
      <c r="O387" s="39" t="s">
        <v>240</v>
      </c>
      <c r="P387" t="s">
        <v>707</v>
      </c>
      <c r="R387" s="41"/>
      <c r="S387" s="42"/>
      <c r="T387" s="42"/>
      <c r="U387" s="42"/>
      <c r="V387" s="45">
        <f t="shared" si="49"/>
        <v>1</v>
      </c>
      <c r="W387" s="45">
        <f t="shared" si="50"/>
        <v>0.95697975407452307</v>
      </c>
      <c r="X387" s="45">
        <f t="shared" si="51"/>
        <v>1.0148942717238361</v>
      </c>
      <c r="Y387" s="45">
        <f t="shared" si="52"/>
        <v>1.0148942717238361</v>
      </c>
      <c r="Z387" s="45">
        <f t="shared" si="53"/>
        <v>1</v>
      </c>
      <c r="AA387" s="45">
        <f t="shared" si="54"/>
        <v>1</v>
      </c>
      <c r="AB387" s="45">
        <f t="shared" si="55"/>
        <v>1</v>
      </c>
      <c r="AC387" s="45">
        <f t="shared" si="56"/>
        <v>0.983122309317223</v>
      </c>
      <c r="AD387" s="45">
        <f t="shared" si="57"/>
        <v>1</v>
      </c>
      <c r="AE387" s="45">
        <f t="shared" si="58"/>
        <v>0.90780124940622198</v>
      </c>
      <c r="AF387" s="45">
        <f t="shared" si="59"/>
        <v>0.99567676849835496</v>
      </c>
      <c r="AG387" s="45">
        <f t="shared" si="60"/>
        <v>1.0037275244322086</v>
      </c>
      <c r="AH387" s="45">
        <f t="shared" si="61"/>
        <v>0.99262354981944623</v>
      </c>
      <c r="AI387" s="45">
        <f t="shared" si="62"/>
        <v>1.0043420029857333</v>
      </c>
      <c r="AJ387" s="45">
        <f t="shared" si="63"/>
        <v>1.0043420029857333</v>
      </c>
      <c r="AK387" s="45">
        <f t="shared" si="64"/>
        <v>1.000612196575831</v>
      </c>
      <c r="AL387" s="45">
        <f t="shared" si="65"/>
        <v>1</v>
      </c>
      <c r="AM387" s="45">
        <f t="shared" si="66"/>
        <v>1</v>
      </c>
      <c r="AN387" s="45">
        <f t="shared" si="67"/>
        <v>0.98394807981697796</v>
      </c>
      <c r="AS387" s="50" cm="1">
        <f t="array" ref="AS387">SUMPRODUCT(($V387:$AN387&lt;=$I102)*(1))/COUNT($V387:$AN387)</f>
        <v>5.2631578947368418E-2</v>
      </c>
      <c r="AT387" s="50" cm="1">
        <f t="array" ref="AT387">SUMPRODUCT(($V387:$AN387&lt;=$J102)*(1))/COUNT($V387:$AN387)</f>
        <v>0</v>
      </c>
      <c r="AU387" s="50" cm="1">
        <f t="array" ref="AU387">SUMPRODUCT(($V387:$AN387&lt;=$K102)*(1))/COUNT($V387:$AN387)</f>
        <v>0</v>
      </c>
      <c r="AW387" s="52" cm="1">
        <f t="array" ref="AW387">SUMPRODUCT(($V387:$AN387&lt;=$I102)*(1))</f>
        <v>1</v>
      </c>
      <c r="AX387" s="52" cm="1">
        <f t="array" ref="AX387">SUMPRODUCT(($V387:$AN387&lt;=$J102)*(1))</f>
        <v>0</v>
      </c>
      <c r="AY387" s="52" cm="1">
        <f t="array" ref="AY387">SUMPRODUCT(($V387:$AN387&lt;=$K102)*(1))</f>
        <v>0</v>
      </c>
      <c r="BA387" s="52">
        <f t="shared" si="71"/>
        <v>1</v>
      </c>
      <c r="BB387" s="52">
        <f t="shared" si="72"/>
        <v>0</v>
      </c>
      <c r="BC387" s="52">
        <f t="shared" si="73"/>
        <v>0</v>
      </c>
      <c r="BE387" s="50">
        <f t="shared" si="68"/>
        <v>5.2631578947368418E-2</v>
      </c>
      <c r="BF387" s="50">
        <f t="shared" si="69"/>
        <v>0</v>
      </c>
      <c r="BG387" s="50">
        <f t="shared" si="70"/>
        <v>0</v>
      </c>
    </row>
    <row r="388" spans="4:59" ht="15.6">
      <c r="D388" s="44"/>
      <c r="M388" s="42"/>
      <c r="N388" s="39" t="s">
        <v>26</v>
      </c>
      <c r="O388" s="39" t="s">
        <v>594</v>
      </c>
      <c r="P388" t="s">
        <v>708</v>
      </c>
      <c r="R388" s="41"/>
      <c r="S388" s="42"/>
      <c r="T388" s="42"/>
      <c r="U388" s="42"/>
      <c r="V388" s="45">
        <f t="shared" si="49"/>
        <v>1.0137234767094354</v>
      </c>
      <c r="W388" s="45">
        <f t="shared" si="50"/>
        <v>0.86166379936152016</v>
      </c>
      <c r="X388" s="45">
        <f t="shared" si="51"/>
        <v>1.1764721663606956</v>
      </c>
      <c r="Y388" s="45">
        <f t="shared" si="52"/>
        <v>1.1642876232421404</v>
      </c>
      <c r="Z388" s="45">
        <f t="shared" si="53"/>
        <v>1.0104652345995275</v>
      </c>
      <c r="AA388" s="45">
        <f t="shared" si="54"/>
        <v>1</v>
      </c>
      <c r="AB388" s="45">
        <f t="shared" si="55"/>
        <v>0.97323197828064201</v>
      </c>
      <c r="AC388" s="45">
        <f t="shared" si="56"/>
        <v>0.84731697064545897</v>
      </c>
      <c r="AD388" s="45">
        <f t="shared" si="57"/>
        <v>0.96731443058572608</v>
      </c>
      <c r="AE388" s="45">
        <f t="shared" si="58"/>
        <v>0.66358789857279277</v>
      </c>
      <c r="AF388" s="45">
        <f t="shared" si="59"/>
        <v>0.86187153549352336</v>
      </c>
      <c r="AG388" s="45">
        <f t="shared" si="60"/>
        <v>1.1772614051056243</v>
      </c>
      <c r="AH388" s="45">
        <f t="shared" si="61"/>
        <v>1.0979717240204516</v>
      </c>
      <c r="AI388" s="45">
        <f t="shared" si="62"/>
        <v>1.0430638950088229</v>
      </c>
      <c r="AJ388" s="45">
        <f t="shared" si="63"/>
        <v>1.0740975837469779</v>
      </c>
      <c r="AK388" s="45">
        <f t="shared" si="64"/>
        <v>1.0276444765511252</v>
      </c>
      <c r="AL388" s="45">
        <f t="shared" si="65"/>
        <v>0.99805199347511075</v>
      </c>
      <c r="AM388" s="45">
        <f t="shared" si="66"/>
        <v>1.0000789969920478</v>
      </c>
      <c r="AN388" s="45">
        <f t="shared" si="67"/>
        <v>0.85597932030221502</v>
      </c>
      <c r="AS388" s="50" cm="1">
        <f t="array" ref="AS388">SUMPRODUCT(($V388:$AN388&lt;=$I103)*(1))/COUNT($V388:$AN388)</f>
        <v>0.26315789473684209</v>
      </c>
      <c r="AT388" s="50" cm="1">
        <f t="array" ref="AT388">SUMPRODUCT(($V388:$AN388&lt;=$J103)*(1))/COUNT($V388:$AN388)</f>
        <v>0.10526315789473684</v>
      </c>
      <c r="AU388" s="50" cm="1">
        <f t="array" ref="AU388">SUMPRODUCT(($V388:$AN388&lt;=$K103)*(1))/COUNT($V388:$AN388)</f>
        <v>5.2631578947368418E-2</v>
      </c>
      <c r="AW388" s="52" cm="1">
        <f t="array" ref="AW388">SUMPRODUCT(($V388:$AN388&lt;=$I103)*(1))</f>
        <v>5</v>
      </c>
      <c r="AX388" s="52" cm="1">
        <f t="array" ref="AX388">SUMPRODUCT(($V388:$AN388&lt;=$J103)*(1))</f>
        <v>2</v>
      </c>
      <c r="AY388" s="52" cm="1">
        <f t="array" ref="AY388">SUMPRODUCT(($V388:$AN388&lt;=$K103)*(1))</f>
        <v>1</v>
      </c>
      <c r="BA388" s="52">
        <f t="shared" si="71"/>
        <v>3</v>
      </c>
      <c r="BB388" s="52">
        <f t="shared" si="72"/>
        <v>1</v>
      </c>
      <c r="BC388" s="52">
        <f t="shared" si="73"/>
        <v>1</v>
      </c>
      <c r="BE388" s="50">
        <f t="shared" si="68"/>
        <v>0.15789473684210525</v>
      </c>
      <c r="BF388" s="50">
        <f t="shared" si="69"/>
        <v>5.2631578947368418E-2</v>
      </c>
      <c r="BG388" s="50">
        <f t="shared" si="70"/>
        <v>5.2631578947368418E-2</v>
      </c>
    </row>
    <row r="389" spans="4:59" ht="15.6">
      <c r="D389" s="44"/>
      <c r="M389" s="42"/>
      <c r="N389" s="39" t="s">
        <v>26</v>
      </c>
      <c r="O389" s="39" t="s">
        <v>576</v>
      </c>
      <c r="P389" t="s">
        <v>709</v>
      </c>
      <c r="R389" s="41"/>
      <c r="S389" s="42"/>
      <c r="T389" s="42"/>
      <c r="U389" s="42"/>
      <c r="V389" s="45">
        <f t="shared" si="49"/>
        <v>1</v>
      </c>
      <c r="W389" s="45">
        <f t="shared" si="50"/>
        <v>0.97552170219600698</v>
      </c>
      <c r="X389" s="45">
        <f t="shared" si="51"/>
        <v>1.0179904659390768</v>
      </c>
      <c r="Y389" s="45">
        <f t="shared" si="52"/>
        <v>1.0179904659390768</v>
      </c>
      <c r="Z389" s="45">
        <f t="shared" si="53"/>
        <v>1</v>
      </c>
      <c r="AA389" s="45">
        <f t="shared" si="54"/>
        <v>1</v>
      </c>
      <c r="AB389" s="45">
        <f t="shared" si="55"/>
        <v>1</v>
      </c>
      <c r="AC389" s="45">
        <f t="shared" si="56"/>
        <v>0.84658022864750504</v>
      </c>
      <c r="AD389" s="45">
        <f t="shared" si="57"/>
        <v>1</v>
      </c>
      <c r="AE389" s="45">
        <f t="shared" si="58"/>
        <v>0.67519892094133793</v>
      </c>
      <c r="AF389" s="45">
        <f t="shared" si="59"/>
        <v>0.98417089935700008</v>
      </c>
      <c r="AG389" s="45">
        <f t="shared" si="60"/>
        <v>1.0160836910066553</v>
      </c>
      <c r="AH389" s="45">
        <f t="shared" si="61"/>
        <v>1.0069540659509395</v>
      </c>
      <c r="AI389" s="45">
        <f t="shared" si="62"/>
        <v>1.0090665754917967</v>
      </c>
      <c r="AJ389" s="45">
        <f t="shared" si="63"/>
        <v>1.0090665754917967</v>
      </c>
      <c r="AK389" s="45">
        <f t="shared" si="64"/>
        <v>1</v>
      </c>
      <c r="AL389" s="45">
        <f t="shared" si="65"/>
        <v>1</v>
      </c>
      <c r="AM389" s="45">
        <f t="shared" si="66"/>
        <v>1</v>
      </c>
      <c r="AN389" s="45">
        <f t="shared" si="67"/>
        <v>0.99805774787149004</v>
      </c>
      <c r="AS389" s="50" cm="1">
        <f t="array" ref="AS389">SUMPRODUCT(($V389:$AN389&lt;=$I104)*(1))/COUNT($V389:$AN389)</f>
        <v>0.10526315789473684</v>
      </c>
      <c r="AT389" s="50" cm="1">
        <f t="array" ref="AT389">SUMPRODUCT(($V389:$AN389&lt;=$J104)*(1))/COUNT($V389:$AN389)</f>
        <v>0.10526315789473684</v>
      </c>
      <c r="AU389" s="50" cm="1">
        <f t="array" ref="AU389">SUMPRODUCT(($V389:$AN389&lt;=$K104)*(1))/COUNT($V389:$AN389)</f>
        <v>5.2631578947368418E-2</v>
      </c>
      <c r="AW389" s="52" cm="1">
        <f t="array" ref="AW389">SUMPRODUCT(($V389:$AN389&lt;=$I104)*(1))</f>
        <v>2</v>
      </c>
      <c r="AX389" s="52" cm="1">
        <f t="array" ref="AX389">SUMPRODUCT(($V389:$AN389&lt;=$J104)*(1))</f>
        <v>2</v>
      </c>
      <c r="AY389" s="52" cm="1">
        <f t="array" ref="AY389">SUMPRODUCT(($V389:$AN389&lt;=$K104)*(1))</f>
        <v>1</v>
      </c>
      <c r="BA389" s="52">
        <f t="shared" si="71"/>
        <v>0</v>
      </c>
      <c r="BB389" s="52">
        <f t="shared" si="72"/>
        <v>1</v>
      </c>
      <c r="BC389" s="52">
        <f t="shared" si="73"/>
        <v>1</v>
      </c>
      <c r="BE389" s="50">
        <f t="shared" si="68"/>
        <v>0</v>
      </c>
      <c r="BF389" s="50">
        <f t="shared" si="69"/>
        <v>5.2631578947368418E-2</v>
      </c>
      <c r="BG389" s="50">
        <f t="shared" si="70"/>
        <v>5.2631578947368418E-2</v>
      </c>
    </row>
    <row r="390" spans="4:59" ht="15.6">
      <c r="D390" s="44"/>
      <c r="M390" s="42"/>
      <c r="N390" s="39" t="s">
        <v>26</v>
      </c>
      <c r="O390" s="39" t="s">
        <v>576</v>
      </c>
      <c r="P390" t="s">
        <v>710</v>
      </c>
      <c r="R390" s="41"/>
      <c r="S390" s="42"/>
      <c r="T390" s="42"/>
      <c r="U390" s="42"/>
      <c r="V390" s="45">
        <f t="shared" si="49"/>
        <v>1</v>
      </c>
      <c r="W390" s="45">
        <f t="shared" si="50"/>
        <v>0.99165999922084391</v>
      </c>
      <c r="X390" s="45">
        <f t="shared" si="51"/>
        <v>1.0084101413646904</v>
      </c>
      <c r="Y390" s="45">
        <f t="shared" si="52"/>
        <v>1.0084101413646904</v>
      </c>
      <c r="Z390" s="45">
        <f t="shared" si="53"/>
        <v>1</v>
      </c>
      <c r="AA390" s="45">
        <f t="shared" si="54"/>
        <v>1</v>
      </c>
      <c r="AB390" s="45">
        <f t="shared" si="55"/>
        <v>0.99995215743946009</v>
      </c>
      <c r="AC390" s="45">
        <f t="shared" si="56"/>
        <v>0.922604004649758</v>
      </c>
      <c r="AD390" s="45">
        <f t="shared" si="57"/>
        <v>1</v>
      </c>
      <c r="AE390" s="45">
        <f t="shared" si="58"/>
        <v>0.745564570254592</v>
      </c>
      <c r="AF390" s="45">
        <f t="shared" si="59"/>
        <v>0.99929993798759176</v>
      </c>
      <c r="AG390" s="45">
        <f t="shared" si="60"/>
        <v>1.0005109513201937</v>
      </c>
      <c r="AH390" s="45">
        <f t="shared" si="61"/>
        <v>0.99854065928650615</v>
      </c>
      <c r="AI390" s="45">
        <f t="shared" si="62"/>
        <v>1.0007484308099472</v>
      </c>
      <c r="AJ390" s="45">
        <f t="shared" si="63"/>
        <v>1.0007484308099472</v>
      </c>
      <c r="AK390" s="45">
        <f t="shared" si="64"/>
        <v>0.98860196019079583</v>
      </c>
      <c r="AL390" s="45">
        <f t="shared" si="65"/>
        <v>1.000237358211262</v>
      </c>
      <c r="AM390" s="45">
        <f t="shared" si="66"/>
        <v>1</v>
      </c>
      <c r="AN390" s="45">
        <f t="shared" si="67"/>
        <v>0.99285179787743205</v>
      </c>
      <c r="AS390" s="50" cm="1">
        <f t="array" ref="AS390">SUMPRODUCT(($V390:$AN390&lt;=$I105)*(1))/COUNT($V390:$AN390)</f>
        <v>0.10526315789473684</v>
      </c>
      <c r="AT390" s="50" cm="1">
        <f t="array" ref="AT390">SUMPRODUCT(($V390:$AN390&lt;=$J105)*(1))/COUNT($V390:$AN390)</f>
        <v>5.2631578947368418E-2</v>
      </c>
      <c r="AU390" s="50" cm="1">
        <f t="array" ref="AU390">SUMPRODUCT(($V390:$AN390&lt;=$K105)*(1))/COUNT($V390:$AN390)</f>
        <v>5.2631578947368418E-2</v>
      </c>
      <c r="AW390" s="52" cm="1">
        <f t="array" ref="AW390">SUMPRODUCT(($V390:$AN390&lt;=$I105)*(1))</f>
        <v>2</v>
      </c>
      <c r="AX390" s="52" cm="1">
        <f t="array" ref="AX390">SUMPRODUCT(($V390:$AN390&lt;=$J105)*(1))</f>
        <v>1</v>
      </c>
      <c r="AY390" s="52" cm="1">
        <f t="array" ref="AY390">SUMPRODUCT(($V390:$AN390&lt;=$K105)*(1))</f>
        <v>1</v>
      </c>
      <c r="BA390" s="52">
        <f t="shared" si="71"/>
        <v>1</v>
      </c>
      <c r="BB390" s="52">
        <f t="shared" si="72"/>
        <v>0</v>
      </c>
      <c r="BC390" s="52">
        <f t="shared" si="73"/>
        <v>1</v>
      </c>
      <c r="BE390" s="50">
        <f t="shared" si="68"/>
        <v>5.2631578947368418E-2</v>
      </c>
      <c r="BF390" s="50">
        <f t="shared" si="69"/>
        <v>0</v>
      </c>
      <c r="BG390" s="50">
        <f t="shared" si="70"/>
        <v>5.2631578947368418E-2</v>
      </c>
    </row>
    <row r="391" spans="4:59" ht="15.6">
      <c r="D391" s="44"/>
      <c r="M391" s="42"/>
      <c r="N391" s="39" t="s">
        <v>26</v>
      </c>
      <c r="O391" s="39" t="s">
        <v>576</v>
      </c>
      <c r="P391" t="s">
        <v>711</v>
      </c>
      <c r="R391" s="41"/>
      <c r="S391" s="42"/>
      <c r="T391" s="42"/>
      <c r="U391" s="42"/>
      <c r="V391" s="45">
        <f t="shared" si="49"/>
        <v>1</v>
      </c>
      <c r="W391" s="45">
        <f t="shared" si="50"/>
        <v>0.97080293913037397</v>
      </c>
      <c r="X391" s="45">
        <f t="shared" si="51"/>
        <v>1.0300751673617512</v>
      </c>
      <c r="Y391" s="45">
        <f t="shared" si="52"/>
        <v>1.0300751673617512</v>
      </c>
      <c r="Z391" s="45">
        <f t="shared" si="53"/>
        <v>1</v>
      </c>
      <c r="AA391" s="45">
        <f t="shared" si="54"/>
        <v>1</v>
      </c>
      <c r="AB391" s="45">
        <f t="shared" si="55"/>
        <v>1</v>
      </c>
      <c r="AC391" s="45">
        <f t="shared" si="56"/>
        <v>0.89260681112356499</v>
      </c>
      <c r="AD391" s="45">
        <f t="shared" si="57"/>
        <v>1</v>
      </c>
      <c r="AE391" s="45">
        <f t="shared" si="58"/>
        <v>0.7497387839055869</v>
      </c>
      <c r="AF391" s="45">
        <f t="shared" si="59"/>
        <v>0.986919714243499</v>
      </c>
      <c r="AG391" s="45">
        <f t="shared" si="60"/>
        <v>1.0132536472498448</v>
      </c>
      <c r="AH391" s="45">
        <f t="shared" si="61"/>
        <v>0.98999921631089549</v>
      </c>
      <c r="AI391" s="45">
        <f t="shared" si="62"/>
        <v>1.0132536472498448</v>
      </c>
      <c r="AJ391" s="45">
        <f t="shared" si="63"/>
        <v>1.0132536472498448</v>
      </c>
      <c r="AK391" s="45">
        <f t="shared" si="64"/>
        <v>1</v>
      </c>
      <c r="AL391" s="45">
        <f t="shared" si="65"/>
        <v>1</v>
      </c>
      <c r="AM391" s="45">
        <f t="shared" si="66"/>
        <v>1</v>
      </c>
      <c r="AN391" s="45">
        <f t="shared" si="67"/>
        <v>0.99140280229647304</v>
      </c>
      <c r="AS391" s="50" cm="1">
        <f t="array" ref="AS391">SUMPRODUCT(($V391:$AN391&lt;=$I106)*(1))/COUNT($V391:$AN391)</f>
        <v>0.10526315789473684</v>
      </c>
      <c r="AT391" s="50" cm="1">
        <f t="array" ref="AT391">SUMPRODUCT(($V391:$AN391&lt;=$J106)*(1))/COUNT($V391:$AN391)</f>
        <v>5.2631578947368418E-2</v>
      </c>
      <c r="AU391" s="50" cm="1">
        <f t="array" ref="AU391">SUMPRODUCT(($V391:$AN391&lt;=$K106)*(1))/COUNT($V391:$AN391)</f>
        <v>5.2631578947368418E-2</v>
      </c>
      <c r="AW391" s="52" cm="1">
        <f t="array" ref="AW391">SUMPRODUCT(($V391:$AN391&lt;=$I106)*(1))</f>
        <v>2</v>
      </c>
      <c r="AX391" s="52" cm="1">
        <f t="array" ref="AX391">SUMPRODUCT(($V391:$AN391&lt;=$J106)*(1))</f>
        <v>1</v>
      </c>
      <c r="AY391" s="52" cm="1">
        <f t="array" ref="AY391">SUMPRODUCT(($V391:$AN391&lt;=$K106)*(1))</f>
        <v>1</v>
      </c>
      <c r="BA391" s="52">
        <f t="shared" si="71"/>
        <v>1</v>
      </c>
      <c r="BB391" s="52">
        <f t="shared" si="72"/>
        <v>0</v>
      </c>
      <c r="BC391" s="52">
        <f t="shared" si="73"/>
        <v>1</v>
      </c>
      <c r="BE391" s="50">
        <f t="shared" si="68"/>
        <v>5.2631578947368418E-2</v>
      </c>
      <c r="BF391" s="50">
        <f t="shared" si="69"/>
        <v>0</v>
      </c>
      <c r="BG391" s="50">
        <f t="shared" si="70"/>
        <v>5.2631578947368418E-2</v>
      </c>
    </row>
    <row r="392" spans="4:59" ht="15.6">
      <c r="D392" s="44"/>
      <c r="M392" s="42"/>
      <c r="N392" s="39" t="s">
        <v>26</v>
      </c>
      <c r="O392" s="39" t="s">
        <v>576</v>
      </c>
      <c r="P392" t="s">
        <v>712</v>
      </c>
      <c r="R392" s="41"/>
      <c r="S392" s="42"/>
      <c r="T392" s="42"/>
      <c r="U392" s="42"/>
      <c r="V392" s="45">
        <f t="shared" si="49"/>
        <v>1.0060863636576127</v>
      </c>
      <c r="W392" s="45">
        <f t="shared" si="50"/>
        <v>0.8772945175102369</v>
      </c>
      <c r="X392" s="45">
        <f t="shared" si="51"/>
        <v>1.0757753993015047</v>
      </c>
      <c r="Y392" s="45">
        <f t="shared" si="52"/>
        <v>1.0760571342068495</v>
      </c>
      <c r="Z392" s="45">
        <f t="shared" si="53"/>
        <v>1.0002618900799627</v>
      </c>
      <c r="AA392" s="45">
        <f t="shared" si="54"/>
        <v>1</v>
      </c>
      <c r="AB392" s="45">
        <f t="shared" si="55"/>
        <v>0.93442879258399703</v>
      </c>
      <c r="AC392" s="45">
        <f t="shared" si="56"/>
        <v>0.72528778153073004</v>
      </c>
      <c r="AD392" s="45">
        <f t="shared" si="57"/>
        <v>1</v>
      </c>
      <c r="AE392" s="45">
        <f t="shared" si="58"/>
        <v>0.79134131489278503</v>
      </c>
      <c r="AF392" s="45">
        <f t="shared" si="59"/>
        <v>1.0544517581709216</v>
      </c>
      <c r="AG392" s="45">
        <f t="shared" si="60"/>
        <v>1.043451266826035</v>
      </c>
      <c r="AH392" s="45">
        <f t="shared" si="61"/>
        <v>0.95027416062623171</v>
      </c>
      <c r="AI392" s="45">
        <f t="shared" si="62"/>
        <v>1.0256085139768418</v>
      </c>
      <c r="AJ392" s="45">
        <f t="shared" si="63"/>
        <v>1.0256085139768418</v>
      </c>
      <c r="AK392" s="45">
        <f t="shared" si="64"/>
        <v>0.98759437938537187</v>
      </c>
      <c r="AL392" s="45">
        <f t="shared" si="65"/>
        <v>1.0256085139768418</v>
      </c>
      <c r="AM392" s="45">
        <f t="shared" si="66"/>
        <v>0.99534401290191399</v>
      </c>
      <c r="AN392" s="45">
        <f t="shared" si="67"/>
        <v>0.87660489819072296</v>
      </c>
      <c r="AS392" s="50" cm="1">
        <f t="array" ref="AS392">SUMPRODUCT(($V392:$AN392&lt;=$I107)*(1))/COUNT($V392:$AN392)</f>
        <v>0.26315789473684209</v>
      </c>
      <c r="AT392" s="50" cm="1">
        <f t="array" ref="AT392">SUMPRODUCT(($V392:$AN392&lt;=$J107)*(1))/COUNT($V392:$AN392)</f>
        <v>0.10526315789473684</v>
      </c>
      <c r="AU392" s="50" cm="1">
        <f t="array" ref="AU392">SUMPRODUCT(($V392:$AN392&lt;=$K107)*(1))/COUNT($V392:$AN392)</f>
        <v>5.2631578947368418E-2</v>
      </c>
      <c r="AW392" s="52" cm="1">
        <f t="array" ref="AW392">SUMPRODUCT(($V392:$AN392&lt;=$I107)*(1))</f>
        <v>5</v>
      </c>
      <c r="AX392" s="52" cm="1">
        <f t="array" ref="AX392">SUMPRODUCT(($V392:$AN392&lt;=$J107)*(1))</f>
        <v>2</v>
      </c>
      <c r="AY392" s="52" cm="1">
        <f t="array" ref="AY392">SUMPRODUCT(($V392:$AN392&lt;=$K107)*(1))</f>
        <v>1</v>
      </c>
      <c r="BA392" s="52">
        <f t="shared" si="71"/>
        <v>3</v>
      </c>
      <c r="BB392" s="52">
        <f t="shared" si="72"/>
        <v>1</v>
      </c>
      <c r="BC392" s="52">
        <f t="shared" si="73"/>
        <v>1</v>
      </c>
      <c r="BE392" s="50">
        <f t="shared" si="68"/>
        <v>0.15789473684210525</v>
      </c>
      <c r="BF392" s="50">
        <f t="shared" si="69"/>
        <v>5.2631578947368418E-2</v>
      </c>
      <c r="BG392" s="50">
        <f t="shared" si="70"/>
        <v>5.2631578947368418E-2</v>
      </c>
    </row>
    <row r="393" spans="4:59" ht="15.6">
      <c r="D393" s="44"/>
      <c r="M393" s="42"/>
      <c r="N393" s="39" t="s">
        <v>26</v>
      </c>
      <c r="O393" s="39" t="s">
        <v>601</v>
      </c>
      <c r="P393" t="s">
        <v>713</v>
      </c>
      <c r="R393" s="41"/>
      <c r="S393" s="42"/>
      <c r="T393" s="42"/>
      <c r="U393" s="42"/>
      <c r="V393" s="45">
        <f t="shared" si="49"/>
        <v>1</v>
      </c>
      <c r="W393" s="45">
        <f t="shared" si="50"/>
        <v>0.97560765599950894</v>
      </c>
      <c r="X393" s="45">
        <f t="shared" si="51"/>
        <v>1.0250022064202655</v>
      </c>
      <c r="Y393" s="45">
        <f t="shared" si="52"/>
        <v>1.0250022064202655</v>
      </c>
      <c r="Z393" s="45">
        <f t="shared" si="53"/>
        <v>1</v>
      </c>
      <c r="AA393" s="45">
        <f t="shared" si="54"/>
        <v>1</v>
      </c>
      <c r="AB393" s="45">
        <f t="shared" si="55"/>
        <v>1</v>
      </c>
      <c r="AC393" s="45">
        <f t="shared" si="56"/>
        <v>0.87867638529996095</v>
      </c>
      <c r="AD393" s="45">
        <f t="shared" si="57"/>
        <v>1</v>
      </c>
      <c r="AE393" s="45">
        <f t="shared" si="58"/>
        <v>0.82948375869824897</v>
      </c>
      <c r="AF393" s="45">
        <f t="shared" si="59"/>
        <v>0.97343679150977092</v>
      </c>
      <c r="AG393" s="45">
        <f t="shared" si="60"/>
        <v>1.0270020373230686</v>
      </c>
      <c r="AH393" s="45">
        <f t="shared" si="61"/>
        <v>1.0177478068650825</v>
      </c>
      <c r="AI393" s="45">
        <f t="shared" si="62"/>
        <v>1.0093738941775434</v>
      </c>
      <c r="AJ393" s="45">
        <f t="shared" si="63"/>
        <v>1.0093738941775434</v>
      </c>
      <c r="AK393" s="45">
        <f t="shared" si="64"/>
        <v>1.0002785094601561</v>
      </c>
      <c r="AL393" s="45">
        <f t="shared" si="65"/>
        <v>1</v>
      </c>
      <c r="AM393" s="45">
        <f t="shared" si="66"/>
        <v>1</v>
      </c>
      <c r="AN393" s="45">
        <f t="shared" si="67"/>
        <v>1</v>
      </c>
      <c r="AS393" s="50" cm="1">
        <f t="array" ref="AS393">SUMPRODUCT(($V393:$AN393&lt;=$I108)*(1))/COUNT($V393:$AN393)</f>
        <v>0.10526315789473684</v>
      </c>
      <c r="AT393" s="50" cm="1">
        <f t="array" ref="AT393">SUMPRODUCT(($V393:$AN393&lt;=$J108)*(1))/COUNT($V393:$AN393)</f>
        <v>5.2631578947368418E-2</v>
      </c>
      <c r="AU393" s="50" cm="1">
        <f t="array" ref="AU393">SUMPRODUCT(($V393:$AN393&lt;=$K108)*(1))/COUNT($V393:$AN393)</f>
        <v>0</v>
      </c>
      <c r="AW393" s="52" cm="1">
        <f t="array" ref="AW393">SUMPRODUCT(($V393:$AN393&lt;=$I108)*(1))</f>
        <v>2</v>
      </c>
      <c r="AX393" s="52" cm="1">
        <f t="array" ref="AX393">SUMPRODUCT(($V393:$AN393&lt;=$J108)*(1))</f>
        <v>1</v>
      </c>
      <c r="AY393" s="52" cm="1">
        <f t="array" ref="AY393">SUMPRODUCT(($V393:$AN393&lt;=$K108)*(1))</f>
        <v>0</v>
      </c>
      <c r="BA393" s="52">
        <f t="shared" si="71"/>
        <v>1</v>
      </c>
      <c r="BB393" s="52">
        <f t="shared" si="72"/>
        <v>1</v>
      </c>
      <c r="BC393" s="52">
        <f t="shared" si="73"/>
        <v>0</v>
      </c>
      <c r="BE393" s="50">
        <f t="shared" si="68"/>
        <v>5.2631578947368418E-2</v>
      </c>
      <c r="BF393" s="50">
        <f t="shared" si="69"/>
        <v>5.2631578947368418E-2</v>
      </c>
      <c r="BG393" s="50">
        <f t="shared" si="70"/>
        <v>0</v>
      </c>
    </row>
    <row r="394" spans="4:59" ht="15.6">
      <c r="D394" s="44"/>
      <c r="M394" s="42"/>
      <c r="N394" s="39" t="s">
        <v>26</v>
      </c>
      <c r="O394" s="39" t="s">
        <v>588</v>
      </c>
      <c r="P394" t="s">
        <v>714</v>
      </c>
      <c r="R394" s="41"/>
      <c r="S394" s="42"/>
      <c r="T394" s="42"/>
      <c r="U394" s="42"/>
      <c r="V394" s="45">
        <f t="shared" si="49"/>
        <v>1</v>
      </c>
      <c r="W394" s="45">
        <f t="shared" si="50"/>
        <v>0.99493527212929289</v>
      </c>
      <c r="X394" s="45">
        <f t="shared" si="51"/>
        <v>1.0050905099181657</v>
      </c>
      <c r="Y394" s="45">
        <f t="shared" si="52"/>
        <v>1.0050905099181657</v>
      </c>
      <c r="Z394" s="45">
        <f t="shared" si="53"/>
        <v>1</v>
      </c>
      <c r="AA394" s="45">
        <f t="shared" si="54"/>
        <v>1</v>
      </c>
      <c r="AB394" s="45">
        <f t="shared" si="55"/>
        <v>1</v>
      </c>
      <c r="AC394" s="45">
        <f t="shared" si="56"/>
        <v>0.976366695979619</v>
      </c>
      <c r="AD394" s="45">
        <f t="shared" si="57"/>
        <v>1</v>
      </c>
      <c r="AE394" s="45">
        <f t="shared" si="58"/>
        <v>0.94202233961365811</v>
      </c>
      <c r="AF394" s="45">
        <f t="shared" si="59"/>
        <v>0.99171224037751204</v>
      </c>
      <c r="AG394" s="45">
        <f t="shared" si="60"/>
        <v>1.0083570206003842</v>
      </c>
      <c r="AH394" s="45">
        <f t="shared" si="61"/>
        <v>1.0034811417192511</v>
      </c>
      <c r="AI394" s="45">
        <f t="shared" si="62"/>
        <v>1.0048589641383587</v>
      </c>
      <c r="AJ394" s="45">
        <f t="shared" si="63"/>
        <v>1.0048589641383587</v>
      </c>
      <c r="AK394" s="45">
        <f t="shared" si="64"/>
        <v>1</v>
      </c>
      <c r="AL394" s="45">
        <f t="shared" si="65"/>
        <v>1</v>
      </c>
      <c r="AM394" s="45">
        <f t="shared" si="66"/>
        <v>1</v>
      </c>
      <c r="AN394" s="45">
        <f t="shared" si="67"/>
        <v>1</v>
      </c>
      <c r="AS394" s="50" cm="1">
        <f t="array" ref="AS394">SUMPRODUCT(($V394:$AN394&lt;=$I109)*(1))/COUNT($V394:$AN394)</f>
        <v>5.2631578947368418E-2</v>
      </c>
      <c r="AT394" s="50" cm="1">
        <f t="array" ref="AT394">SUMPRODUCT(($V394:$AN394&lt;=$J109)*(1))/COUNT($V394:$AN394)</f>
        <v>0</v>
      </c>
      <c r="AU394" s="50" cm="1">
        <f t="array" ref="AU394">SUMPRODUCT(($V394:$AN394&lt;=$K109)*(1))/COUNT($V394:$AN394)</f>
        <v>0</v>
      </c>
      <c r="AW394" s="52" cm="1">
        <f t="array" ref="AW394">SUMPRODUCT(($V394:$AN394&lt;=$I109)*(1))</f>
        <v>1</v>
      </c>
      <c r="AX394" s="52" cm="1">
        <f t="array" ref="AX394">SUMPRODUCT(($V394:$AN394&lt;=$J109)*(1))</f>
        <v>0</v>
      </c>
      <c r="AY394" s="52" cm="1">
        <f t="array" ref="AY394">SUMPRODUCT(($V394:$AN394&lt;=$K109)*(1))</f>
        <v>0</v>
      </c>
      <c r="BA394" s="52">
        <f t="shared" si="71"/>
        <v>1</v>
      </c>
      <c r="BB394" s="52">
        <f t="shared" si="72"/>
        <v>0</v>
      </c>
      <c r="BC394" s="52">
        <f t="shared" si="73"/>
        <v>0</v>
      </c>
      <c r="BE394" s="50">
        <f t="shared" si="68"/>
        <v>5.2631578947368418E-2</v>
      </c>
      <c r="BF394" s="50">
        <f t="shared" si="69"/>
        <v>0</v>
      </c>
      <c r="BG394" s="50">
        <f t="shared" si="70"/>
        <v>0</v>
      </c>
    </row>
    <row r="395" spans="4:59" ht="15.6">
      <c r="D395" s="44"/>
      <c r="M395" s="42"/>
      <c r="N395" s="39" t="s">
        <v>26</v>
      </c>
      <c r="O395" s="39" t="s">
        <v>576</v>
      </c>
      <c r="P395" t="s">
        <v>715</v>
      </c>
      <c r="R395" s="41"/>
      <c r="S395" s="42"/>
      <c r="T395" s="42"/>
      <c r="U395" s="42"/>
      <c r="V395" s="45">
        <f t="shared" si="49"/>
        <v>1.0029325658635992</v>
      </c>
      <c r="W395" s="45">
        <f t="shared" si="50"/>
        <v>0.87870060095537261</v>
      </c>
      <c r="X395" s="45">
        <f t="shared" si="51"/>
        <v>1.1413814498057184</v>
      </c>
      <c r="Y395" s="45">
        <f t="shared" si="52"/>
        <v>1.1406040838513289</v>
      </c>
      <c r="Z395" s="45">
        <f t="shared" si="53"/>
        <v>1.0006815388138579</v>
      </c>
      <c r="AA395" s="45">
        <f t="shared" si="54"/>
        <v>1</v>
      </c>
      <c r="AB395" s="45">
        <f t="shared" si="55"/>
        <v>0.99519514817732901</v>
      </c>
      <c r="AC395" s="45">
        <f t="shared" si="56"/>
        <v>0.8145921244564831</v>
      </c>
      <c r="AD395" s="45">
        <f t="shared" si="57"/>
        <v>0.99292170600650653</v>
      </c>
      <c r="AE395" s="45">
        <f t="shared" si="58"/>
        <v>0.66678704473400763</v>
      </c>
      <c r="AF395" s="45">
        <f t="shared" si="59"/>
        <v>0.86889620982403504</v>
      </c>
      <c r="AG395" s="45">
        <f t="shared" si="60"/>
        <v>1.1597515977663955</v>
      </c>
      <c r="AH395" s="45">
        <f t="shared" si="61"/>
        <v>1.0924782042534016</v>
      </c>
      <c r="AI395" s="45">
        <f t="shared" si="62"/>
        <v>1.0545599678521427</v>
      </c>
      <c r="AJ395" s="45">
        <f t="shared" si="63"/>
        <v>1.0601666610646594</v>
      </c>
      <c r="AK395" s="45">
        <f t="shared" si="64"/>
        <v>1.0029710049645635</v>
      </c>
      <c r="AL395" s="45">
        <f t="shared" si="65"/>
        <v>1.0021179020778919</v>
      </c>
      <c r="AM395" s="45">
        <f t="shared" si="66"/>
        <v>1.0010229081648774</v>
      </c>
      <c r="AN395" s="45">
        <f t="shared" si="67"/>
        <v>0.8632850978487806</v>
      </c>
      <c r="AS395" s="50" cm="1">
        <f t="array" ref="AS395">SUMPRODUCT(($V395:$AN395&lt;=$I110)*(1))/COUNT($V395:$AN395)</f>
        <v>0.26315789473684209</v>
      </c>
      <c r="AT395" s="50" cm="1">
        <f t="array" ref="AT395">SUMPRODUCT(($V395:$AN395&lt;=$J110)*(1))/COUNT($V395:$AN395)</f>
        <v>0.10526315789473684</v>
      </c>
      <c r="AU395" s="50" cm="1">
        <f t="array" ref="AU395">SUMPRODUCT(($V395:$AN395&lt;=$K110)*(1))/COUNT($V395:$AN395)</f>
        <v>5.2631578947368418E-2</v>
      </c>
      <c r="AW395" s="52" cm="1">
        <f t="array" ref="AW395">SUMPRODUCT(($V395:$AN395&lt;=$I110)*(1))</f>
        <v>5</v>
      </c>
      <c r="AX395" s="52" cm="1">
        <f t="array" ref="AX395">SUMPRODUCT(($V395:$AN395&lt;=$J110)*(1))</f>
        <v>2</v>
      </c>
      <c r="AY395" s="52" cm="1">
        <f t="array" ref="AY395">SUMPRODUCT(($V395:$AN395&lt;=$K110)*(1))</f>
        <v>1</v>
      </c>
      <c r="BA395" s="52">
        <f t="shared" si="71"/>
        <v>3</v>
      </c>
      <c r="BB395" s="52">
        <f t="shared" si="72"/>
        <v>1</v>
      </c>
      <c r="BC395" s="52">
        <f t="shared" si="73"/>
        <v>1</v>
      </c>
      <c r="BE395" s="50">
        <f t="shared" si="68"/>
        <v>0.15789473684210525</v>
      </c>
      <c r="BF395" s="50">
        <f t="shared" si="69"/>
        <v>5.2631578947368418E-2</v>
      </c>
      <c r="BG395" s="50">
        <f t="shared" si="70"/>
        <v>5.2631578947368418E-2</v>
      </c>
    </row>
    <row r="396" spans="4:59" ht="15.6">
      <c r="D396" s="44"/>
      <c r="M396" s="42"/>
      <c r="N396" s="39" t="s">
        <v>26</v>
      </c>
      <c r="O396" s="39" t="s">
        <v>601</v>
      </c>
      <c r="P396" t="s">
        <v>716</v>
      </c>
      <c r="R396" s="41"/>
      <c r="S396" s="42"/>
      <c r="T396" s="42"/>
      <c r="U396" s="42"/>
      <c r="V396" s="45">
        <f t="shared" si="49"/>
        <v>1</v>
      </c>
      <c r="W396" s="45">
        <f t="shared" si="50"/>
        <v>0.88913020659300102</v>
      </c>
      <c r="X396" s="45">
        <f t="shared" si="51"/>
        <v>1.1246946651737697</v>
      </c>
      <c r="Y396" s="45">
        <f t="shared" si="52"/>
        <v>1.1246946651737697</v>
      </c>
      <c r="Z396" s="45">
        <f t="shared" si="53"/>
        <v>1</v>
      </c>
      <c r="AA396" s="45">
        <f t="shared" si="54"/>
        <v>1</v>
      </c>
      <c r="AB396" s="45">
        <f t="shared" si="55"/>
        <v>1</v>
      </c>
      <c r="AC396" s="45">
        <f t="shared" si="56"/>
        <v>0.8482256190326809</v>
      </c>
      <c r="AD396" s="45">
        <f t="shared" si="57"/>
        <v>0.978242716685083</v>
      </c>
      <c r="AE396" s="45">
        <f t="shared" si="58"/>
        <v>0.74268429501558597</v>
      </c>
      <c r="AF396" s="45">
        <f t="shared" si="59"/>
        <v>0.90762054700242578</v>
      </c>
      <c r="AG396" s="45">
        <f t="shared" si="60"/>
        <v>1.1260567912780675</v>
      </c>
      <c r="AH396" s="45">
        <f t="shared" si="61"/>
        <v>1.0770465073352107</v>
      </c>
      <c r="AI396" s="45">
        <f t="shared" si="62"/>
        <v>1.0457180421491652</v>
      </c>
      <c r="AJ396" s="45">
        <f t="shared" si="63"/>
        <v>1.0457180421491652</v>
      </c>
      <c r="AK396" s="45">
        <f t="shared" si="64"/>
        <v>0.99585209513204942</v>
      </c>
      <c r="AL396" s="45">
        <f t="shared" si="65"/>
        <v>1.000204406809575</v>
      </c>
      <c r="AM396" s="45">
        <f t="shared" si="66"/>
        <v>1</v>
      </c>
      <c r="AN396" s="45">
        <f t="shared" si="67"/>
        <v>0.98046279389614299</v>
      </c>
      <c r="AS396" s="50" cm="1">
        <f t="array" ref="AS396">SUMPRODUCT(($V396:$AN396&lt;=$I111)*(1))/COUNT($V396:$AN396)</f>
        <v>0.21052631578947367</v>
      </c>
      <c r="AT396" s="50" cm="1">
        <f t="array" ref="AT396">SUMPRODUCT(($V396:$AN396&lt;=$J111)*(1))/COUNT($V396:$AN396)</f>
        <v>0.10526315789473684</v>
      </c>
      <c r="AU396" s="50" cm="1">
        <f t="array" ref="AU396">SUMPRODUCT(($V396:$AN396&lt;=$K111)*(1))/COUNT($V396:$AN396)</f>
        <v>5.2631578947368418E-2</v>
      </c>
      <c r="AW396" s="52" cm="1">
        <f t="array" ref="AW396">SUMPRODUCT(($V396:$AN396&lt;=$I111)*(1))</f>
        <v>4</v>
      </c>
      <c r="AX396" s="52" cm="1">
        <f t="array" ref="AX396">SUMPRODUCT(($V396:$AN396&lt;=$J111)*(1))</f>
        <v>2</v>
      </c>
      <c r="AY396" s="52" cm="1">
        <f t="array" ref="AY396">SUMPRODUCT(($V396:$AN396&lt;=$K111)*(1))</f>
        <v>1</v>
      </c>
      <c r="BA396" s="52">
        <f t="shared" si="71"/>
        <v>2</v>
      </c>
      <c r="BB396" s="52">
        <f t="shared" si="72"/>
        <v>1</v>
      </c>
      <c r="BC396" s="52">
        <f t="shared" si="73"/>
        <v>1</v>
      </c>
      <c r="BE396" s="50">
        <f t="shared" si="68"/>
        <v>0.10526315789473684</v>
      </c>
      <c r="BF396" s="50">
        <f t="shared" si="69"/>
        <v>5.2631578947368418E-2</v>
      </c>
      <c r="BG396" s="50">
        <f t="shared" si="70"/>
        <v>5.2631578947368418E-2</v>
      </c>
    </row>
    <row r="397" spans="4:59" ht="15.6">
      <c r="D397" s="44"/>
      <c r="M397" s="42"/>
      <c r="N397" s="39" t="s">
        <v>26</v>
      </c>
      <c r="O397" s="39" t="s">
        <v>230</v>
      </c>
      <c r="P397" t="s">
        <v>717</v>
      </c>
      <c r="R397" s="41"/>
      <c r="S397" s="42"/>
      <c r="T397" s="42"/>
      <c r="U397" s="42"/>
      <c r="V397" s="45">
        <f t="shared" si="49"/>
        <v>1</v>
      </c>
      <c r="W397" s="45">
        <f t="shared" si="50"/>
        <v>0.95490205389178495</v>
      </c>
      <c r="X397" s="45">
        <f t="shared" si="51"/>
        <v>1</v>
      </c>
      <c r="Y397" s="45">
        <f t="shared" si="52"/>
        <v>1</v>
      </c>
      <c r="Z397" s="45">
        <f t="shared" si="53"/>
        <v>1</v>
      </c>
      <c r="AA397" s="45">
        <f t="shared" si="54"/>
        <v>0.99985357655211105</v>
      </c>
      <c r="AB397" s="45">
        <f t="shared" si="55"/>
        <v>1</v>
      </c>
      <c r="AC397" s="45">
        <f t="shared" si="56"/>
        <v>1</v>
      </c>
      <c r="AD397" s="45">
        <f t="shared" si="57"/>
        <v>1</v>
      </c>
      <c r="AE397" s="45">
        <f t="shared" si="58"/>
        <v>0.93987634870617298</v>
      </c>
      <c r="AF397" s="45">
        <f t="shared" si="59"/>
        <v>1</v>
      </c>
      <c r="AG397" s="45">
        <f t="shared" si="60"/>
        <v>1</v>
      </c>
      <c r="AH397" s="45">
        <f t="shared" si="61"/>
        <v>1</v>
      </c>
      <c r="AI397" s="45">
        <f t="shared" si="62"/>
        <v>1</v>
      </c>
      <c r="AJ397" s="45">
        <f t="shared" si="63"/>
        <v>1</v>
      </c>
      <c r="AK397" s="45">
        <f t="shared" si="64"/>
        <v>1</v>
      </c>
      <c r="AL397" s="45">
        <f t="shared" si="65"/>
        <v>1</v>
      </c>
      <c r="AM397" s="45">
        <f t="shared" si="66"/>
        <v>1</v>
      </c>
      <c r="AN397" s="45">
        <f t="shared" si="67"/>
        <v>0.99050387027248898</v>
      </c>
      <c r="AS397" s="50" cm="1">
        <f t="array" ref="AS397">SUMPRODUCT(($V397:$AN397&lt;=$I112)*(1))/COUNT($V397:$AN397)</f>
        <v>5.2631578947368418E-2</v>
      </c>
      <c r="AT397" s="50" cm="1">
        <f t="array" ref="AT397">SUMPRODUCT(($V397:$AN397&lt;=$J112)*(1))/COUNT($V397:$AN397)</f>
        <v>0</v>
      </c>
      <c r="AU397" s="50" cm="1">
        <f t="array" ref="AU397">SUMPRODUCT(($V397:$AN397&lt;=$K112)*(1))/COUNT($V397:$AN397)</f>
        <v>0</v>
      </c>
      <c r="AW397" s="52" cm="1">
        <f t="array" ref="AW397">SUMPRODUCT(($V397:$AN397&lt;=$I112)*(1))</f>
        <v>1</v>
      </c>
      <c r="AX397" s="52" cm="1">
        <f t="array" ref="AX397">SUMPRODUCT(($V397:$AN397&lt;=$J112)*(1))</f>
        <v>0</v>
      </c>
      <c r="AY397" s="52" cm="1">
        <f t="array" ref="AY397">SUMPRODUCT(($V397:$AN397&lt;=$K112)*(1))</f>
        <v>0</v>
      </c>
      <c r="BA397" s="52">
        <f t="shared" si="71"/>
        <v>1</v>
      </c>
      <c r="BB397" s="52">
        <f t="shared" si="72"/>
        <v>0</v>
      </c>
      <c r="BC397" s="52">
        <f t="shared" si="73"/>
        <v>0</v>
      </c>
      <c r="BE397" s="50">
        <f t="shared" si="68"/>
        <v>5.2631578947368418E-2</v>
      </c>
      <c r="BF397" s="50">
        <f t="shared" si="69"/>
        <v>0</v>
      </c>
      <c r="BG397" s="50">
        <f t="shared" si="70"/>
        <v>0</v>
      </c>
    </row>
    <row r="398" spans="4:59" ht="15.6">
      <c r="D398" s="44"/>
      <c r="M398" s="42"/>
      <c r="N398" s="39" t="s">
        <v>26</v>
      </c>
      <c r="O398" s="39" t="s">
        <v>278</v>
      </c>
      <c r="P398" t="s">
        <v>718</v>
      </c>
      <c r="R398" s="41"/>
      <c r="S398" s="42"/>
      <c r="T398" s="42"/>
      <c r="U398" s="42"/>
      <c r="V398" s="45">
        <f t="shared" si="49"/>
        <v>1</v>
      </c>
      <c r="W398" s="45">
        <f t="shared" si="50"/>
        <v>0.99771413940121501</v>
      </c>
      <c r="X398" s="45">
        <f t="shared" si="51"/>
        <v>1</v>
      </c>
      <c r="Y398" s="45">
        <f t="shared" si="52"/>
        <v>1</v>
      </c>
      <c r="Z398" s="45">
        <f t="shared" si="53"/>
        <v>1</v>
      </c>
      <c r="AA398" s="45">
        <f t="shared" si="54"/>
        <v>1</v>
      </c>
      <c r="AB398" s="45">
        <f t="shared" si="55"/>
        <v>1</v>
      </c>
      <c r="AC398" s="45">
        <f t="shared" si="56"/>
        <v>1</v>
      </c>
      <c r="AD398" s="45">
        <f t="shared" si="57"/>
        <v>1</v>
      </c>
      <c r="AE398" s="45">
        <f t="shared" si="58"/>
        <v>1</v>
      </c>
      <c r="AF398" s="45">
        <f t="shared" si="59"/>
        <v>1</v>
      </c>
      <c r="AG398" s="45">
        <f t="shared" si="60"/>
        <v>1</v>
      </c>
      <c r="AH398" s="45">
        <f t="shared" si="61"/>
        <v>1</v>
      </c>
      <c r="AI398" s="45">
        <f t="shared" si="62"/>
        <v>1</v>
      </c>
      <c r="AJ398" s="45">
        <f t="shared" si="63"/>
        <v>1</v>
      </c>
      <c r="AK398" s="45">
        <f t="shared" si="64"/>
        <v>1</v>
      </c>
      <c r="AL398" s="45">
        <f t="shared" si="65"/>
        <v>1</v>
      </c>
      <c r="AM398" s="45">
        <f t="shared" si="66"/>
        <v>1</v>
      </c>
      <c r="AN398" s="45">
        <f t="shared" si="67"/>
        <v>0.99124581844960802</v>
      </c>
      <c r="AS398" s="50" cm="1">
        <f t="array" ref="AS398">SUMPRODUCT(($V398:$AN398&lt;=$I113)*(1))/COUNT($V398:$AN398)</f>
        <v>0</v>
      </c>
      <c r="AT398" s="50" cm="1">
        <f t="array" ref="AT398">SUMPRODUCT(($V398:$AN398&lt;=$J113)*(1))/COUNT($V398:$AN398)</f>
        <v>0</v>
      </c>
      <c r="AU398" s="50" cm="1">
        <f t="array" ref="AU398">SUMPRODUCT(($V398:$AN398&lt;=$K113)*(1))/COUNT($V398:$AN398)</f>
        <v>0</v>
      </c>
      <c r="AW398" s="52" cm="1">
        <f t="array" ref="AW398">SUMPRODUCT(($V398:$AN398&lt;=$I113)*(1))</f>
        <v>0</v>
      </c>
      <c r="AX398" s="52" cm="1">
        <f t="array" ref="AX398">SUMPRODUCT(($V398:$AN398&lt;=$J113)*(1))</f>
        <v>0</v>
      </c>
      <c r="AY398" s="52" cm="1">
        <f t="array" ref="AY398">SUMPRODUCT(($V398:$AN398&lt;=$K113)*(1))</f>
        <v>0</v>
      </c>
      <c r="BA398" s="52">
        <f t="shared" si="71"/>
        <v>0</v>
      </c>
      <c r="BB398" s="52">
        <f t="shared" si="72"/>
        <v>0</v>
      </c>
      <c r="BC398" s="52">
        <f t="shared" si="73"/>
        <v>0</v>
      </c>
      <c r="BE398" s="50">
        <f t="shared" si="68"/>
        <v>0</v>
      </c>
      <c r="BF398" s="50">
        <f t="shared" si="69"/>
        <v>0</v>
      </c>
      <c r="BG398" s="50">
        <f t="shared" si="70"/>
        <v>0</v>
      </c>
    </row>
    <row r="399" spans="4:59" ht="15.6">
      <c r="D399" s="44"/>
      <c r="M399" s="42"/>
      <c r="N399" s="39" t="s">
        <v>26</v>
      </c>
      <c r="O399" s="39" t="s">
        <v>429</v>
      </c>
      <c r="P399" t="s">
        <v>719</v>
      </c>
      <c r="R399" s="41"/>
      <c r="S399" s="42"/>
      <c r="T399" s="42"/>
      <c r="U399" s="42"/>
      <c r="V399" s="45">
        <f t="shared" si="49"/>
        <v>1.0011145720941443</v>
      </c>
      <c r="W399" s="45">
        <f t="shared" si="50"/>
        <v>0.98609159006532043</v>
      </c>
      <c r="X399" s="45">
        <f t="shared" si="51"/>
        <v>1.0037596832618969</v>
      </c>
      <c r="Y399" s="45">
        <f t="shared" si="52"/>
        <v>0.98904019831616374</v>
      </c>
      <c r="Z399" s="45">
        <f t="shared" si="53"/>
        <v>0.99951330236172076</v>
      </c>
      <c r="AA399" s="45">
        <f t="shared" si="54"/>
        <v>0.99446018046499618</v>
      </c>
      <c r="AB399" s="45">
        <f t="shared" si="55"/>
        <v>1.0135752008392804</v>
      </c>
      <c r="AC399" s="45">
        <f t="shared" si="56"/>
        <v>1.0050674243091651</v>
      </c>
      <c r="AD399" s="45">
        <f t="shared" si="57"/>
        <v>1.0072714406909919</v>
      </c>
      <c r="AE399" s="45">
        <f t="shared" si="58"/>
        <v>0.93278384721065566</v>
      </c>
      <c r="AF399" s="45">
        <f t="shared" si="59"/>
        <v>0.99657826905380764</v>
      </c>
      <c r="AG399" s="45">
        <f t="shared" si="60"/>
        <v>0.9999023185444923</v>
      </c>
      <c r="AH399" s="45">
        <f t="shared" si="61"/>
        <v>0.99111552373880107</v>
      </c>
      <c r="AI399" s="45">
        <f t="shared" si="62"/>
        <v>0.99253295148189402</v>
      </c>
      <c r="AJ399" s="45">
        <f t="shared" si="63"/>
        <v>1.0096086280539454</v>
      </c>
      <c r="AK399" s="45">
        <f t="shared" si="64"/>
        <v>1.0051367335280617</v>
      </c>
      <c r="AL399" s="45">
        <f t="shared" si="65"/>
        <v>0.99777463942923827</v>
      </c>
      <c r="AM399" s="45">
        <f t="shared" si="66"/>
        <v>1.0052131017051076</v>
      </c>
      <c r="AN399" s="45">
        <f t="shared" si="67"/>
        <v>0.97857662471322071</v>
      </c>
      <c r="AS399" s="50" cm="1">
        <f t="array" ref="AS399">SUMPRODUCT(($V399:$AN399&lt;=$I114)*(1))/COUNT($V399:$AN399)</f>
        <v>5.2631578947368418E-2</v>
      </c>
      <c r="AT399" s="50" cm="1">
        <f t="array" ref="AT399">SUMPRODUCT(($V399:$AN399&lt;=$J114)*(1))/COUNT($V399:$AN399)</f>
        <v>0</v>
      </c>
      <c r="AU399" s="50" cm="1">
        <f t="array" ref="AU399">SUMPRODUCT(($V399:$AN399&lt;=$K114)*(1))/COUNT($V399:$AN399)</f>
        <v>0</v>
      </c>
      <c r="AW399" s="52" cm="1">
        <f t="array" ref="AW399">SUMPRODUCT(($V399:$AN399&lt;=$I114)*(1))</f>
        <v>1</v>
      </c>
      <c r="AX399" s="52" cm="1">
        <f t="array" ref="AX399">SUMPRODUCT(($V399:$AN399&lt;=$J114)*(1))</f>
        <v>0</v>
      </c>
      <c r="AY399" s="52" cm="1">
        <f t="array" ref="AY399">SUMPRODUCT(($V399:$AN399&lt;=$K114)*(1))</f>
        <v>0</v>
      </c>
      <c r="BA399" s="52">
        <f t="shared" si="71"/>
        <v>1</v>
      </c>
      <c r="BB399" s="52">
        <f t="shared" si="72"/>
        <v>0</v>
      </c>
      <c r="BC399" s="52">
        <f t="shared" si="73"/>
        <v>0</v>
      </c>
      <c r="BE399" s="50">
        <f t="shared" si="68"/>
        <v>5.2631578947368418E-2</v>
      </c>
      <c r="BF399" s="50">
        <f t="shared" si="69"/>
        <v>0</v>
      </c>
      <c r="BG399" s="50">
        <f t="shared" si="70"/>
        <v>0</v>
      </c>
    </row>
    <row r="400" spans="4:59" ht="15.6">
      <c r="D400" s="44"/>
      <c r="M400" s="42"/>
      <c r="N400" s="39" t="s">
        <v>26</v>
      </c>
      <c r="O400" s="39" t="s">
        <v>221</v>
      </c>
      <c r="P400" t="s">
        <v>226</v>
      </c>
      <c r="R400" s="41"/>
      <c r="S400" s="42"/>
      <c r="T400" s="42"/>
      <c r="U400" s="42"/>
      <c r="V400" s="45">
        <f t="shared" si="49"/>
        <v>0.99471026343498825</v>
      </c>
      <c r="W400" s="45">
        <f t="shared" si="50"/>
        <v>0.85758610023778492</v>
      </c>
      <c r="X400" s="45">
        <f t="shared" si="51"/>
        <v>1.0099696223946424</v>
      </c>
      <c r="Y400" s="45">
        <f t="shared" si="52"/>
        <v>0.96568030422982321</v>
      </c>
      <c r="Z400" s="45">
        <f t="shared" si="53"/>
        <v>1.0375997989295029</v>
      </c>
      <c r="AA400" s="45">
        <f t="shared" si="54"/>
        <v>0.98255863754423312</v>
      </c>
      <c r="AB400" s="45">
        <f t="shared" si="55"/>
        <v>1.0278975562404289</v>
      </c>
      <c r="AC400" s="45">
        <f t="shared" si="56"/>
        <v>0.99968213066943656</v>
      </c>
      <c r="AD400" s="45">
        <f t="shared" si="57"/>
        <v>1.007069121271537</v>
      </c>
      <c r="AE400" s="45">
        <f t="shared" si="58"/>
        <v>0.83221298949875</v>
      </c>
      <c r="AF400" s="45">
        <f t="shared" si="59"/>
        <v>1.0033131843750385</v>
      </c>
      <c r="AG400" s="45">
        <f t="shared" si="60"/>
        <v>1.0049549884179152</v>
      </c>
      <c r="AH400" s="45">
        <f t="shared" si="61"/>
        <v>1.002915281174886</v>
      </c>
      <c r="AI400" s="45">
        <f t="shared" si="62"/>
        <v>1.0020337782077062</v>
      </c>
      <c r="AJ400" s="45">
        <f t="shared" si="63"/>
        <v>1.0020337782077062</v>
      </c>
      <c r="AK400" s="45">
        <f t="shared" si="64"/>
        <v>0.99455365328506606</v>
      </c>
      <c r="AL400" s="45">
        <f t="shared" si="65"/>
        <v>0.99743313414875301</v>
      </c>
      <c r="AM400" s="45">
        <f t="shared" si="66"/>
        <v>1.0020337782077062</v>
      </c>
      <c r="AN400" s="45">
        <f t="shared" si="67"/>
        <v>0.88510547131614103</v>
      </c>
      <c r="AS400" s="50" cm="1">
        <f t="array" ref="AS400">SUMPRODUCT(($V400:$AN400&lt;=$I115)*(1))/COUNT($V400:$AN400)</f>
        <v>0.15789473684210525</v>
      </c>
      <c r="AT400" s="50" cm="1">
        <f t="array" ref="AT400">SUMPRODUCT(($V400:$AN400&lt;=$J115)*(1))/COUNT($V400:$AN400)</f>
        <v>5.2631578947368418E-2</v>
      </c>
      <c r="AU400" s="50" cm="1">
        <f t="array" ref="AU400">SUMPRODUCT(($V400:$AN400&lt;=$K115)*(1))/COUNT($V400:$AN400)</f>
        <v>0</v>
      </c>
      <c r="AW400" s="52" cm="1">
        <f t="array" ref="AW400">SUMPRODUCT(($V400:$AN400&lt;=$I115)*(1))</f>
        <v>3</v>
      </c>
      <c r="AX400" s="52" cm="1">
        <f t="array" ref="AX400">SUMPRODUCT(($V400:$AN400&lt;=$J115)*(1))</f>
        <v>1</v>
      </c>
      <c r="AY400" s="52" cm="1">
        <f t="array" ref="AY400">SUMPRODUCT(($V400:$AN400&lt;=$K115)*(1))</f>
        <v>0</v>
      </c>
      <c r="BA400" s="52">
        <f t="shared" si="71"/>
        <v>2</v>
      </c>
      <c r="BB400" s="52">
        <f t="shared" si="72"/>
        <v>1</v>
      </c>
      <c r="BC400" s="52">
        <f t="shared" si="73"/>
        <v>0</v>
      </c>
      <c r="BE400" s="50">
        <f t="shared" si="68"/>
        <v>0.10526315789473684</v>
      </c>
      <c r="BF400" s="50">
        <f t="shared" si="69"/>
        <v>5.2631578947368418E-2</v>
      </c>
      <c r="BG400" s="50">
        <f t="shared" si="70"/>
        <v>0</v>
      </c>
    </row>
    <row r="401" spans="4:59" ht="15.6">
      <c r="D401" s="44"/>
      <c r="M401" s="42"/>
      <c r="N401" s="39" t="s">
        <v>26</v>
      </c>
      <c r="O401" s="39" t="s">
        <v>588</v>
      </c>
      <c r="P401" t="s">
        <v>720</v>
      </c>
      <c r="R401" s="41"/>
      <c r="S401" s="42"/>
      <c r="T401" s="42"/>
      <c r="U401" s="42"/>
      <c r="V401" s="45">
        <f t="shared" si="49"/>
        <v>1</v>
      </c>
      <c r="W401" s="45">
        <f t="shared" si="50"/>
        <v>1</v>
      </c>
      <c r="X401" s="45">
        <f t="shared" si="51"/>
        <v>1</v>
      </c>
      <c r="Y401" s="45">
        <f t="shared" si="52"/>
        <v>1</v>
      </c>
      <c r="Z401" s="45">
        <f t="shared" si="53"/>
        <v>1</v>
      </c>
      <c r="AA401" s="45">
        <f t="shared" si="54"/>
        <v>1</v>
      </c>
      <c r="AB401" s="45">
        <f t="shared" si="55"/>
        <v>1</v>
      </c>
      <c r="AC401" s="45">
        <f t="shared" si="56"/>
        <v>0.98959542455470295</v>
      </c>
      <c r="AD401" s="45">
        <f t="shared" si="57"/>
        <v>1</v>
      </c>
      <c r="AE401" s="45">
        <f t="shared" si="58"/>
        <v>0.99981945901991398</v>
      </c>
      <c r="AF401" s="45">
        <f t="shared" si="59"/>
        <v>0.99662194514192903</v>
      </c>
      <c r="AG401" s="45">
        <f t="shared" si="60"/>
        <v>1.0001805735810174</v>
      </c>
      <c r="AH401" s="45">
        <f t="shared" si="61"/>
        <v>1.0001805735810174</v>
      </c>
      <c r="AI401" s="45">
        <f t="shared" si="62"/>
        <v>1</v>
      </c>
      <c r="AJ401" s="45">
        <f t="shared" si="63"/>
        <v>1</v>
      </c>
      <c r="AK401" s="45">
        <f t="shared" si="64"/>
        <v>1</v>
      </c>
      <c r="AL401" s="45">
        <f t="shared" si="65"/>
        <v>1</v>
      </c>
      <c r="AM401" s="45">
        <f t="shared" si="66"/>
        <v>1</v>
      </c>
      <c r="AN401" s="45">
        <f t="shared" si="67"/>
        <v>1</v>
      </c>
      <c r="AS401" s="50" cm="1">
        <f t="array" ref="AS401">SUMPRODUCT(($V401:$AN401&lt;=$I116)*(1))/COUNT($V401:$AN401)</f>
        <v>0</v>
      </c>
      <c r="AT401" s="50" cm="1">
        <f t="array" ref="AT401">SUMPRODUCT(($V401:$AN401&lt;=$J116)*(1))/COUNT($V401:$AN401)</f>
        <v>0</v>
      </c>
      <c r="AU401" s="50" cm="1">
        <f t="array" ref="AU401">SUMPRODUCT(($V401:$AN401&lt;=$K116)*(1))/COUNT($V401:$AN401)</f>
        <v>0</v>
      </c>
      <c r="AW401" s="52" cm="1">
        <f t="array" ref="AW401">SUMPRODUCT(($V401:$AN401&lt;=$I116)*(1))</f>
        <v>0</v>
      </c>
      <c r="AX401" s="52" cm="1">
        <f t="array" ref="AX401">SUMPRODUCT(($V401:$AN401&lt;=$J116)*(1))</f>
        <v>0</v>
      </c>
      <c r="AY401" s="52" cm="1">
        <f t="array" ref="AY401">SUMPRODUCT(($V401:$AN401&lt;=$K116)*(1))</f>
        <v>0</v>
      </c>
      <c r="BA401" s="52">
        <f t="shared" si="71"/>
        <v>0</v>
      </c>
      <c r="BB401" s="52">
        <f t="shared" si="72"/>
        <v>0</v>
      </c>
      <c r="BC401" s="52">
        <f t="shared" si="73"/>
        <v>0</v>
      </c>
      <c r="BE401" s="50">
        <f t="shared" si="68"/>
        <v>0</v>
      </c>
      <c r="BF401" s="50">
        <f t="shared" si="69"/>
        <v>0</v>
      </c>
      <c r="BG401" s="50">
        <f t="shared" si="70"/>
        <v>0</v>
      </c>
    </row>
    <row r="402" spans="4:59" ht="15.6">
      <c r="D402" s="44"/>
      <c r="M402" s="42"/>
      <c r="N402" s="39" t="s">
        <v>26</v>
      </c>
      <c r="O402" s="39" t="s">
        <v>527</v>
      </c>
      <c r="P402" t="s">
        <v>721</v>
      </c>
      <c r="R402" s="41"/>
      <c r="S402" s="42"/>
      <c r="T402" s="42"/>
      <c r="U402" s="42"/>
      <c r="V402" s="45">
        <f t="shared" si="49"/>
        <v>1</v>
      </c>
      <c r="W402" s="45">
        <f t="shared" si="50"/>
        <v>0.85958915582912798</v>
      </c>
      <c r="X402" s="45">
        <f t="shared" si="51"/>
        <v>1.0052419759660416</v>
      </c>
      <c r="Y402" s="45">
        <f t="shared" si="52"/>
        <v>1</v>
      </c>
      <c r="Z402" s="45">
        <f t="shared" si="53"/>
        <v>1</v>
      </c>
      <c r="AA402" s="45">
        <f t="shared" si="54"/>
        <v>0.99589115714335608</v>
      </c>
      <c r="AB402" s="45">
        <f t="shared" si="55"/>
        <v>1</v>
      </c>
      <c r="AC402" s="45">
        <f t="shared" si="56"/>
        <v>0.95674185568468995</v>
      </c>
      <c r="AD402" s="45">
        <f t="shared" si="57"/>
        <v>0.94052734653416903</v>
      </c>
      <c r="AE402" s="45">
        <f t="shared" si="58"/>
        <v>0.7919943524625892</v>
      </c>
      <c r="AF402" s="45">
        <f t="shared" si="59"/>
        <v>0.96981290530580877</v>
      </c>
      <c r="AG402" s="45">
        <f t="shared" si="60"/>
        <v>1.0602293156296567</v>
      </c>
      <c r="AH402" s="45">
        <f t="shared" si="61"/>
        <v>1.0456395192741401</v>
      </c>
      <c r="AI402" s="45">
        <f t="shared" si="62"/>
        <v>1.0071917919010387</v>
      </c>
      <c r="AJ402" s="45">
        <f t="shared" si="63"/>
        <v>1.0132801343170155</v>
      </c>
      <c r="AK402" s="45">
        <f t="shared" si="64"/>
        <v>1.0348279755674026</v>
      </c>
      <c r="AL402" s="45">
        <f t="shared" si="65"/>
        <v>1.0166222055154692</v>
      </c>
      <c r="AM402" s="45">
        <f t="shared" si="66"/>
        <v>1.0168258624125828</v>
      </c>
      <c r="AN402" s="45">
        <f t="shared" si="67"/>
        <v>0.79863839627861277</v>
      </c>
      <c r="AS402" s="50" cm="1">
        <f t="array" ref="AS402">SUMPRODUCT(($V402:$AN402&lt;=$I117)*(1))/COUNT($V402:$AN402)</f>
        <v>0.21052631578947367</v>
      </c>
      <c r="AT402" s="50" cm="1">
        <f t="array" ref="AT402">SUMPRODUCT(($V402:$AN402&lt;=$J117)*(1))/COUNT($V402:$AN402)</f>
        <v>0.10526315789473684</v>
      </c>
      <c r="AU402" s="50" cm="1">
        <f t="array" ref="AU402">SUMPRODUCT(($V402:$AN402&lt;=$K117)*(1))/COUNT($V402:$AN402)</f>
        <v>0</v>
      </c>
      <c r="AW402" s="52" cm="1">
        <f t="array" ref="AW402">SUMPRODUCT(($V402:$AN402&lt;=$I117)*(1))</f>
        <v>4</v>
      </c>
      <c r="AX402" s="52" cm="1">
        <f t="array" ref="AX402">SUMPRODUCT(($V402:$AN402&lt;=$J117)*(1))</f>
        <v>2</v>
      </c>
      <c r="AY402" s="52" cm="1">
        <f t="array" ref="AY402">SUMPRODUCT(($V402:$AN402&lt;=$K117)*(1))</f>
        <v>0</v>
      </c>
      <c r="BA402" s="52">
        <f t="shared" si="71"/>
        <v>2</v>
      </c>
      <c r="BB402" s="52">
        <f t="shared" si="72"/>
        <v>2</v>
      </c>
      <c r="BC402" s="52">
        <f t="shared" si="73"/>
        <v>0</v>
      </c>
      <c r="BE402" s="50">
        <f t="shared" si="68"/>
        <v>0.10526315789473684</v>
      </c>
      <c r="BF402" s="50">
        <f t="shared" si="69"/>
        <v>0.10526315789473684</v>
      </c>
      <c r="BG402" s="50">
        <f t="shared" si="70"/>
        <v>0</v>
      </c>
    </row>
    <row r="403" spans="4:59" ht="15.6">
      <c r="D403" s="44"/>
      <c r="M403" s="42"/>
      <c r="N403" s="39" t="s">
        <v>26</v>
      </c>
      <c r="O403" s="39" t="s">
        <v>235</v>
      </c>
      <c r="P403" t="s">
        <v>722</v>
      </c>
      <c r="R403" s="41"/>
      <c r="S403" s="42"/>
      <c r="T403" s="42"/>
      <c r="U403" s="42"/>
      <c r="V403" s="45">
        <f t="shared" si="49"/>
        <v>1</v>
      </c>
      <c r="W403" s="45">
        <f t="shared" si="50"/>
        <v>1</v>
      </c>
      <c r="X403" s="45">
        <f t="shared" si="51"/>
        <v>1</v>
      </c>
      <c r="Y403" s="45">
        <f t="shared" si="52"/>
        <v>1</v>
      </c>
      <c r="Z403" s="45">
        <f t="shared" si="53"/>
        <v>1</v>
      </c>
      <c r="AA403" s="45">
        <f t="shared" si="54"/>
        <v>1</v>
      </c>
      <c r="AB403" s="45">
        <f t="shared" si="55"/>
        <v>1</v>
      </c>
      <c r="AC403" s="45">
        <f t="shared" si="56"/>
        <v>1</v>
      </c>
      <c r="AD403" s="45">
        <f t="shared" si="57"/>
        <v>1</v>
      </c>
      <c r="AE403" s="45">
        <f t="shared" si="58"/>
        <v>0.99381081824378692</v>
      </c>
      <c r="AF403" s="45">
        <f t="shared" si="59"/>
        <v>1</v>
      </c>
      <c r="AG403" s="45">
        <f t="shared" si="60"/>
        <v>1</v>
      </c>
      <c r="AH403" s="45">
        <f t="shared" si="61"/>
        <v>1</v>
      </c>
      <c r="AI403" s="45">
        <f t="shared" si="62"/>
        <v>1</v>
      </c>
      <c r="AJ403" s="45">
        <f t="shared" si="63"/>
        <v>1</v>
      </c>
      <c r="AK403" s="45">
        <f t="shared" si="64"/>
        <v>1</v>
      </c>
      <c r="AL403" s="45">
        <f t="shared" si="65"/>
        <v>1</v>
      </c>
      <c r="AM403" s="45">
        <f t="shared" si="66"/>
        <v>1</v>
      </c>
      <c r="AN403" s="45">
        <f t="shared" si="67"/>
        <v>1</v>
      </c>
      <c r="AS403" s="50" cm="1">
        <f t="array" ref="AS403">SUMPRODUCT(($V403:$AN403&lt;=$I118)*(1))/COUNT($V403:$AN403)</f>
        <v>0</v>
      </c>
      <c r="AT403" s="50" cm="1">
        <f t="array" ref="AT403">SUMPRODUCT(($V403:$AN403&lt;=$J118)*(1))/COUNT($V403:$AN403)</f>
        <v>0</v>
      </c>
      <c r="AU403" s="50" cm="1">
        <f t="array" ref="AU403">SUMPRODUCT(($V403:$AN403&lt;=$K118)*(1))/COUNT($V403:$AN403)</f>
        <v>0</v>
      </c>
      <c r="AW403" s="52" cm="1">
        <f t="array" ref="AW403">SUMPRODUCT(($V403:$AN403&lt;=$I118)*(1))</f>
        <v>0</v>
      </c>
      <c r="AX403" s="52" cm="1">
        <f t="array" ref="AX403">SUMPRODUCT(($V403:$AN403&lt;=$J118)*(1))</f>
        <v>0</v>
      </c>
      <c r="AY403" s="52" cm="1">
        <f t="array" ref="AY403">SUMPRODUCT(($V403:$AN403&lt;=$K118)*(1))</f>
        <v>0</v>
      </c>
      <c r="BA403" s="52">
        <f t="shared" si="71"/>
        <v>0</v>
      </c>
      <c r="BB403" s="52">
        <f t="shared" si="72"/>
        <v>0</v>
      </c>
      <c r="BC403" s="52">
        <f t="shared" si="73"/>
        <v>0</v>
      </c>
      <c r="BE403" s="50">
        <f t="shared" si="68"/>
        <v>0</v>
      </c>
      <c r="BF403" s="50">
        <f t="shared" si="69"/>
        <v>0</v>
      </c>
      <c r="BG403" s="50">
        <f t="shared" si="70"/>
        <v>0</v>
      </c>
    </row>
    <row r="404" spans="4:59" ht="15.6">
      <c r="D404" s="44"/>
      <c r="M404" s="42"/>
      <c r="N404" s="39" t="s">
        <v>26</v>
      </c>
      <c r="O404" s="39" t="s">
        <v>513</v>
      </c>
      <c r="P404" t="s">
        <v>723</v>
      </c>
      <c r="R404" s="41"/>
      <c r="S404" s="42"/>
      <c r="T404" s="42"/>
      <c r="U404" s="42"/>
      <c r="V404" s="45">
        <f t="shared" si="49"/>
        <v>1</v>
      </c>
      <c r="W404" s="45">
        <f t="shared" si="50"/>
        <v>0.94819580991095509</v>
      </c>
      <c r="X404" s="45">
        <f t="shared" si="51"/>
        <v>1</v>
      </c>
      <c r="Y404" s="45">
        <f t="shared" si="52"/>
        <v>1</v>
      </c>
      <c r="Z404" s="45">
        <f t="shared" si="53"/>
        <v>1</v>
      </c>
      <c r="AA404" s="45">
        <f t="shared" si="54"/>
        <v>1</v>
      </c>
      <c r="AB404" s="45">
        <f t="shared" si="55"/>
        <v>1</v>
      </c>
      <c r="AC404" s="45">
        <f t="shared" si="56"/>
        <v>1</v>
      </c>
      <c r="AD404" s="45">
        <f t="shared" si="57"/>
        <v>1</v>
      </c>
      <c r="AE404" s="45">
        <f t="shared" si="58"/>
        <v>0.99042112804779603</v>
      </c>
      <c r="AF404" s="45">
        <f t="shared" si="59"/>
        <v>1</v>
      </c>
      <c r="AG404" s="45">
        <f t="shared" si="60"/>
        <v>1</v>
      </c>
      <c r="AH404" s="45">
        <f t="shared" si="61"/>
        <v>0.97853078311866493</v>
      </c>
      <c r="AI404" s="45">
        <f t="shared" si="62"/>
        <v>1</v>
      </c>
      <c r="AJ404" s="45">
        <f t="shared" si="63"/>
        <v>1</v>
      </c>
      <c r="AK404" s="45">
        <f t="shared" si="64"/>
        <v>1</v>
      </c>
      <c r="AL404" s="45">
        <f t="shared" si="65"/>
        <v>1</v>
      </c>
      <c r="AM404" s="45">
        <f t="shared" si="66"/>
        <v>1</v>
      </c>
      <c r="AN404" s="45">
        <f t="shared" si="67"/>
        <v>1</v>
      </c>
      <c r="AS404" s="50" cm="1">
        <f t="array" ref="AS404">SUMPRODUCT(($V404:$AN404&lt;=$I119)*(1))/COUNT($V404:$AN404)</f>
        <v>5.2631578947368418E-2</v>
      </c>
      <c r="AT404" s="50" cm="1">
        <f t="array" ref="AT404">SUMPRODUCT(($V404:$AN404&lt;=$J119)*(1))/COUNT($V404:$AN404)</f>
        <v>0</v>
      </c>
      <c r="AU404" s="50" cm="1">
        <f t="array" ref="AU404">SUMPRODUCT(($V404:$AN404&lt;=$K119)*(1))/COUNT($V404:$AN404)</f>
        <v>0</v>
      </c>
      <c r="AW404" s="52" cm="1">
        <f t="array" ref="AW404">SUMPRODUCT(($V404:$AN404&lt;=$I119)*(1))</f>
        <v>1</v>
      </c>
      <c r="AX404" s="52" cm="1">
        <f t="array" ref="AX404">SUMPRODUCT(($V404:$AN404&lt;=$J119)*(1))</f>
        <v>0</v>
      </c>
      <c r="AY404" s="52" cm="1">
        <f t="array" ref="AY404">SUMPRODUCT(($V404:$AN404&lt;=$K119)*(1))</f>
        <v>0</v>
      </c>
      <c r="BA404" s="52">
        <f t="shared" si="71"/>
        <v>1</v>
      </c>
      <c r="BB404" s="52">
        <f t="shared" si="72"/>
        <v>0</v>
      </c>
      <c r="BC404" s="52">
        <f t="shared" si="73"/>
        <v>0</v>
      </c>
      <c r="BE404" s="50">
        <f t="shared" si="68"/>
        <v>5.2631578947368418E-2</v>
      </c>
      <c r="BF404" s="50">
        <f t="shared" si="69"/>
        <v>0</v>
      </c>
      <c r="BG404" s="50">
        <f t="shared" si="70"/>
        <v>0</v>
      </c>
    </row>
    <row r="405" spans="4:59" ht="15.6">
      <c r="D405" s="44"/>
      <c r="M405" s="42"/>
      <c r="N405" s="39" t="s">
        <v>26</v>
      </c>
      <c r="O405" s="39" t="s">
        <v>598</v>
      </c>
      <c r="P405" t="s">
        <v>724</v>
      </c>
      <c r="R405" s="41"/>
      <c r="S405" s="42"/>
      <c r="T405" s="42"/>
      <c r="U405" s="42"/>
      <c r="V405" s="45">
        <f t="shared" si="49"/>
        <v>1</v>
      </c>
      <c r="W405" s="45">
        <f t="shared" si="50"/>
        <v>0.99625492542303706</v>
      </c>
      <c r="X405" s="45">
        <f t="shared" si="51"/>
        <v>1.0004583087482695</v>
      </c>
      <c r="Y405" s="45">
        <f t="shared" si="52"/>
        <v>1.0004583087482695</v>
      </c>
      <c r="Z405" s="45">
        <f t="shared" si="53"/>
        <v>1</v>
      </c>
      <c r="AA405" s="45">
        <f t="shared" si="54"/>
        <v>1</v>
      </c>
      <c r="AB405" s="45">
        <f t="shared" si="55"/>
        <v>1</v>
      </c>
      <c r="AC405" s="45">
        <f t="shared" si="56"/>
        <v>0.89668436214188008</v>
      </c>
      <c r="AD405" s="45">
        <f t="shared" si="57"/>
        <v>1</v>
      </c>
      <c r="AE405" s="45">
        <f t="shared" si="58"/>
        <v>0.885937678553401</v>
      </c>
      <c r="AF405" s="45">
        <f t="shared" si="59"/>
        <v>0.99577200900849205</v>
      </c>
      <c r="AG405" s="45">
        <f t="shared" si="60"/>
        <v>1.0006012835892637</v>
      </c>
      <c r="AH405" s="45">
        <f t="shared" si="61"/>
        <v>1.0025193929412306</v>
      </c>
      <c r="AI405" s="45">
        <f t="shared" si="62"/>
        <v>1.0036424690532846</v>
      </c>
      <c r="AJ405" s="45">
        <f t="shared" si="63"/>
        <v>1.0036424690532846</v>
      </c>
      <c r="AK405" s="45">
        <f t="shared" si="64"/>
        <v>1.0017222109321182</v>
      </c>
      <c r="AL405" s="45">
        <f t="shared" si="65"/>
        <v>1</v>
      </c>
      <c r="AM405" s="45">
        <f t="shared" si="66"/>
        <v>1</v>
      </c>
      <c r="AN405" s="45">
        <f t="shared" si="67"/>
        <v>1</v>
      </c>
      <c r="AS405" s="50" cm="1">
        <f t="array" ref="AS405">SUMPRODUCT(($V405:$AN405&lt;=$I120)*(1))/COUNT($V405:$AN405)</f>
        <v>0.10526315789473684</v>
      </c>
      <c r="AT405" s="50" cm="1">
        <f t="array" ref="AT405">SUMPRODUCT(($V405:$AN405&lt;=$J120)*(1))/COUNT($V405:$AN405)</f>
        <v>0</v>
      </c>
      <c r="AU405" s="50" cm="1">
        <f t="array" ref="AU405">SUMPRODUCT(($V405:$AN405&lt;=$K120)*(1))/COUNT($V405:$AN405)</f>
        <v>0</v>
      </c>
      <c r="AW405" s="52" cm="1">
        <f t="array" ref="AW405">SUMPRODUCT(($V405:$AN405&lt;=$I120)*(1))</f>
        <v>2</v>
      </c>
      <c r="AX405" s="52" cm="1">
        <f t="array" ref="AX405">SUMPRODUCT(($V405:$AN405&lt;=$J120)*(1))</f>
        <v>0</v>
      </c>
      <c r="AY405" s="52" cm="1">
        <f t="array" ref="AY405">SUMPRODUCT(($V405:$AN405&lt;=$K120)*(1))</f>
        <v>0</v>
      </c>
      <c r="BA405" s="52">
        <f t="shared" si="71"/>
        <v>2</v>
      </c>
      <c r="BB405" s="52">
        <f t="shared" si="72"/>
        <v>0</v>
      </c>
      <c r="BC405" s="52">
        <f t="shared" si="73"/>
        <v>0</v>
      </c>
      <c r="BE405" s="50">
        <f t="shared" si="68"/>
        <v>0.10526315789473684</v>
      </c>
      <c r="BF405" s="50">
        <f t="shared" si="69"/>
        <v>0</v>
      </c>
      <c r="BG405" s="50">
        <f t="shared" si="70"/>
        <v>0</v>
      </c>
    </row>
    <row r="406" spans="4:59" ht="15.6">
      <c r="D406" s="44"/>
      <c r="M406" s="42"/>
      <c r="N406" s="39" t="s">
        <v>26</v>
      </c>
      <c r="O406" s="39" t="s">
        <v>441</v>
      </c>
      <c r="P406" t="s">
        <v>725</v>
      </c>
      <c r="R406" s="41"/>
      <c r="S406" s="42"/>
      <c r="T406" s="42"/>
      <c r="U406" s="42"/>
      <c r="V406" s="45">
        <f t="shared" si="49"/>
        <v>1</v>
      </c>
      <c r="W406" s="45">
        <f t="shared" si="50"/>
        <v>0.92601711749471705</v>
      </c>
      <c r="X406" s="45">
        <f t="shared" si="51"/>
        <v>0.98438469882486301</v>
      </c>
      <c r="Y406" s="45">
        <f t="shared" si="52"/>
        <v>1.0150473262937119</v>
      </c>
      <c r="Z406" s="45">
        <f t="shared" si="53"/>
        <v>1</v>
      </c>
      <c r="AA406" s="45">
        <f t="shared" si="54"/>
        <v>0.99600921782447205</v>
      </c>
      <c r="AB406" s="45">
        <f t="shared" si="55"/>
        <v>1.0040067723311283</v>
      </c>
      <c r="AC406" s="45">
        <f t="shared" si="56"/>
        <v>1</v>
      </c>
      <c r="AD406" s="45">
        <f t="shared" si="57"/>
        <v>1</v>
      </c>
      <c r="AE406" s="45">
        <f t="shared" si="58"/>
        <v>0.92661003265736597</v>
      </c>
      <c r="AF406" s="45">
        <f t="shared" si="59"/>
        <v>0.91553744994715902</v>
      </c>
      <c r="AG406" s="45">
        <f t="shared" si="60"/>
        <v>1</v>
      </c>
      <c r="AH406" s="45">
        <f t="shared" si="61"/>
        <v>1</v>
      </c>
      <c r="AI406" s="45">
        <f t="shared" si="62"/>
        <v>0.905751431693681</v>
      </c>
      <c r="AJ406" s="45">
        <f t="shared" si="63"/>
        <v>1.0792026470209519</v>
      </c>
      <c r="AK406" s="45">
        <f t="shared" si="64"/>
        <v>1</v>
      </c>
      <c r="AL406" s="45">
        <f t="shared" si="65"/>
        <v>1</v>
      </c>
      <c r="AM406" s="45">
        <f t="shared" si="66"/>
        <v>1</v>
      </c>
      <c r="AN406" s="45">
        <f t="shared" si="67"/>
        <v>0.96960475316656503</v>
      </c>
      <c r="AS406" s="50" cm="1">
        <f t="array" ref="AS406">SUMPRODUCT(($V406:$AN406&lt;=$I121)*(1))/COUNT($V406:$AN406)</f>
        <v>0.21052631578947367</v>
      </c>
      <c r="AT406" s="50" cm="1">
        <f t="array" ref="AT406">SUMPRODUCT(($V406:$AN406&lt;=$J121)*(1))/COUNT($V406:$AN406)</f>
        <v>0</v>
      </c>
      <c r="AU406" s="50" cm="1">
        <f t="array" ref="AU406">SUMPRODUCT(($V406:$AN406&lt;=$K121)*(1))/COUNT($V406:$AN406)</f>
        <v>0</v>
      </c>
      <c r="AW406" s="52" cm="1">
        <f t="array" ref="AW406">SUMPRODUCT(($V406:$AN406&lt;=$I121)*(1))</f>
        <v>4</v>
      </c>
      <c r="AX406" s="52" cm="1">
        <f t="array" ref="AX406">SUMPRODUCT(($V406:$AN406&lt;=$J121)*(1))</f>
        <v>0</v>
      </c>
      <c r="AY406" s="52" cm="1">
        <f t="array" ref="AY406">SUMPRODUCT(($V406:$AN406&lt;=$K121)*(1))</f>
        <v>0</v>
      </c>
      <c r="BA406" s="52">
        <f t="shared" si="71"/>
        <v>4</v>
      </c>
      <c r="BB406" s="52">
        <f t="shared" si="72"/>
        <v>0</v>
      </c>
      <c r="BC406" s="52">
        <f t="shared" si="73"/>
        <v>0</v>
      </c>
      <c r="BE406" s="50">
        <f t="shared" si="68"/>
        <v>0.21052631578947367</v>
      </c>
      <c r="BF406" s="50">
        <f t="shared" si="69"/>
        <v>0</v>
      </c>
      <c r="BG406" s="50">
        <f t="shared" si="70"/>
        <v>0</v>
      </c>
    </row>
    <row r="407" spans="4:59" ht="15.6">
      <c r="D407" s="44"/>
      <c r="M407" s="42"/>
      <c r="N407" s="39" t="s">
        <v>26</v>
      </c>
      <c r="O407" s="39" t="s">
        <v>576</v>
      </c>
      <c r="P407" t="s">
        <v>726</v>
      </c>
      <c r="R407" s="41"/>
      <c r="S407" s="42"/>
      <c r="T407" s="42"/>
      <c r="U407" s="42"/>
      <c r="V407" s="45">
        <f t="shared" si="49"/>
        <v>1</v>
      </c>
      <c r="W407" s="45">
        <f t="shared" si="50"/>
        <v>0.97358798069915398</v>
      </c>
      <c r="X407" s="45">
        <f t="shared" si="51"/>
        <v>1.0271285387909976</v>
      </c>
      <c r="Y407" s="45">
        <f t="shared" si="52"/>
        <v>1.0271285387909976</v>
      </c>
      <c r="Z407" s="45">
        <f t="shared" si="53"/>
        <v>1</v>
      </c>
      <c r="AA407" s="45">
        <f t="shared" si="54"/>
        <v>1</v>
      </c>
      <c r="AB407" s="45">
        <f t="shared" si="55"/>
        <v>1</v>
      </c>
      <c r="AC407" s="45">
        <f t="shared" si="56"/>
        <v>0.83556227289783702</v>
      </c>
      <c r="AD407" s="45">
        <f t="shared" si="57"/>
        <v>1</v>
      </c>
      <c r="AE407" s="45">
        <f t="shared" si="58"/>
        <v>0.71883870375030501</v>
      </c>
      <c r="AF407" s="45">
        <f t="shared" si="59"/>
        <v>0.98848888065270202</v>
      </c>
      <c r="AG407" s="45">
        <f t="shared" si="60"/>
        <v>1.0116451682690626</v>
      </c>
      <c r="AH407" s="45">
        <f t="shared" si="61"/>
        <v>0.98134992407598842</v>
      </c>
      <c r="AI407" s="45">
        <f t="shared" si="62"/>
        <v>1.0116451682690626</v>
      </c>
      <c r="AJ407" s="45">
        <f t="shared" si="63"/>
        <v>1.0116451682690626</v>
      </c>
      <c r="AK407" s="45">
        <f t="shared" si="64"/>
        <v>1</v>
      </c>
      <c r="AL407" s="45">
        <f t="shared" si="65"/>
        <v>1</v>
      </c>
      <c r="AM407" s="45">
        <f t="shared" si="66"/>
        <v>1</v>
      </c>
      <c r="AN407" s="45">
        <f t="shared" si="67"/>
        <v>0.98997149351812697</v>
      </c>
      <c r="AS407" s="50" cm="1">
        <f t="array" ref="AS407">SUMPRODUCT(($V407:$AN407&lt;=$I122)*(1))/COUNT($V407:$AN407)</f>
        <v>0.10526315789473684</v>
      </c>
      <c r="AT407" s="50" cm="1">
        <f t="array" ref="AT407">SUMPRODUCT(($V407:$AN407&lt;=$J122)*(1))/COUNT($V407:$AN407)</f>
        <v>0.10526315789473684</v>
      </c>
      <c r="AU407" s="50" cm="1">
        <f t="array" ref="AU407">SUMPRODUCT(($V407:$AN407&lt;=$K122)*(1))/COUNT($V407:$AN407)</f>
        <v>5.2631578947368418E-2</v>
      </c>
      <c r="AW407" s="52" cm="1">
        <f t="array" ref="AW407">SUMPRODUCT(($V407:$AN407&lt;=$I122)*(1))</f>
        <v>2</v>
      </c>
      <c r="AX407" s="52" cm="1">
        <f t="array" ref="AX407">SUMPRODUCT(($V407:$AN407&lt;=$J122)*(1))</f>
        <v>2</v>
      </c>
      <c r="AY407" s="52" cm="1">
        <f t="array" ref="AY407">SUMPRODUCT(($V407:$AN407&lt;=$K122)*(1))</f>
        <v>1</v>
      </c>
      <c r="BA407" s="52">
        <f t="shared" si="71"/>
        <v>0</v>
      </c>
      <c r="BB407" s="52">
        <f t="shared" si="72"/>
        <v>1</v>
      </c>
      <c r="BC407" s="52">
        <f t="shared" si="73"/>
        <v>1</v>
      </c>
      <c r="BE407" s="50">
        <f t="shared" si="68"/>
        <v>0</v>
      </c>
      <c r="BF407" s="50">
        <f t="shared" si="69"/>
        <v>5.2631578947368418E-2</v>
      </c>
      <c r="BG407" s="50">
        <f t="shared" si="70"/>
        <v>5.2631578947368418E-2</v>
      </c>
    </row>
    <row r="408" spans="4:59" ht="15.6">
      <c r="D408" s="44"/>
      <c r="M408" s="42"/>
      <c r="N408" s="39" t="s">
        <v>26</v>
      </c>
      <c r="O408" s="39" t="s">
        <v>230</v>
      </c>
      <c r="P408" t="s">
        <v>727</v>
      </c>
      <c r="R408" s="41"/>
      <c r="S408" s="42"/>
      <c r="T408" s="42"/>
      <c r="U408" s="42"/>
      <c r="V408" s="45">
        <f t="shared" si="49"/>
        <v>1</v>
      </c>
      <c r="W408" s="45">
        <f t="shared" si="50"/>
        <v>1</v>
      </c>
      <c r="X408" s="45">
        <f t="shared" si="51"/>
        <v>1</v>
      </c>
      <c r="Y408" s="45">
        <f t="shared" si="52"/>
        <v>1</v>
      </c>
      <c r="Z408" s="45">
        <f t="shared" si="53"/>
        <v>1</v>
      </c>
      <c r="AA408" s="45">
        <f t="shared" si="54"/>
        <v>1</v>
      </c>
      <c r="AB408" s="45">
        <f t="shared" si="55"/>
        <v>1</v>
      </c>
      <c r="AC408" s="45">
        <f t="shared" si="56"/>
        <v>1</v>
      </c>
      <c r="AD408" s="45">
        <f t="shared" si="57"/>
        <v>1</v>
      </c>
      <c r="AE408" s="45">
        <f t="shared" si="58"/>
        <v>0.99391317237908894</v>
      </c>
      <c r="AF408" s="45">
        <f t="shared" si="59"/>
        <v>1</v>
      </c>
      <c r="AG408" s="45">
        <f t="shared" si="60"/>
        <v>1</v>
      </c>
      <c r="AH408" s="45">
        <f t="shared" si="61"/>
        <v>1</v>
      </c>
      <c r="AI408" s="45">
        <f t="shared" si="62"/>
        <v>1</v>
      </c>
      <c r="AJ408" s="45">
        <f t="shared" si="63"/>
        <v>1</v>
      </c>
      <c r="AK408" s="45">
        <f t="shared" si="64"/>
        <v>1</v>
      </c>
      <c r="AL408" s="45">
        <f t="shared" si="65"/>
        <v>1</v>
      </c>
      <c r="AM408" s="45">
        <f t="shared" si="66"/>
        <v>1</v>
      </c>
      <c r="AN408" s="45">
        <f t="shared" si="67"/>
        <v>1</v>
      </c>
      <c r="AS408" s="50" cm="1">
        <f t="array" ref="AS408">SUMPRODUCT(($V408:$AN408&lt;=$I123)*(1))/COUNT($V408:$AN408)</f>
        <v>0</v>
      </c>
      <c r="AT408" s="50" cm="1">
        <f t="array" ref="AT408">SUMPRODUCT(($V408:$AN408&lt;=$J123)*(1))/COUNT($V408:$AN408)</f>
        <v>0</v>
      </c>
      <c r="AU408" s="50" cm="1">
        <f t="array" ref="AU408">SUMPRODUCT(($V408:$AN408&lt;=$K123)*(1))/COUNT($V408:$AN408)</f>
        <v>0</v>
      </c>
      <c r="AW408" s="52" cm="1">
        <f t="array" ref="AW408">SUMPRODUCT(($V408:$AN408&lt;=$I123)*(1))</f>
        <v>0</v>
      </c>
      <c r="AX408" s="52" cm="1">
        <f t="array" ref="AX408">SUMPRODUCT(($V408:$AN408&lt;=$J123)*(1))</f>
        <v>0</v>
      </c>
      <c r="AY408" s="52" cm="1">
        <f t="array" ref="AY408">SUMPRODUCT(($V408:$AN408&lt;=$K123)*(1))</f>
        <v>0</v>
      </c>
      <c r="BA408" s="52">
        <f t="shared" si="71"/>
        <v>0</v>
      </c>
      <c r="BB408" s="52">
        <f t="shared" si="72"/>
        <v>0</v>
      </c>
      <c r="BC408" s="52">
        <f t="shared" si="73"/>
        <v>0</v>
      </c>
      <c r="BE408" s="50">
        <f t="shared" si="68"/>
        <v>0</v>
      </c>
      <c r="BF408" s="50">
        <f t="shared" si="69"/>
        <v>0</v>
      </c>
      <c r="BG408" s="50">
        <f t="shared" si="70"/>
        <v>0</v>
      </c>
    </row>
    <row r="409" spans="4:59" ht="15.6">
      <c r="D409" s="44"/>
      <c r="M409" s="42"/>
      <c r="N409" s="39" t="s">
        <v>26</v>
      </c>
      <c r="O409" s="39" t="s">
        <v>99</v>
      </c>
      <c r="P409" t="s">
        <v>728</v>
      </c>
      <c r="R409" s="41"/>
      <c r="S409" s="42"/>
      <c r="T409" s="42"/>
      <c r="U409" s="42"/>
      <c r="V409" s="45">
        <f t="shared" si="49"/>
        <v>1</v>
      </c>
      <c r="W409" s="45">
        <f t="shared" si="50"/>
        <v>0.99689387465633006</v>
      </c>
      <c r="X409" s="45">
        <f t="shared" si="51"/>
        <v>1</v>
      </c>
      <c r="Y409" s="45">
        <f t="shared" si="52"/>
        <v>1</v>
      </c>
      <c r="Z409" s="45">
        <f t="shared" si="53"/>
        <v>1</v>
      </c>
      <c r="AA409" s="45">
        <f t="shared" si="54"/>
        <v>1</v>
      </c>
      <c r="AB409" s="45">
        <f t="shared" si="55"/>
        <v>1</v>
      </c>
      <c r="AC409" s="45">
        <f t="shared" si="56"/>
        <v>1</v>
      </c>
      <c r="AD409" s="45">
        <f t="shared" si="57"/>
        <v>1</v>
      </c>
      <c r="AE409" s="45">
        <f t="shared" si="58"/>
        <v>0.999284411045679</v>
      </c>
      <c r="AF409" s="45">
        <f t="shared" si="59"/>
        <v>1</v>
      </c>
      <c r="AG409" s="45">
        <f t="shared" si="60"/>
        <v>1</v>
      </c>
      <c r="AH409" s="45">
        <f t="shared" si="61"/>
        <v>1</v>
      </c>
      <c r="AI409" s="45">
        <f t="shared" si="62"/>
        <v>1</v>
      </c>
      <c r="AJ409" s="45">
        <f t="shared" si="63"/>
        <v>1</v>
      </c>
      <c r="AK409" s="45">
        <f t="shared" si="64"/>
        <v>1</v>
      </c>
      <c r="AL409" s="45">
        <f t="shared" si="65"/>
        <v>1</v>
      </c>
      <c r="AM409" s="45">
        <f t="shared" si="66"/>
        <v>1</v>
      </c>
      <c r="AN409" s="45">
        <f t="shared" si="67"/>
        <v>1</v>
      </c>
      <c r="AS409" s="50" cm="1">
        <f t="array" ref="AS409">SUMPRODUCT(($V409:$AN409&lt;=$I124)*(1))/COUNT($V409:$AN409)</f>
        <v>0</v>
      </c>
      <c r="AT409" s="50" cm="1">
        <f t="array" ref="AT409">SUMPRODUCT(($V409:$AN409&lt;=$J124)*(1))/COUNT($V409:$AN409)</f>
        <v>0</v>
      </c>
      <c r="AU409" s="50" cm="1">
        <f t="array" ref="AU409">SUMPRODUCT(($V409:$AN409&lt;=$K124)*(1))/COUNT($V409:$AN409)</f>
        <v>0</v>
      </c>
      <c r="AW409" s="52" cm="1">
        <f t="array" ref="AW409">SUMPRODUCT(($V409:$AN409&lt;=$I124)*(1))</f>
        <v>0</v>
      </c>
      <c r="AX409" s="52" cm="1">
        <f t="array" ref="AX409">SUMPRODUCT(($V409:$AN409&lt;=$J124)*(1))</f>
        <v>0</v>
      </c>
      <c r="AY409" s="52" cm="1">
        <f t="array" ref="AY409">SUMPRODUCT(($V409:$AN409&lt;=$K124)*(1))</f>
        <v>0</v>
      </c>
      <c r="BA409" s="52">
        <f t="shared" si="71"/>
        <v>0</v>
      </c>
      <c r="BB409" s="52">
        <f t="shared" si="72"/>
        <v>0</v>
      </c>
      <c r="BC409" s="52">
        <f t="shared" si="73"/>
        <v>0</v>
      </c>
      <c r="BE409" s="50">
        <f t="shared" si="68"/>
        <v>0</v>
      </c>
      <c r="BF409" s="50">
        <f t="shared" si="69"/>
        <v>0</v>
      </c>
      <c r="BG409" s="50">
        <f t="shared" si="70"/>
        <v>0</v>
      </c>
    </row>
    <row r="410" spans="4:59" ht="15.6">
      <c r="D410" s="44"/>
      <c r="M410" s="42"/>
      <c r="N410" s="39" t="s">
        <v>26</v>
      </c>
      <c r="O410" s="39" t="s">
        <v>594</v>
      </c>
      <c r="P410" t="s">
        <v>729</v>
      </c>
      <c r="R410" s="41"/>
      <c r="S410" s="42"/>
      <c r="T410" s="42"/>
      <c r="U410" s="42"/>
      <c r="V410" s="45">
        <f t="shared" si="49"/>
        <v>1.0498204260355886</v>
      </c>
      <c r="W410" s="45">
        <f t="shared" si="50"/>
        <v>0.84793148629532955</v>
      </c>
      <c r="X410" s="45">
        <f t="shared" si="51"/>
        <v>1.2378604835488396</v>
      </c>
      <c r="Y410" s="45">
        <f t="shared" si="52"/>
        <v>1.1754108354806545</v>
      </c>
      <c r="Z410" s="45">
        <f t="shared" si="53"/>
        <v>1.0510481940283127</v>
      </c>
      <c r="AA410" s="45">
        <f t="shared" si="54"/>
        <v>0.99758776026155793</v>
      </c>
      <c r="AB410" s="45">
        <f t="shared" si="55"/>
        <v>0.91710965593554317</v>
      </c>
      <c r="AC410" s="45">
        <f t="shared" si="56"/>
        <v>0.86967581774667513</v>
      </c>
      <c r="AD410" s="45">
        <f t="shared" si="57"/>
        <v>1.0001080395860253</v>
      </c>
      <c r="AE410" s="45">
        <f t="shared" si="58"/>
        <v>0.66674887110724756</v>
      </c>
      <c r="AF410" s="45">
        <f t="shared" si="59"/>
        <v>0.84552216698899918</v>
      </c>
      <c r="AG410" s="45">
        <f t="shared" si="60"/>
        <v>1.1520388463894324</v>
      </c>
      <c r="AH410" s="45">
        <f t="shared" si="61"/>
        <v>1.0431604780108221</v>
      </c>
      <c r="AI410" s="45">
        <f t="shared" si="62"/>
        <v>0.9753486900350683</v>
      </c>
      <c r="AJ410" s="45">
        <f t="shared" si="63"/>
        <v>1.1221846440550785</v>
      </c>
      <c r="AK410" s="45">
        <f t="shared" si="64"/>
        <v>1.0803400463091404</v>
      </c>
      <c r="AL410" s="45">
        <f t="shared" si="65"/>
        <v>0.98829358778145404</v>
      </c>
      <c r="AM410" s="45">
        <f t="shared" si="66"/>
        <v>1.0314116099269088</v>
      </c>
      <c r="AN410" s="45">
        <f t="shared" si="67"/>
        <v>0.83495119482031721</v>
      </c>
      <c r="AS410" s="50" cm="1">
        <f t="array" ref="AS410">SUMPRODUCT(($V410:$AN410&lt;=$I125)*(1))/COUNT($V410:$AN410)</f>
        <v>0.31578947368421051</v>
      </c>
      <c r="AT410" s="50" cm="1">
        <f t="array" ref="AT410">SUMPRODUCT(($V410:$AN410&lt;=$J125)*(1))/COUNT($V410:$AN410)</f>
        <v>0.21052631578947367</v>
      </c>
      <c r="AU410" s="50" cm="1">
        <f t="array" ref="AU410">SUMPRODUCT(($V410:$AN410&lt;=$K125)*(1))/COUNT($V410:$AN410)</f>
        <v>5.2631578947368418E-2</v>
      </c>
      <c r="AW410" s="52" cm="1">
        <f t="array" ref="AW410">SUMPRODUCT(($V410:$AN410&lt;=$I125)*(1))</f>
        <v>6</v>
      </c>
      <c r="AX410" s="52" cm="1">
        <f t="array" ref="AX410">SUMPRODUCT(($V410:$AN410&lt;=$J125)*(1))</f>
        <v>4</v>
      </c>
      <c r="AY410" s="52" cm="1">
        <f t="array" ref="AY410">SUMPRODUCT(($V410:$AN410&lt;=$K125)*(1))</f>
        <v>1</v>
      </c>
      <c r="BA410" s="52">
        <f t="shared" si="71"/>
        <v>2</v>
      </c>
      <c r="BB410" s="52">
        <f t="shared" si="72"/>
        <v>3</v>
      </c>
      <c r="BC410" s="52">
        <f t="shared" si="73"/>
        <v>1</v>
      </c>
      <c r="BE410" s="50">
        <f t="shared" si="68"/>
        <v>0.10526315789473684</v>
      </c>
      <c r="BF410" s="50">
        <f t="shared" si="69"/>
        <v>0.15789473684210525</v>
      </c>
      <c r="BG410" s="50">
        <f t="shared" si="70"/>
        <v>5.2631578947368418E-2</v>
      </c>
    </row>
    <row r="411" spans="4:59" ht="15.6">
      <c r="D411" s="44"/>
      <c r="M411" s="42"/>
      <c r="N411" s="39" t="s">
        <v>26</v>
      </c>
      <c r="O411" s="39" t="s">
        <v>427</v>
      </c>
      <c r="P411" t="s">
        <v>730</v>
      </c>
      <c r="R411" s="41"/>
      <c r="S411" s="42"/>
      <c r="T411" s="42"/>
      <c r="U411" s="42"/>
      <c r="V411" s="45">
        <f t="shared" si="49"/>
        <v>1</v>
      </c>
      <c r="W411" s="45">
        <f t="shared" si="50"/>
        <v>1</v>
      </c>
      <c r="X411" s="45">
        <f t="shared" si="51"/>
        <v>1</v>
      </c>
      <c r="Y411" s="45">
        <f t="shared" si="52"/>
        <v>1</v>
      </c>
      <c r="Z411" s="45">
        <f t="shared" si="53"/>
        <v>1</v>
      </c>
      <c r="AA411" s="45">
        <f t="shared" si="54"/>
        <v>1</v>
      </c>
      <c r="AB411" s="45">
        <f t="shared" si="55"/>
        <v>1</v>
      </c>
      <c r="AC411" s="45">
        <f t="shared" si="56"/>
        <v>1</v>
      </c>
      <c r="AD411" s="45">
        <f t="shared" si="57"/>
        <v>1</v>
      </c>
      <c r="AE411" s="45">
        <f t="shared" si="58"/>
        <v>1</v>
      </c>
      <c r="AF411" s="45">
        <f t="shared" si="59"/>
        <v>1</v>
      </c>
      <c r="AG411" s="45">
        <f t="shared" si="60"/>
        <v>1</v>
      </c>
      <c r="AH411" s="45">
        <f t="shared" si="61"/>
        <v>1</v>
      </c>
      <c r="AI411" s="45">
        <f t="shared" si="62"/>
        <v>1</v>
      </c>
      <c r="AJ411" s="45">
        <f t="shared" si="63"/>
        <v>1</v>
      </c>
      <c r="AK411" s="45">
        <f t="shared" si="64"/>
        <v>1</v>
      </c>
      <c r="AL411" s="45">
        <f t="shared" si="65"/>
        <v>1</v>
      </c>
      <c r="AM411" s="45">
        <f t="shared" si="66"/>
        <v>1</v>
      </c>
      <c r="AN411" s="45">
        <f t="shared" si="67"/>
        <v>1</v>
      </c>
      <c r="AS411" s="50" cm="1">
        <f t="array" ref="AS411">SUMPRODUCT(($V411:$AN411&lt;=$I126)*(1))/COUNT($V411:$AN411)</f>
        <v>0</v>
      </c>
      <c r="AT411" s="50" cm="1">
        <f t="array" ref="AT411">SUMPRODUCT(($V411:$AN411&lt;=$J126)*(1))/COUNT($V411:$AN411)</f>
        <v>0</v>
      </c>
      <c r="AU411" s="50" cm="1">
        <f t="array" ref="AU411">SUMPRODUCT(($V411:$AN411&lt;=$K126)*(1))/COUNT($V411:$AN411)</f>
        <v>0</v>
      </c>
      <c r="AW411" s="52" cm="1">
        <f t="array" ref="AW411">SUMPRODUCT(($V411:$AN411&lt;=$I126)*(1))</f>
        <v>0</v>
      </c>
      <c r="AX411" s="52" cm="1">
        <f t="array" ref="AX411">SUMPRODUCT(($V411:$AN411&lt;=$J126)*(1))</f>
        <v>0</v>
      </c>
      <c r="AY411" s="52" cm="1">
        <f t="array" ref="AY411">SUMPRODUCT(($V411:$AN411&lt;=$K126)*(1))</f>
        <v>0</v>
      </c>
      <c r="BA411" s="52">
        <f t="shared" si="71"/>
        <v>0</v>
      </c>
      <c r="BB411" s="52">
        <f t="shared" si="72"/>
        <v>0</v>
      </c>
      <c r="BC411" s="52">
        <f t="shared" si="73"/>
        <v>0</v>
      </c>
      <c r="BE411" s="50">
        <f t="shared" si="68"/>
        <v>0</v>
      </c>
      <c r="BF411" s="50">
        <f t="shared" si="69"/>
        <v>0</v>
      </c>
      <c r="BG411" s="50">
        <f t="shared" si="70"/>
        <v>0</v>
      </c>
    </row>
    <row r="412" spans="4:59" ht="15.6">
      <c r="D412" s="44"/>
      <c r="M412" s="42"/>
      <c r="N412" s="39" t="s">
        <v>26</v>
      </c>
      <c r="O412" s="39" t="s">
        <v>441</v>
      </c>
      <c r="P412" t="s">
        <v>731</v>
      </c>
      <c r="R412" s="41"/>
      <c r="S412" s="42"/>
      <c r="T412" s="42"/>
      <c r="U412" s="42"/>
      <c r="V412" s="45">
        <f t="shared" si="49"/>
        <v>1</v>
      </c>
      <c r="W412" s="45">
        <f t="shared" si="50"/>
        <v>0.99591734416216005</v>
      </c>
      <c r="X412" s="45">
        <f t="shared" si="51"/>
        <v>1</v>
      </c>
      <c r="Y412" s="45">
        <f t="shared" si="52"/>
        <v>1</v>
      </c>
      <c r="Z412" s="45">
        <f t="shared" si="53"/>
        <v>1</v>
      </c>
      <c r="AA412" s="45">
        <f t="shared" si="54"/>
        <v>1</v>
      </c>
      <c r="AB412" s="45">
        <f t="shared" si="55"/>
        <v>1</v>
      </c>
      <c r="AC412" s="45">
        <f t="shared" si="56"/>
        <v>1</v>
      </c>
      <c r="AD412" s="45">
        <f t="shared" si="57"/>
        <v>1</v>
      </c>
      <c r="AE412" s="45">
        <f t="shared" si="58"/>
        <v>0.97436560043435194</v>
      </c>
      <c r="AF412" s="45">
        <f t="shared" si="59"/>
        <v>0.96294825323081401</v>
      </c>
      <c r="AG412" s="45">
        <f t="shared" si="60"/>
        <v>1</v>
      </c>
      <c r="AH412" s="45">
        <f t="shared" si="61"/>
        <v>1</v>
      </c>
      <c r="AI412" s="45">
        <f t="shared" si="62"/>
        <v>0.97128470410749601</v>
      </c>
      <c r="AJ412" s="45">
        <f t="shared" si="63"/>
        <v>1.0263088101162652</v>
      </c>
      <c r="AK412" s="45">
        <f t="shared" si="64"/>
        <v>1</v>
      </c>
      <c r="AL412" s="45">
        <f t="shared" si="65"/>
        <v>1</v>
      </c>
      <c r="AM412" s="45">
        <f t="shared" si="66"/>
        <v>1</v>
      </c>
      <c r="AN412" s="45">
        <f t="shared" si="67"/>
        <v>0.98420708384092292</v>
      </c>
      <c r="AS412" s="50" cm="1">
        <f t="array" ref="AS412">SUMPRODUCT(($V412:$AN412&lt;=$I127)*(1))/COUNT($V412:$AN412)</f>
        <v>0</v>
      </c>
      <c r="AT412" s="50" cm="1">
        <f t="array" ref="AT412">SUMPRODUCT(($V412:$AN412&lt;=$J127)*(1))/COUNT($V412:$AN412)</f>
        <v>0</v>
      </c>
      <c r="AU412" s="50" cm="1">
        <f t="array" ref="AU412">SUMPRODUCT(($V412:$AN412&lt;=$K127)*(1))/COUNT($V412:$AN412)</f>
        <v>0</v>
      </c>
      <c r="AW412" s="52" cm="1">
        <f t="array" ref="AW412">SUMPRODUCT(($V412:$AN412&lt;=$I127)*(1))</f>
        <v>0</v>
      </c>
      <c r="AX412" s="52" cm="1">
        <f t="array" ref="AX412">SUMPRODUCT(($V412:$AN412&lt;=$J127)*(1))</f>
        <v>0</v>
      </c>
      <c r="AY412" s="52" cm="1">
        <f t="array" ref="AY412">SUMPRODUCT(($V412:$AN412&lt;=$K127)*(1))</f>
        <v>0</v>
      </c>
      <c r="BA412" s="52">
        <f t="shared" si="71"/>
        <v>0</v>
      </c>
      <c r="BB412" s="52">
        <f t="shared" si="72"/>
        <v>0</v>
      </c>
      <c r="BC412" s="52">
        <f t="shared" si="73"/>
        <v>0</v>
      </c>
      <c r="BE412" s="50">
        <f t="shared" si="68"/>
        <v>0</v>
      </c>
      <c r="BF412" s="50">
        <f t="shared" si="69"/>
        <v>0</v>
      </c>
      <c r="BG412" s="50">
        <f t="shared" si="70"/>
        <v>0</v>
      </c>
    </row>
    <row r="413" spans="4:59" ht="15.6">
      <c r="D413" s="44"/>
      <c r="M413" s="42"/>
      <c r="N413" s="39" t="s">
        <v>26</v>
      </c>
      <c r="O413" s="39" t="s">
        <v>441</v>
      </c>
      <c r="P413" t="s">
        <v>732</v>
      </c>
      <c r="R413" s="41"/>
      <c r="S413" s="42"/>
      <c r="T413" s="42"/>
      <c r="U413" s="42"/>
      <c r="V413" s="45">
        <f t="shared" si="49"/>
        <v>1</v>
      </c>
      <c r="W413" s="45">
        <f t="shared" si="50"/>
        <v>0.99316578452447302</v>
      </c>
      <c r="X413" s="45">
        <f t="shared" si="51"/>
        <v>1</v>
      </c>
      <c r="Y413" s="45">
        <f t="shared" si="52"/>
        <v>1</v>
      </c>
      <c r="Z413" s="45">
        <f t="shared" si="53"/>
        <v>1</v>
      </c>
      <c r="AA413" s="45">
        <f t="shared" si="54"/>
        <v>1</v>
      </c>
      <c r="AB413" s="45">
        <f t="shared" si="55"/>
        <v>1</v>
      </c>
      <c r="AC413" s="45">
        <f t="shared" si="56"/>
        <v>1</v>
      </c>
      <c r="AD413" s="45">
        <f t="shared" si="57"/>
        <v>1</v>
      </c>
      <c r="AE413" s="45">
        <f t="shared" si="58"/>
        <v>0.93326612998890301</v>
      </c>
      <c r="AF413" s="45">
        <f t="shared" si="59"/>
        <v>0.98303287500063008</v>
      </c>
      <c r="AG413" s="45">
        <f t="shared" si="60"/>
        <v>1</v>
      </c>
      <c r="AH413" s="45">
        <f t="shared" si="61"/>
        <v>1</v>
      </c>
      <c r="AI413" s="45">
        <f t="shared" si="62"/>
        <v>0.98010499161727904</v>
      </c>
      <c r="AJ413" s="45">
        <f t="shared" si="63"/>
        <v>1.0172599771898361</v>
      </c>
      <c r="AK413" s="45">
        <f t="shared" si="64"/>
        <v>1</v>
      </c>
      <c r="AL413" s="45">
        <f t="shared" si="65"/>
        <v>1</v>
      </c>
      <c r="AM413" s="45">
        <f t="shared" si="66"/>
        <v>1</v>
      </c>
      <c r="AN413" s="45">
        <f t="shared" si="67"/>
        <v>0.99139410608293299</v>
      </c>
      <c r="AS413" s="50" cm="1">
        <f t="array" ref="AS413">SUMPRODUCT(($V413:$AN413&lt;=$I128)*(1))/COUNT($V413:$AN413)</f>
        <v>5.2631578947368418E-2</v>
      </c>
      <c r="AT413" s="50" cm="1">
        <f t="array" ref="AT413">SUMPRODUCT(($V413:$AN413&lt;=$J128)*(1))/COUNT($V413:$AN413)</f>
        <v>0</v>
      </c>
      <c r="AU413" s="50" cm="1">
        <f t="array" ref="AU413">SUMPRODUCT(($V413:$AN413&lt;=$K128)*(1))/COUNT($V413:$AN413)</f>
        <v>0</v>
      </c>
      <c r="AW413" s="52" cm="1">
        <f t="array" ref="AW413">SUMPRODUCT(($V413:$AN413&lt;=$I128)*(1))</f>
        <v>1</v>
      </c>
      <c r="AX413" s="52" cm="1">
        <f t="array" ref="AX413">SUMPRODUCT(($V413:$AN413&lt;=$J128)*(1))</f>
        <v>0</v>
      </c>
      <c r="AY413" s="52" cm="1">
        <f t="array" ref="AY413">SUMPRODUCT(($V413:$AN413&lt;=$K128)*(1))</f>
        <v>0</v>
      </c>
      <c r="BA413" s="52">
        <f t="shared" si="71"/>
        <v>1</v>
      </c>
      <c r="BB413" s="52">
        <f t="shared" si="72"/>
        <v>0</v>
      </c>
      <c r="BC413" s="52">
        <f t="shared" si="73"/>
        <v>0</v>
      </c>
      <c r="BE413" s="50">
        <f t="shared" si="68"/>
        <v>5.2631578947368418E-2</v>
      </c>
      <c r="BF413" s="50">
        <f t="shared" si="69"/>
        <v>0</v>
      </c>
      <c r="BG413" s="50">
        <f t="shared" si="70"/>
        <v>0</v>
      </c>
    </row>
    <row r="414" spans="4:59" ht="15.6">
      <c r="D414" s="44"/>
      <c r="M414" s="42"/>
      <c r="N414" s="39" t="s">
        <v>27</v>
      </c>
      <c r="O414" s="39" t="s">
        <v>530</v>
      </c>
      <c r="P414" t="s">
        <v>733</v>
      </c>
      <c r="R414" s="41"/>
      <c r="S414" s="42"/>
      <c r="T414" s="42"/>
      <c r="U414" s="42"/>
      <c r="V414" s="45">
        <f t="shared" si="49"/>
        <v>1.1170879747664175</v>
      </c>
      <c r="W414" s="45">
        <f t="shared" si="50"/>
        <v>0.90132289629381235</v>
      </c>
      <c r="X414" s="45">
        <f t="shared" si="51"/>
        <v>1.1241387024716014</v>
      </c>
      <c r="Y414" s="45">
        <f t="shared" si="52"/>
        <v>1.1162061845337543</v>
      </c>
      <c r="Z414" s="45">
        <f t="shared" si="53"/>
        <v>0.82469980200595117</v>
      </c>
      <c r="AA414" s="45">
        <f t="shared" si="54"/>
        <v>1.0050569363781943</v>
      </c>
      <c r="AB414" s="45">
        <f t="shared" si="55"/>
        <v>1.00710667800247</v>
      </c>
      <c r="AC414" s="45">
        <f t="shared" si="56"/>
        <v>0.91030885821638685</v>
      </c>
      <c r="AD414" s="45">
        <f t="shared" si="57"/>
        <v>0.7757747585098429</v>
      </c>
      <c r="AE414" s="45">
        <f t="shared" si="58"/>
        <v>0.88543314908163084</v>
      </c>
      <c r="AF414" s="45">
        <f t="shared" si="59"/>
        <v>0.82564246495640237</v>
      </c>
      <c r="AG414" s="45">
        <f t="shared" si="60"/>
        <v>1.0290073459997962</v>
      </c>
      <c r="AH414" s="45">
        <f t="shared" si="61"/>
        <v>1.0600413178314612</v>
      </c>
      <c r="AI414" s="45">
        <f t="shared" si="62"/>
        <v>1.0268823690962219</v>
      </c>
      <c r="AJ414" s="45">
        <f t="shared" si="63"/>
        <v>0.93706351759915452</v>
      </c>
      <c r="AK414" s="45">
        <f t="shared" si="64"/>
        <v>1.0967743878084619</v>
      </c>
      <c r="AL414" s="45">
        <f t="shared" si="65"/>
        <v>1.1882254176415854</v>
      </c>
      <c r="AM414" s="45">
        <f t="shared" si="66"/>
        <v>1.1318156476696108</v>
      </c>
      <c r="AN414" s="45">
        <f t="shared" si="67"/>
        <v>0.89669174850156652</v>
      </c>
      <c r="AS414" s="50" cm="1">
        <f t="array" ref="AS414">SUMPRODUCT(($V414:$AN414&lt;=$I129)*(1))/COUNT($V414:$AN414)</f>
        <v>0.42105263157894735</v>
      </c>
      <c r="AT414" s="50" cm="1">
        <f t="array" ref="AT414">SUMPRODUCT(($V414:$AN414&lt;=$J129)*(1))/COUNT($V414:$AN414)</f>
        <v>0.15789473684210525</v>
      </c>
      <c r="AU414" s="50" cm="1">
        <f t="array" ref="AU414">SUMPRODUCT(($V414:$AN414&lt;=$K129)*(1))/COUNT($V414:$AN414)</f>
        <v>0</v>
      </c>
      <c r="AW414" s="52" cm="1">
        <f t="array" ref="AW414">SUMPRODUCT(($V414:$AN414&lt;=$I129)*(1))</f>
        <v>8</v>
      </c>
      <c r="AX414" s="52" cm="1">
        <f t="array" ref="AX414">SUMPRODUCT(($V414:$AN414&lt;=$J129)*(1))</f>
        <v>3</v>
      </c>
      <c r="AY414" s="52" cm="1">
        <f t="array" ref="AY414">SUMPRODUCT(($V414:$AN414&lt;=$K129)*(1))</f>
        <v>0</v>
      </c>
      <c r="BA414" s="52">
        <f t="shared" si="71"/>
        <v>5</v>
      </c>
      <c r="BB414" s="52">
        <f t="shared" si="72"/>
        <v>3</v>
      </c>
      <c r="BC414" s="52">
        <f t="shared" si="73"/>
        <v>0</v>
      </c>
      <c r="BE414" s="50">
        <f t="shared" si="68"/>
        <v>0.26315789473684209</v>
      </c>
      <c r="BF414" s="50">
        <f t="shared" si="69"/>
        <v>0.15789473684210525</v>
      </c>
      <c r="BG414" s="50">
        <f t="shared" si="70"/>
        <v>0</v>
      </c>
    </row>
    <row r="415" spans="4:59" ht="15.6">
      <c r="D415" s="44"/>
      <c r="M415" s="42"/>
      <c r="N415" s="39" t="s">
        <v>27</v>
      </c>
      <c r="O415" s="39" t="s">
        <v>530</v>
      </c>
      <c r="P415" t="s">
        <v>734</v>
      </c>
      <c r="R415" s="41"/>
      <c r="S415" s="42"/>
      <c r="T415" s="42"/>
      <c r="U415" s="42"/>
      <c r="V415" s="45">
        <f t="shared" si="49"/>
        <v>1.0245106006064664</v>
      </c>
      <c r="W415" s="45">
        <f t="shared" si="50"/>
        <v>0.98070012583132538</v>
      </c>
      <c r="X415" s="45">
        <f t="shared" si="51"/>
        <v>1.0410568067709147</v>
      </c>
      <c r="Y415" s="45">
        <f t="shared" si="52"/>
        <v>1.0410568067709147</v>
      </c>
      <c r="Z415" s="45">
        <f t="shared" si="53"/>
        <v>0.90418442447047098</v>
      </c>
      <c r="AA415" s="45">
        <f t="shared" si="54"/>
        <v>1</v>
      </c>
      <c r="AB415" s="45">
        <f t="shared" si="55"/>
        <v>1</v>
      </c>
      <c r="AC415" s="45">
        <f t="shared" si="56"/>
        <v>1</v>
      </c>
      <c r="AD415" s="45">
        <f t="shared" si="57"/>
        <v>0.83205321221023099</v>
      </c>
      <c r="AE415" s="45">
        <f t="shared" si="58"/>
        <v>0.87126032403528797</v>
      </c>
      <c r="AF415" s="45">
        <f t="shared" si="59"/>
        <v>0.96545051165541096</v>
      </c>
      <c r="AG415" s="45">
        <f t="shared" si="60"/>
        <v>0.92068695467958861</v>
      </c>
      <c r="AH415" s="45">
        <f t="shared" si="61"/>
        <v>1.0734893610578955</v>
      </c>
      <c r="AI415" s="45">
        <f t="shared" si="62"/>
        <v>1.0039755588115373</v>
      </c>
      <c r="AJ415" s="45">
        <f t="shared" si="63"/>
        <v>1.0024182143597491</v>
      </c>
      <c r="AK415" s="45">
        <f t="shared" si="64"/>
        <v>1.0661031163496608</v>
      </c>
      <c r="AL415" s="45">
        <f t="shared" si="65"/>
        <v>1.1016929010438381</v>
      </c>
      <c r="AM415" s="45">
        <f t="shared" si="66"/>
        <v>1.0482519410978026</v>
      </c>
      <c r="AN415" s="45">
        <f t="shared" si="67"/>
        <v>1.03964630695904</v>
      </c>
      <c r="AS415" s="50" cm="1">
        <f t="array" ref="AS415">SUMPRODUCT(($V415:$AN415&lt;=$I130)*(1))/COUNT($V415:$AN415)</f>
        <v>0.21052631578947367</v>
      </c>
      <c r="AT415" s="50" cm="1">
        <f t="array" ref="AT415">SUMPRODUCT(($V415:$AN415&lt;=$J130)*(1))/COUNT($V415:$AN415)</f>
        <v>5.2631578947368418E-2</v>
      </c>
      <c r="AU415" s="50" cm="1">
        <f t="array" ref="AU415">SUMPRODUCT(($V415:$AN415&lt;=$K130)*(1))/COUNT($V415:$AN415)</f>
        <v>0</v>
      </c>
      <c r="AW415" s="52" cm="1">
        <f t="array" ref="AW415">SUMPRODUCT(($V415:$AN415&lt;=$I130)*(1))</f>
        <v>4</v>
      </c>
      <c r="AX415" s="52" cm="1">
        <f t="array" ref="AX415">SUMPRODUCT(($V415:$AN415&lt;=$J130)*(1))</f>
        <v>1</v>
      </c>
      <c r="AY415" s="52" cm="1">
        <f t="array" ref="AY415">SUMPRODUCT(($V415:$AN415&lt;=$K130)*(1))</f>
        <v>0</v>
      </c>
      <c r="BA415" s="52">
        <f t="shared" si="71"/>
        <v>3</v>
      </c>
      <c r="BB415" s="52">
        <f t="shared" si="72"/>
        <v>1</v>
      </c>
      <c r="BC415" s="52">
        <f t="shared" si="73"/>
        <v>0</v>
      </c>
      <c r="BE415" s="50">
        <f t="shared" si="68"/>
        <v>0.15789473684210525</v>
      </c>
      <c r="BF415" s="50">
        <f t="shared" si="69"/>
        <v>5.2631578947368418E-2</v>
      </c>
      <c r="BG415" s="50">
        <f t="shared" si="70"/>
        <v>0</v>
      </c>
    </row>
    <row r="416" spans="4:59" ht="15.6">
      <c r="D416" s="44"/>
      <c r="M416" s="42"/>
      <c r="N416" s="39" t="s">
        <v>27</v>
      </c>
      <c r="O416" s="39" t="s">
        <v>468</v>
      </c>
      <c r="P416" t="s">
        <v>735</v>
      </c>
      <c r="R416" s="41"/>
      <c r="S416" s="42"/>
      <c r="T416" s="42"/>
      <c r="U416" s="42"/>
      <c r="V416" s="45">
        <f t="shared" si="49"/>
        <v>1</v>
      </c>
      <c r="W416" s="45">
        <f t="shared" si="50"/>
        <v>1</v>
      </c>
      <c r="X416" s="45">
        <f t="shared" si="51"/>
        <v>1</v>
      </c>
      <c r="Y416" s="45">
        <f t="shared" si="52"/>
        <v>1</v>
      </c>
      <c r="Z416" s="45">
        <f t="shared" si="53"/>
        <v>1</v>
      </c>
      <c r="AA416" s="45">
        <f t="shared" si="54"/>
        <v>1</v>
      </c>
      <c r="AB416" s="45">
        <f t="shared" si="55"/>
        <v>1</v>
      </c>
      <c r="AC416" s="45">
        <f t="shared" si="56"/>
        <v>1</v>
      </c>
      <c r="AD416" s="45">
        <f t="shared" si="57"/>
        <v>0.93883719990001491</v>
      </c>
      <c r="AE416" s="45">
        <f t="shared" si="58"/>
        <v>1</v>
      </c>
      <c r="AF416" s="45">
        <f t="shared" si="59"/>
        <v>1</v>
      </c>
      <c r="AG416" s="45">
        <f t="shared" si="60"/>
        <v>1</v>
      </c>
      <c r="AH416" s="45">
        <f t="shared" si="61"/>
        <v>1</v>
      </c>
      <c r="AI416" s="45">
        <f t="shared" si="62"/>
        <v>0.98863268494285705</v>
      </c>
      <c r="AJ416" s="45">
        <f t="shared" si="63"/>
        <v>0.9695145325712301</v>
      </c>
      <c r="AK416" s="45">
        <f t="shared" si="64"/>
        <v>1</v>
      </c>
      <c r="AL416" s="45">
        <f t="shared" si="65"/>
        <v>1</v>
      </c>
      <c r="AM416" s="45">
        <f t="shared" si="66"/>
        <v>1</v>
      </c>
      <c r="AN416" s="45">
        <f t="shared" si="67"/>
        <v>1</v>
      </c>
      <c r="AS416" s="50" cm="1">
        <f t="array" ref="AS416">SUMPRODUCT(($V416:$AN416&lt;=$I131)*(1))/COUNT($V416:$AN416)</f>
        <v>5.2631578947368418E-2</v>
      </c>
      <c r="AT416" s="50" cm="1">
        <f t="array" ref="AT416">SUMPRODUCT(($V416:$AN416&lt;=$J131)*(1))/COUNT($V416:$AN416)</f>
        <v>0</v>
      </c>
      <c r="AU416" s="50" cm="1">
        <f t="array" ref="AU416">SUMPRODUCT(($V416:$AN416&lt;=$K131)*(1))/COUNT($V416:$AN416)</f>
        <v>0</v>
      </c>
      <c r="AW416" s="52" cm="1">
        <f t="array" ref="AW416">SUMPRODUCT(($V416:$AN416&lt;=$I131)*(1))</f>
        <v>1</v>
      </c>
      <c r="AX416" s="52" cm="1">
        <f t="array" ref="AX416">SUMPRODUCT(($V416:$AN416&lt;=$J131)*(1))</f>
        <v>0</v>
      </c>
      <c r="AY416" s="52" cm="1">
        <f t="array" ref="AY416">SUMPRODUCT(($V416:$AN416&lt;=$K131)*(1))</f>
        <v>0</v>
      </c>
      <c r="BA416" s="52">
        <f t="shared" si="71"/>
        <v>1</v>
      </c>
      <c r="BB416" s="52">
        <f t="shared" si="72"/>
        <v>0</v>
      </c>
      <c r="BC416" s="52">
        <f t="shared" si="73"/>
        <v>0</v>
      </c>
      <c r="BE416" s="50">
        <f t="shared" si="68"/>
        <v>5.2631578947368418E-2</v>
      </c>
      <c r="BF416" s="50">
        <f t="shared" si="69"/>
        <v>0</v>
      </c>
      <c r="BG416" s="50">
        <f t="shared" si="70"/>
        <v>0</v>
      </c>
    </row>
    <row r="417" spans="4:59" ht="15.6">
      <c r="D417" s="44"/>
      <c r="M417" s="42"/>
      <c r="N417" s="39" t="s">
        <v>27</v>
      </c>
      <c r="O417" s="39" t="s">
        <v>172</v>
      </c>
      <c r="P417" t="s">
        <v>736</v>
      </c>
      <c r="R417" s="41"/>
      <c r="S417" s="42"/>
      <c r="T417" s="42"/>
      <c r="U417" s="42"/>
      <c r="V417" s="45">
        <f t="shared" si="49"/>
        <v>1</v>
      </c>
      <c r="W417" s="45">
        <f t="shared" si="50"/>
        <v>1</v>
      </c>
      <c r="X417" s="45">
        <f t="shared" si="51"/>
        <v>1</v>
      </c>
      <c r="Y417" s="45">
        <f t="shared" si="52"/>
        <v>1</v>
      </c>
      <c r="Z417" s="45">
        <f t="shared" si="53"/>
        <v>1</v>
      </c>
      <c r="AA417" s="45">
        <f t="shared" si="54"/>
        <v>1</v>
      </c>
      <c r="AB417" s="45">
        <f t="shared" si="55"/>
        <v>1</v>
      </c>
      <c r="AC417" s="45">
        <f t="shared" si="56"/>
        <v>1</v>
      </c>
      <c r="AD417" s="45">
        <f t="shared" si="57"/>
        <v>0.99960440871147793</v>
      </c>
      <c r="AE417" s="45">
        <f t="shared" si="58"/>
        <v>1</v>
      </c>
      <c r="AF417" s="45">
        <f t="shared" si="59"/>
        <v>1</v>
      </c>
      <c r="AG417" s="45">
        <f t="shared" si="60"/>
        <v>1</v>
      </c>
      <c r="AH417" s="45">
        <f t="shared" si="61"/>
        <v>1</v>
      </c>
      <c r="AI417" s="45">
        <f t="shared" si="62"/>
        <v>1</v>
      </c>
      <c r="AJ417" s="45">
        <f t="shared" si="63"/>
        <v>1</v>
      </c>
      <c r="AK417" s="45">
        <f t="shared" si="64"/>
        <v>1</v>
      </c>
      <c r="AL417" s="45">
        <f t="shared" si="65"/>
        <v>1</v>
      </c>
      <c r="AM417" s="45">
        <f t="shared" si="66"/>
        <v>1</v>
      </c>
      <c r="AN417" s="45">
        <f t="shared" si="67"/>
        <v>1</v>
      </c>
      <c r="AS417" s="50" cm="1">
        <f t="array" ref="AS417">SUMPRODUCT(($V417:$AN417&lt;=$I132)*(1))/COUNT($V417:$AN417)</f>
        <v>0</v>
      </c>
      <c r="AT417" s="50" cm="1">
        <f t="array" ref="AT417">SUMPRODUCT(($V417:$AN417&lt;=$J132)*(1))/COUNT($V417:$AN417)</f>
        <v>0</v>
      </c>
      <c r="AU417" s="50" cm="1">
        <f t="array" ref="AU417">SUMPRODUCT(($V417:$AN417&lt;=$K132)*(1))/COUNT($V417:$AN417)</f>
        <v>0</v>
      </c>
      <c r="AW417" s="52" cm="1">
        <f t="array" ref="AW417">SUMPRODUCT(($V417:$AN417&lt;=$I132)*(1))</f>
        <v>0</v>
      </c>
      <c r="AX417" s="52" cm="1">
        <f t="array" ref="AX417">SUMPRODUCT(($V417:$AN417&lt;=$J132)*(1))</f>
        <v>0</v>
      </c>
      <c r="AY417" s="52" cm="1">
        <f t="array" ref="AY417">SUMPRODUCT(($V417:$AN417&lt;=$K132)*(1))</f>
        <v>0</v>
      </c>
      <c r="BA417" s="52">
        <f t="shared" si="71"/>
        <v>0</v>
      </c>
      <c r="BB417" s="52">
        <f t="shared" si="72"/>
        <v>0</v>
      </c>
      <c r="BC417" s="52">
        <f t="shared" si="73"/>
        <v>0</v>
      </c>
      <c r="BE417" s="50">
        <f t="shared" si="68"/>
        <v>0</v>
      </c>
      <c r="BF417" s="50">
        <f t="shared" si="69"/>
        <v>0</v>
      </c>
      <c r="BG417" s="50">
        <f t="shared" si="70"/>
        <v>0</v>
      </c>
    </row>
    <row r="418" spans="4:59" ht="15.6">
      <c r="D418" s="44"/>
      <c r="M418" s="42"/>
      <c r="N418" s="39" t="s">
        <v>27</v>
      </c>
      <c r="O418" s="39" t="s">
        <v>517</v>
      </c>
      <c r="P418" t="s">
        <v>737</v>
      </c>
      <c r="R418" s="41"/>
      <c r="S418" s="42"/>
      <c r="T418" s="42"/>
      <c r="U418" s="42"/>
      <c r="V418" s="45">
        <f t="shared" si="49"/>
        <v>1.1441081995783684</v>
      </c>
      <c r="W418" s="45">
        <f t="shared" si="50"/>
        <v>1.0481139835459159</v>
      </c>
      <c r="X418" s="45">
        <f t="shared" si="51"/>
        <v>1.1879179413964887</v>
      </c>
      <c r="Y418" s="45">
        <f t="shared" si="52"/>
        <v>1.0215013153803649</v>
      </c>
      <c r="Z418" s="45">
        <f t="shared" si="53"/>
        <v>1.1081715731066717</v>
      </c>
      <c r="AA418" s="45">
        <f t="shared" si="54"/>
        <v>1.0911192004365424</v>
      </c>
      <c r="AB418" s="45">
        <f t="shared" si="55"/>
        <v>0.95424295558793926</v>
      </c>
      <c r="AC418" s="45">
        <f t="shared" si="56"/>
        <v>0.76862482199760274</v>
      </c>
      <c r="AD418" s="45">
        <f t="shared" si="57"/>
        <v>0.80264276361034992</v>
      </c>
      <c r="AE418" s="45">
        <f t="shared" si="58"/>
        <v>0.76744215914801051</v>
      </c>
      <c r="AF418" s="45">
        <f t="shared" si="59"/>
        <v>0.79272622592626751</v>
      </c>
      <c r="AG418" s="45">
        <f t="shared" si="60"/>
        <v>1.3054511722695803</v>
      </c>
      <c r="AH418" s="45">
        <f t="shared" si="61"/>
        <v>1.1607823642110524</v>
      </c>
      <c r="AI418" s="45">
        <f t="shared" si="62"/>
        <v>1.190486155909539</v>
      </c>
      <c r="AJ418" s="45">
        <f t="shared" si="63"/>
        <v>0.86873734728059515</v>
      </c>
      <c r="AK418" s="45">
        <f t="shared" si="64"/>
        <v>1.1437595668107723</v>
      </c>
      <c r="AL418" s="45">
        <f t="shared" si="65"/>
        <v>1.0913559061663791</v>
      </c>
      <c r="AM418" s="45">
        <f t="shared" si="66"/>
        <v>1.069007175081836</v>
      </c>
      <c r="AN418" s="45">
        <f t="shared" si="67"/>
        <v>0.88356058293599016</v>
      </c>
      <c r="AS418" s="50" cm="1">
        <f t="array" ref="AS418">SUMPRODUCT(($V418:$AN418&lt;=$I133)*(1))/COUNT($V418:$AN418)</f>
        <v>0.31578947368421051</v>
      </c>
      <c r="AT418" s="50" cm="1">
        <f t="array" ref="AT418">SUMPRODUCT(($V418:$AN418&lt;=$J133)*(1))/COUNT($V418:$AN418)</f>
        <v>0.21052631578947367</v>
      </c>
      <c r="AU418" s="50" cm="1">
        <f t="array" ref="AU418">SUMPRODUCT(($V418:$AN418&lt;=$K133)*(1))/COUNT($V418:$AN418)</f>
        <v>0</v>
      </c>
      <c r="AW418" s="52" cm="1">
        <f t="array" ref="AW418">SUMPRODUCT(($V418:$AN418&lt;=$I133)*(1))</f>
        <v>6</v>
      </c>
      <c r="AX418" s="52" cm="1">
        <f t="array" ref="AX418">SUMPRODUCT(($V418:$AN418&lt;=$J133)*(1))</f>
        <v>4</v>
      </c>
      <c r="AY418" s="52" cm="1">
        <f t="array" ref="AY418">SUMPRODUCT(($V418:$AN418&lt;=$K133)*(1))</f>
        <v>0</v>
      </c>
      <c r="BA418" s="52">
        <f t="shared" si="71"/>
        <v>2</v>
      </c>
      <c r="BB418" s="52">
        <f t="shared" si="72"/>
        <v>4</v>
      </c>
      <c r="BC418" s="52">
        <f t="shared" si="73"/>
        <v>0</v>
      </c>
      <c r="BE418" s="50">
        <f t="shared" si="68"/>
        <v>0.10526315789473684</v>
      </c>
      <c r="BF418" s="50">
        <f t="shared" si="69"/>
        <v>0.21052631578947367</v>
      </c>
      <c r="BG418" s="50">
        <f t="shared" si="70"/>
        <v>0</v>
      </c>
    </row>
    <row r="419" spans="4:59" ht="15.6">
      <c r="D419" s="44"/>
      <c r="M419" s="42"/>
      <c r="N419" s="39" t="s">
        <v>27</v>
      </c>
      <c r="O419" s="39" t="s">
        <v>484</v>
      </c>
      <c r="P419" t="s">
        <v>738</v>
      </c>
      <c r="R419" s="41"/>
      <c r="S419" s="42"/>
      <c r="T419" s="42"/>
      <c r="U419" s="42"/>
      <c r="V419" s="45">
        <f t="shared" si="49"/>
        <v>1</v>
      </c>
      <c r="W419" s="45">
        <f t="shared" si="50"/>
        <v>1</v>
      </c>
      <c r="X419" s="45">
        <f t="shared" si="51"/>
        <v>1</v>
      </c>
      <c r="Y419" s="45">
        <f t="shared" si="52"/>
        <v>1</v>
      </c>
      <c r="Z419" s="45">
        <f t="shared" si="53"/>
        <v>1</v>
      </c>
      <c r="AA419" s="45">
        <f t="shared" si="54"/>
        <v>1</v>
      </c>
      <c r="AB419" s="45">
        <f t="shared" si="55"/>
        <v>1</v>
      </c>
      <c r="AC419" s="45">
        <f t="shared" si="56"/>
        <v>1</v>
      </c>
      <c r="AD419" s="45">
        <f t="shared" si="57"/>
        <v>0.94301772394477301</v>
      </c>
      <c r="AE419" s="45">
        <f t="shared" si="58"/>
        <v>0.99441917514116496</v>
      </c>
      <c r="AF419" s="45">
        <f t="shared" si="59"/>
        <v>0.99950080764355209</v>
      </c>
      <c r="AG419" s="45">
        <f t="shared" si="60"/>
        <v>1.0004994416739141</v>
      </c>
      <c r="AH419" s="45">
        <f t="shared" si="61"/>
        <v>1.0004994416739141</v>
      </c>
      <c r="AI419" s="45">
        <f t="shared" si="62"/>
        <v>1.0004994416739141</v>
      </c>
      <c r="AJ419" s="45">
        <f t="shared" si="63"/>
        <v>0.99326433095837108</v>
      </c>
      <c r="AK419" s="45">
        <f t="shared" si="64"/>
        <v>1</v>
      </c>
      <c r="AL419" s="45">
        <f t="shared" si="65"/>
        <v>1</v>
      </c>
      <c r="AM419" s="45">
        <f t="shared" si="66"/>
        <v>1</v>
      </c>
      <c r="AN419" s="45">
        <f t="shared" si="67"/>
        <v>1</v>
      </c>
      <c r="AS419" s="50" cm="1">
        <f t="array" ref="AS419">SUMPRODUCT(($V419:$AN419&lt;=$I134)*(1))/COUNT($V419:$AN419)</f>
        <v>5.2631578947368418E-2</v>
      </c>
      <c r="AT419" s="50" cm="1">
        <f t="array" ref="AT419">SUMPRODUCT(($V419:$AN419&lt;=$J134)*(1))/COUNT($V419:$AN419)</f>
        <v>0</v>
      </c>
      <c r="AU419" s="50" cm="1">
        <f t="array" ref="AU419">SUMPRODUCT(($V419:$AN419&lt;=$K134)*(1))/COUNT($V419:$AN419)</f>
        <v>0</v>
      </c>
      <c r="AW419" s="52" cm="1">
        <f t="array" ref="AW419">SUMPRODUCT(($V419:$AN419&lt;=$I134)*(1))</f>
        <v>1</v>
      </c>
      <c r="AX419" s="52" cm="1">
        <f t="array" ref="AX419">SUMPRODUCT(($V419:$AN419&lt;=$J134)*(1))</f>
        <v>0</v>
      </c>
      <c r="AY419" s="52" cm="1">
        <f t="array" ref="AY419">SUMPRODUCT(($V419:$AN419&lt;=$K134)*(1))</f>
        <v>0</v>
      </c>
      <c r="BA419" s="52">
        <f t="shared" si="71"/>
        <v>1</v>
      </c>
      <c r="BB419" s="52">
        <f t="shared" si="72"/>
        <v>0</v>
      </c>
      <c r="BC419" s="52">
        <f t="shared" si="73"/>
        <v>0</v>
      </c>
      <c r="BE419" s="50">
        <f t="shared" si="68"/>
        <v>5.2631578947368418E-2</v>
      </c>
      <c r="BF419" s="50">
        <f t="shared" si="69"/>
        <v>0</v>
      </c>
      <c r="BG419" s="50">
        <f t="shared" si="70"/>
        <v>0</v>
      </c>
    </row>
    <row r="420" spans="4:59" ht="15.6">
      <c r="D420" s="44"/>
      <c r="M420" s="42"/>
      <c r="N420" s="39" t="s">
        <v>27</v>
      </c>
      <c r="O420" s="39" t="s">
        <v>417</v>
      </c>
      <c r="P420" t="s">
        <v>739</v>
      </c>
      <c r="R420" s="41"/>
      <c r="S420" s="42"/>
      <c r="T420" s="42"/>
      <c r="U420" s="42"/>
      <c r="V420" s="45">
        <f t="shared" si="49"/>
        <v>1.0815215795257032</v>
      </c>
      <c r="W420" s="45">
        <f t="shared" si="50"/>
        <v>0.86764407180172998</v>
      </c>
      <c r="X420" s="45">
        <f t="shared" si="51"/>
        <v>1.0960008149582625</v>
      </c>
      <c r="Y420" s="45">
        <f t="shared" si="52"/>
        <v>1.0472395065699667</v>
      </c>
      <c r="Z420" s="45">
        <f t="shared" si="53"/>
        <v>0.92188429505375813</v>
      </c>
      <c r="AA420" s="45">
        <f t="shared" si="54"/>
        <v>0.88350540311580517</v>
      </c>
      <c r="AB420" s="45">
        <f t="shared" si="55"/>
        <v>1.1153780663489097</v>
      </c>
      <c r="AC420" s="45">
        <f t="shared" si="56"/>
        <v>0.92353677756665231</v>
      </c>
      <c r="AD420" s="45">
        <f t="shared" si="57"/>
        <v>0.93895697402150269</v>
      </c>
      <c r="AE420" s="45">
        <f t="shared" si="58"/>
        <v>0.98636631072847769</v>
      </c>
      <c r="AF420" s="45">
        <f t="shared" si="59"/>
        <v>0.8977440715850219</v>
      </c>
      <c r="AG420" s="45">
        <f t="shared" si="60"/>
        <v>0.9946840150471824</v>
      </c>
      <c r="AH420" s="45">
        <f t="shared" si="61"/>
        <v>1.1570844945950964</v>
      </c>
      <c r="AI420" s="45">
        <f t="shared" si="62"/>
        <v>1.0626972920428321</v>
      </c>
      <c r="AJ420" s="45">
        <f t="shared" si="63"/>
        <v>0.9519638106662498</v>
      </c>
      <c r="AK420" s="45">
        <f t="shared" si="64"/>
        <v>1.1570844945950964</v>
      </c>
      <c r="AL420" s="45">
        <f t="shared" si="65"/>
        <v>0.97685431969485537</v>
      </c>
      <c r="AM420" s="45">
        <f t="shared" si="66"/>
        <v>1.0888185217549797</v>
      </c>
      <c r="AN420" s="45">
        <f t="shared" si="67"/>
        <v>1.0477996432581693</v>
      </c>
      <c r="AS420" s="50" cm="1">
        <f t="array" ref="AS420">SUMPRODUCT(($V420:$AN420&lt;=$I135)*(1))/COUNT($V420:$AN420)</f>
        <v>0.31578947368421051</v>
      </c>
      <c r="AT420" s="50" cm="1">
        <f t="array" ref="AT420">SUMPRODUCT(($V420:$AN420&lt;=$J135)*(1))/COUNT($V420:$AN420)</f>
        <v>0</v>
      </c>
      <c r="AU420" s="50" cm="1">
        <f t="array" ref="AU420">SUMPRODUCT(($V420:$AN420&lt;=$K135)*(1))/COUNT($V420:$AN420)</f>
        <v>0</v>
      </c>
      <c r="AW420" s="52" cm="1">
        <f t="array" ref="AW420">SUMPRODUCT(($V420:$AN420&lt;=$I135)*(1))</f>
        <v>6</v>
      </c>
      <c r="AX420" s="52" cm="1">
        <f t="array" ref="AX420">SUMPRODUCT(($V420:$AN420&lt;=$J135)*(1))</f>
        <v>0</v>
      </c>
      <c r="AY420" s="52" cm="1">
        <f t="array" ref="AY420">SUMPRODUCT(($V420:$AN420&lt;=$K135)*(1))</f>
        <v>0</v>
      </c>
      <c r="BA420" s="52">
        <f t="shared" si="71"/>
        <v>6</v>
      </c>
      <c r="BB420" s="52">
        <f t="shared" si="72"/>
        <v>0</v>
      </c>
      <c r="BC420" s="52">
        <f t="shared" si="73"/>
        <v>0</v>
      </c>
      <c r="BE420" s="50">
        <f t="shared" si="68"/>
        <v>0.31578947368421051</v>
      </c>
      <c r="BF420" s="50">
        <f t="shared" si="69"/>
        <v>0</v>
      </c>
      <c r="BG420" s="50">
        <f t="shared" si="70"/>
        <v>0</v>
      </c>
    </row>
    <row r="421" spans="4:59" ht="15.6">
      <c r="D421" s="44"/>
      <c r="M421" s="42"/>
      <c r="N421" s="39" t="s">
        <v>27</v>
      </c>
      <c r="O421" s="39" t="s">
        <v>331</v>
      </c>
      <c r="P421" t="s">
        <v>740</v>
      </c>
      <c r="R421" s="41"/>
      <c r="S421" s="42"/>
      <c r="T421" s="42"/>
      <c r="U421" s="42"/>
      <c r="V421" s="45">
        <f t="shared" ref="V421:V484" si="74">V136/MEDIAN(Q136:U136)</f>
        <v>1</v>
      </c>
      <c r="W421" s="45">
        <f t="shared" ref="W421:W484" si="75">W136/MEDIAN(R136:V136)</f>
        <v>1</v>
      </c>
      <c r="X421" s="45">
        <f t="shared" ref="X421:X484" si="76">X136/MEDIAN(S136:W136)</f>
        <v>1</v>
      </c>
      <c r="Y421" s="45">
        <f t="shared" ref="Y421:Y484" si="77">Y136/MEDIAN(T136:X136)</f>
        <v>1</v>
      </c>
      <c r="Z421" s="45">
        <f t="shared" ref="Z421:Z484" si="78">Z136/MEDIAN(U136:Y136)</f>
        <v>1</v>
      </c>
      <c r="AA421" s="45">
        <f t="shared" ref="AA421:AA484" si="79">AA136/MEDIAN(V136:Z136)</f>
        <v>1</v>
      </c>
      <c r="AB421" s="45">
        <f t="shared" ref="AB421:AB484" si="80">AB136/MEDIAN(W136:AA136)</f>
        <v>1</v>
      </c>
      <c r="AC421" s="45">
        <f t="shared" ref="AC421:AC484" si="81">AC136/MEDIAN(X136:AB136)</f>
        <v>1</v>
      </c>
      <c r="AD421" s="45">
        <f t="shared" ref="AD421:AD484" si="82">AD136/MEDIAN(Y136:AC136)</f>
        <v>1</v>
      </c>
      <c r="AE421" s="45">
        <f t="shared" ref="AE421:AE484" si="83">AE136/MEDIAN(Z136:AD136)</f>
        <v>1</v>
      </c>
      <c r="AF421" s="45">
        <f t="shared" ref="AF421:AF484" si="84">AF136/MEDIAN(AA136:AE136)</f>
        <v>1</v>
      </c>
      <c r="AG421" s="45">
        <f t="shared" ref="AG421:AG484" si="85">AG136/MEDIAN(AB136:AF136)</f>
        <v>1</v>
      </c>
      <c r="AH421" s="45">
        <f t="shared" ref="AH421:AH484" si="86">AH136/MEDIAN(AC136:AG136)</f>
        <v>1</v>
      </c>
      <c r="AI421" s="45">
        <f t="shared" ref="AI421:AI484" si="87">AI136/MEDIAN(AD136:AH136)</f>
        <v>1</v>
      </c>
      <c r="AJ421" s="45">
        <f t="shared" ref="AJ421:AJ484" si="88">AJ136/MEDIAN(AE136:AI136)</f>
        <v>1</v>
      </c>
      <c r="AK421" s="45">
        <f t="shared" si="64"/>
        <v>1</v>
      </c>
      <c r="AL421" s="45">
        <f t="shared" si="65"/>
        <v>1</v>
      </c>
      <c r="AM421" s="45">
        <f t="shared" si="66"/>
        <v>1</v>
      </c>
      <c r="AN421" s="45">
        <f t="shared" si="67"/>
        <v>1</v>
      </c>
      <c r="AS421" s="50" cm="1">
        <f t="array" ref="AS421">SUMPRODUCT(($V421:$AN421&lt;=$I136)*(1))/COUNT($V421:$AN421)</f>
        <v>0</v>
      </c>
      <c r="AT421" s="50" cm="1">
        <f t="array" ref="AT421">SUMPRODUCT(($V421:$AN421&lt;=$J136)*(1))/COUNT($V421:$AN421)</f>
        <v>0</v>
      </c>
      <c r="AU421" s="50" cm="1">
        <f t="array" ref="AU421">SUMPRODUCT(($V421:$AN421&lt;=$K136)*(1))/COUNT($V421:$AN421)</f>
        <v>0</v>
      </c>
      <c r="AW421" s="52" cm="1">
        <f t="array" ref="AW421">SUMPRODUCT(($V421:$AN421&lt;=$I136)*(1))</f>
        <v>0</v>
      </c>
      <c r="AX421" s="52" cm="1">
        <f t="array" ref="AX421">SUMPRODUCT(($V421:$AN421&lt;=$J136)*(1))</f>
        <v>0</v>
      </c>
      <c r="AY421" s="52" cm="1">
        <f t="array" ref="AY421">SUMPRODUCT(($V421:$AN421&lt;=$K136)*(1))</f>
        <v>0</v>
      </c>
      <c r="BA421" s="52">
        <f t="shared" si="71"/>
        <v>0</v>
      </c>
      <c r="BB421" s="52">
        <f t="shared" si="72"/>
        <v>0</v>
      </c>
      <c r="BC421" s="52">
        <f t="shared" si="73"/>
        <v>0</v>
      </c>
      <c r="BE421" s="50">
        <f t="shared" si="68"/>
        <v>0</v>
      </c>
      <c r="BF421" s="50">
        <f t="shared" si="69"/>
        <v>0</v>
      </c>
      <c r="BG421" s="50">
        <f t="shared" si="70"/>
        <v>0</v>
      </c>
    </row>
    <row r="422" spans="4:59" ht="15.6">
      <c r="D422" s="44"/>
      <c r="M422" s="42"/>
      <c r="N422" s="39" t="s">
        <v>27</v>
      </c>
      <c r="O422" s="39" t="s">
        <v>475</v>
      </c>
      <c r="P422" t="s">
        <v>741</v>
      </c>
      <c r="R422" s="41"/>
      <c r="S422" s="42"/>
      <c r="T422" s="42"/>
      <c r="U422" s="42"/>
      <c r="V422" s="45">
        <f t="shared" si="74"/>
        <v>0.99684830861539842</v>
      </c>
      <c r="W422" s="45">
        <f t="shared" si="75"/>
        <v>1.0061522963959897</v>
      </c>
      <c r="X422" s="45">
        <f t="shared" si="76"/>
        <v>1.0444694630668996</v>
      </c>
      <c r="Y422" s="45">
        <f t="shared" si="77"/>
        <v>1.0169396397321324</v>
      </c>
      <c r="Z422" s="45">
        <f t="shared" si="78"/>
        <v>1.0247083249249889</v>
      </c>
      <c r="AA422" s="45">
        <f t="shared" si="79"/>
        <v>1.0206449543279583</v>
      </c>
      <c r="AB422" s="45">
        <f t="shared" si="80"/>
        <v>0.99268708883649215</v>
      </c>
      <c r="AC422" s="45">
        <f t="shared" si="81"/>
        <v>0.89013697613984133</v>
      </c>
      <c r="AD422" s="45">
        <f t="shared" si="82"/>
        <v>0.9279441402820362</v>
      </c>
      <c r="AE422" s="45">
        <f t="shared" si="83"/>
        <v>0.98729502289957816</v>
      </c>
      <c r="AF422" s="45">
        <f t="shared" si="84"/>
        <v>0.99752770997180151</v>
      </c>
      <c r="AG422" s="45">
        <f t="shared" si="85"/>
        <v>1.0133215610005073</v>
      </c>
      <c r="AH422" s="45">
        <f t="shared" si="86"/>
        <v>1.0242561199834499</v>
      </c>
      <c r="AI422" s="45">
        <f t="shared" si="87"/>
        <v>1.0207253238502316</v>
      </c>
      <c r="AJ422" s="45">
        <f t="shared" si="88"/>
        <v>0.92292092272480397</v>
      </c>
      <c r="AK422" s="45">
        <f t="shared" ref="AK422:AK485" si="89">AK137/MEDIAN(AF137:AJ137)</f>
        <v>1.012012980255327</v>
      </c>
      <c r="AL422" s="45">
        <f t="shared" ref="AL422:AL485" si="90">AL137/MEDIAN(AG137:AK137)</f>
        <v>1.000323340044468</v>
      </c>
      <c r="AM422" s="45">
        <f t="shared" ref="AM422:AM485" si="91">AM137/MEDIAN(AH137:AL137)</f>
        <v>1.0004735770277551</v>
      </c>
      <c r="AN422" s="45">
        <f t="shared" ref="AN422:AN485" si="92">AN137/MEDIAN(AI137:AM137)</f>
        <v>0.91150357486335543</v>
      </c>
      <c r="AS422" s="50" cm="1">
        <f t="array" ref="AS422">SUMPRODUCT(($V422:$AN422&lt;=$I137)*(1))/COUNT($V422:$AN422)</f>
        <v>0.21052631578947367</v>
      </c>
      <c r="AT422" s="50" cm="1">
        <f t="array" ref="AT422">SUMPRODUCT(($V422:$AN422&lt;=$J137)*(1))/COUNT($V422:$AN422)</f>
        <v>0</v>
      </c>
      <c r="AU422" s="50" cm="1">
        <f t="array" ref="AU422">SUMPRODUCT(($V422:$AN422&lt;=$K137)*(1))/COUNT($V422:$AN422)</f>
        <v>0</v>
      </c>
      <c r="AW422" s="52" cm="1">
        <f t="array" ref="AW422">SUMPRODUCT(($V422:$AN422&lt;=$I137)*(1))</f>
        <v>4</v>
      </c>
      <c r="AX422" s="52" cm="1">
        <f t="array" ref="AX422">SUMPRODUCT(($V422:$AN422&lt;=$J137)*(1))</f>
        <v>0</v>
      </c>
      <c r="AY422" s="52" cm="1">
        <f t="array" ref="AY422">SUMPRODUCT(($V422:$AN422&lt;=$K137)*(1))</f>
        <v>0</v>
      </c>
      <c r="BA422" s="52">
        <f t="shared" si="71"/>
        <v>4</v>
      </c>
      <c r="BB422" s="52">
        <f t="shared" si="72"/>
        <v>0</v>
      </c>
      <c r="BC422" s="52">
        <f t="shared" si="73"/>
        <v>0</v>
      </c>
      <c r="BE422" s="50">
        <f t="shared" ref="BE422:BE485" si="93">BA422/COUNT($V422:$AN422)</f>
        <v>0.21052631578947367</v>
      </c>
      <c r="BF422" s="50">
        <f t="shared" ref="BF422:BF485" si="94">BB422/COUNT($V422:$AN422)</f>
        <v>0</v>
      </c>
      <c r="BG422" s="50">
        <f t="shared" ref="BG422:BG485" si="95">BC422/COUNT($V422:$AN422)</f>
        <v>0</v>
      </c>
    </row>
    <row r="423" spans="4:59" ht="15.6">
      <c r="D423" s="44"/>
      <c r="M423" s="42"/>
      <c r="N423" s="39" t="s">
        <v>27</v>
      </c>
      <c r="O423" s="39" t="s">
        <v>489</v>
      </c>
      <c r="P423" t="s">
        <v>742</v>
      </c>
      <c r="R423" s="41"/>
      <c r="S423" s="42"/>
      <c r="T423" s="42"/>
      <c r="U423" s="42"/>
      <c r="V423" s="45">
        <f t="shared" si="74"/>
        <v>1</v>
      </c>
      <c r="W423" s="45">
        <f t="shared" si="75"/>
        <v>1</v>
      </c>
      <c r="X423" s="45">
        <f t="shared" si="76"/>
        <v>1</v>
      </c>
      <c r="Y423" s="45">
        <f t="shared" si="77"/>
        <v>1</v>
      </c>
      <c r="Z423" s="45">
        <f t="shared" si="78"/>
        <v>1</v>
      </c>
      <c r="AA423" s="45">
        <f t="shared" si="79"/>
        <v>1</v>
      </c>
      <c r="AB423" s="45">
        <f t="shared" si="80"/>
        <v>1</v>
      </c>
      <c r="AC423" s="45">
        <f t="shared" si="81"/>
        <v>1</v>
      </c>
      <c r="AD423" s="45">
        <f t="shared" si="82"/>
        <v>0.97987295941736607</v>
      </c>
      <c r="AE423" s="45">
        <f t="shared" si="83"/>
        <v>1</v>
      </c>
      <c r="AF423" s="45">
        <f t="shared" si="84"/>
        <v>0.99807475988406691</v>
      </c>
      <c r="AG423" s="45">
        <f t="shared" si="85"/>
        <v>1</v>
      </c>
      <c r="AH423" s="45">
        <f t="shared" si="86"/>
        <v>1</v>
      </c>
      <c r="AI423" s="45">
        <f t="shared" si="87"/>
        <v>0.99796114374173006</v>
      </c>
      <c r="AJ423" s="45">
        <f t="shared" si="88"/>
        <v>0.99264299204420592</v>
      </c>
      <c r="AK423" s="45">
        <f t="shared" si="89"/>
        <v>1.0019289538151999</v>
      </c>
      <c r="AL423" s="45">
        <f t="shared" si="90"/>
        <v>1</v>
      </c>
      <c r="AM423" s="45">
        <f t="shared" si="91"/>
        <v>1</v>
      </c>
      <c r="AN423" s="45">
        <f t="shared" si="92"/>
        <v>1</v>
      </c>
      <c r="AS423" s="50" cm="1">
        <f t="array" ref="AS423">SUMPRODUCT(($V423:$AN423&lt;=$I138)*(1))/COUNT($V423:$AN423)</f>
        <v>0</v>
      </c>
      <c r="AT423" s="50" cm="1">
        <f t="array" ref="AT423">SUMPRODUCT(($V423:$AN423&lt;=$J138)*(1))/COUNT($V423:$AN423)</f>
        <v>0</v>
      </c>
      <c r="AU423" s="50" cm="1">
        <f t="array" ref="AU423">SUMPRODUCT(($V423:$AN423&lt;=$K138)*(1))/COUNT($V423:$AN423)</f>
        <v>0</v>
      </c>
      <c r="AW423" s="52" cm="1">
        <f t="array" ref="AW423">SUMPRODUCT(($V423:$AN423&lt;=$I138)*(1))</f>
        <v>0</v>
      </c>
      <c r="AX423" s="52" cm="1">
        <f t="array" ref="AX423">SUMPRODUCT(($V423:$AN423&lt;=$J138)*(1))</f>
        <v>0</v>
      </c>
      <c r="AY423" s="52" cm="1">
        <f t="array" ref="AY423">SUMPRODUCT(($V423:$AN423&lt;=$K138)*(1))</f>
        <v>0</v>
      </c>
      <c r="BA423" s="52">
        <f t="shared" si="71"/>
        <v>0</v>
      </c>
      <c r="BB423" s="52">
        <f t="shared" si="72"/>
        <v>0</v>
      </c>
      <c r="BC423" s="52">
        <f t="shared" si="73"/>
        <v>0</v>
      </c>
      <c r="BE423" s="50">
        <f t="shared" si="93"/>
        <v>0</v>
      </c>
      <c r="BF423" s="50">
        <f t="shared" si="94"/>
        <v>0</v>
      </c>
      <c r="BG423" s="50">
        <f t="shared" si="95"/>
        <v>0</v>
      </c>
    </row>
    <row r="424" spans="4:59" ht="15.6">
      <c r="D424" s="44"/>
      <c r="M424" s="42"/>
      <c r="N424" s="39" t="s">
        <v>27</v>
      </c>
      <c r="O424" s="39" t="s">
        <v>542</v>
      </c>
      <c r="P424" t="s">
        <v>544</v>
      </c>
      <c r="R424" s="41"/>
      <c r="S424" s="42"/>
      <c r="T424" s="42"/>
      <c r="U424" s="42"/>
      <c r="V424" s="45">
        <f t="shared" si="74"/>
        <v>1.0033679384630523</v>
      </c>
      <c r="W424" s="45">
        <f t="shared" si="75"/>
        <v>0.89666860822141559</v>
      </c>
      <c r="X424" s="45">
        <f t="shared" si="76"/>
        <v>1.0035474135145936</v>
      </c>
      <c r="Y424" s="45">
        <f t="shared" si="77"/>
        <v>0.99049717286436378</v>
      </c>
      <c r="Z424" s="45">
        <f t="shared" si="78"/>
        <v>0.92766619828440156</v>
      </c>
      <c r="AA424" s="45">
        <f t="shared" si="79"/>
        <v>0.9224218154173176</v>
      </c>
      <c r="AB424" s="45">
        <f t="shared" si="80"/>
        <v>1.0817979736359098</v>
      </c>
      <c r="AC424" s="45">
        <f t="shared" si="81"/>
        <v>1.0004278440282672</v>
      </c>
      <c r="AD424" s="45">
        <f t="shared" si="82"/>
        <v>0.92384216935962016</v>
      </c>
      <c r="AE424" s="45">
        <f t="shared" si="83"/>
        <v>0.97099569808111774</v>
      </c>
      <c r="AF424" s="45">
        <f t="shared" si="84"/>
        <v>0.91079698281410548</v>
      </c>
      <c r="AG424" s="45">
        <f t="shared" si="85"/>
        <v>1.0235460972106636</v>
      </c>
      <c r="AH424" s="45">
        <f t="shared" si="86"/>
        <v>1.0966975509736903</v>
      </c>
      <c r="AI424" s="45">
        <f t="shared" si="87"/>
        <v>1.0457953558373239</v>
      </c>
      <c r="AJ424" s="45">
        <f t="shared" si="88"/>
        <v>1.0056351151420058</v>
      </c>
      <c r="AK424" s="45">
        <f t="shared" si="89"/>
        <v>1.0654646302040949</v>
      </c>
      <c r="AL424" s="45">
        <f t="shared" si="90"/>
        <v>1.0486731891208403</v>
      </c>
      <c r="AM424" s="45">
        <f t="shared" si="91"/>
        <v>1</v>
      </c>
      <c r="AN424" s="45">
        <f t="shared" si="92"/>
        <v>0.96146060432112801</v>
      </c>
      <c r="AS424" s="50" cm="1">
        <f t="array" ref="AS424">SUMPRODUCT(($V424:$AN424&lt;=$I139)*(1))/COUNT($V424:$AN424)</f>
        <v>0.26315789473684209</v>
      </c>
      <c r="AT424" s="50" cm="1">
        <f t="array" ref="AT424">SUMPRODUCT(($V424:$AN424&lt;=$J139)*(1))/COUNT($V424:$AN424)</f>
        <v>0</v>
      </c>
      <c r="AU424" s="50" cm="1">
        <f t="array" ref="AU424">SUMPRODUCT(($V424:$AN424&lt;=$K139)*(1))/COUNT($V424:$AN424)</f>
        <v>0</v>
      </c>
      <c r="AW424" s="52" cm="1">
        <f t="array" ref="AW424">SUMPRODUCT(($V424:$AN424&lt;=$I139)*(1))</f>
        <v>5</v>
      </c>
      <c r="AX424" s="52" cm="1">
        <f t="array" ref="AX424">SUMPRODUCT(($V424:$AN424&lt;=$J139)*(1))</f>
        <v>0</v>
      </c>
      <c r="AY424" s="52" cm="1">
        <f t="array" ref="AY424">SUMPRODUCT(($V424:$AN424&lt;=$K139)*(1))</f>
        <v>0</v>
      </c>
      <c r="BA424" s="52">
        <f t="shared" si="71"/>
        <v>5</v>
      </c>
      <c r="BB424" s="52">
        <f t="shared" si="72"/>
        <v>0</v>
      </c>
      <c r="BC424" s="52">
        <f t="shared" si="73"/>
        <v>0</v>
      </c>
      <c r="BE424" s="50">
        <f t="shared" si="93"/>
        <v>0.26315789473684209</v>
      </c>
      <c r="BF424" s="50">
        <f t="shared" si="94"/>
        <v>0</v>
      </c>
      <c r="BG424" s="50">
        <f t="shared" si="95"/>
        <v>0</v>
      </c>
    </row>
    <row r="425" spans="4:59" ht="15.6">
      <c r="D425" s="44"/>
      <c r="M425" s="42"/>
      <c r="N425" s="39" t="s">
        <v>27</v>
      </c>
      <c r="O425" s="39" t="s">
        <v>613</v>
      </c>
      <c r="P425" t="s">
        <v>743</v>
      </c>
      <c r="R425" s="41"/>
      <c r="S425" s="42"/>
      <c r="T425" s="42"/>
      <c r="U425" s="42"/>
      <c r="V425" s="45">
        <f t="shared" si="74"/>
        <v>1.097416633188331</v>
      </c>
      <c r="W425" s="45">
        <f t="shared" si="75"/>
        <v>0.97819905138817476</v>
      </c>
      <c r="X425" s="45">
        <f t="shared" si="76"/>
        <v>1.1630127979105247</v>
      </c>
      <c r="Y425" s="45">
        <f t="shared" si="77"/>
        <v>1.1327414883014697</v>
      </c>
      <c r="Z425" s="45">
        <f t="shared" si="78"/>
        <v>1.0435833583733067</v>
      </c>
      <c r="AA425" s="45">
        <f t="shared" si="79"/>
        <v>1.0267239347385841</v>
      </c>
      <c r="AB425" s="45">
        <f t="shared" si="80"/>
        <v>1.0247838442674981</v>
      </c>
      <c r="AC425" s="45">
        <f t="shared" si="81"/>
        <v>0.75205109587629093</v>
      </c>
      <c r="AD425" s="45">
        <f t="shared" si="82"/>
        <v>0.91644087087353066</v>
      </c>
      <c r="AE425" s="45">
        <f t="shared" si="83"/>
        <v>0.75617757205955016</v>
      </c>
      <c r="AF425" s="45">
        <f t="shared" si="84"/>
        <v>0.99150765543731434</v>
      </c>
      <c r="AG425" s="45">
        <f t="shared" si="85"/>
        <v>0.91944470255299104</v>
      </c>
      <c r="AH425" s="45">
        <f t="shared" si="86"/>
        <v>0.93727889639751738</v>
      </c>
      <c r="AI425" s="45">
        <f t="shared" si="87"/>
        <v>1.2266089638441451</v>
      </c>
      <c r="AJ425" s="45">
        <f t="shared" si="88"/>
        <v>1.010306093246427</v>
      </c>
      <c r="AK425" s="45">
        <f t="shared" si="89"/>
        <v>1.2140963734096366</v>
      </c>
      <c r="AL425" s="45">
        <f t="shared" si="90"/>
        <v>1.2085367873100876</v>
      </c>
      <c r="AM425" s="45">
        <f t="shared" si="91"/>
        <v>1.0046002621996499</v>
      </c>
      <c r="AN425" s="45">
        <f t="shared" si="92"/>
        <v>0.67060761686363302</v>
      </c>
      <c r="AS425" s="50" cm="1">
        <f t="array" ref="AS425">SUMPRODUCT(($V425:$AN425&lt;=$I140)*(1))/COUNT($V425:$AN425)</f>
        <v>0.31578947368421051</v>
      </c>
      <c r="AT425" s="50" cm="1">
        <f t="array" ref="AT425">SUMPRODUCT(($V425:$AN425&lt;=$J140)*(1))/COUNT($V425:$AN425)</f>
        <v>0.15789473684210525</v>
      </c>
      <c r="AU425" s="50" cm="1">
        <f t="array" ref="AU425">SUMPRODUCT(($V425:$AN425&lt;=$K140)*(1))/COUNT($V425:$AN425)</f>
        <v>5.2631578947368418E-2</v>
      </c>
      <c r="AW425" s="52" cm="1">
        <f t="array" ref="AW425">SUMPRODUCT(($V425:$AN425&lt;=$I140)*(1))</f>
        <v>6</v>
      </c>
      <c r="AX425" s="52" cm="1">
        <f t="array" ref="AX425">SUMPRODUCT(($V425:$AN425&lt;=$J140)*(1))</f>
        <v>3</v>
      </c>
      <c r="AY425" s="52" cm="1">
        <f t="array" ref="AY425">SUMPRODUCT(($V425:$AN425&lt;=$K140)*(1))</f>
        <v>1</v>
      </c>
      <c r="BA425" s="52">
        <f t="shared" si="71"/>
        <v>3</v>
      </c>
      <c r="BB425" s="52">
        <f t="shared" si="72"/>
        <v>2</v>
      </c>
      <c r="BC425" s="52">
        <f t="shared" si="73"/>
        <v>1</v>
      </c>
      <c r="BE425" s="50">
        <f t="shared" si="93"/>
        <v>0.15789473684210525</v>
      </c>
      <c r="BF425" s="50">
        <f t="shared" si="94"/>
        <v>0.10526315789473684</v>
      </c>
      <c r="BG425" s="50">
        <f t="shared" si="95"/>
        <v>5.2631578947368418E-2</v>
      </c>
    </row>
    <row r="426" spans="4:59" ht="15.6">
      <c r="D426" s="44"/>
      <c r="M426" s="42"/>
      <c r="N426" s="39" t="s">
        <v>27</v>
      </c>
      <c r="O426" s="39" t="s">
        <v>517</v>
      </c>
      <c r="P426" t="s">
        <v>744</v>
      </c>
      <c r="R426" s="41"/>
      <c r="S426" s="42"/>
      <c r="T426" s="42"/>
      <c r="U426" s="42"/>
      <c r="V426" s="45">
        <f t="shared" si="74"/>
        <v>1.0800516660557908</v>
      </c>
      <c r="W426" s="45">
        <f t="shared" si="75"/>
        <v>1.0047636441348406</v>
      </c>
      <c r="X426" s="45">
        <f t="shared" si="76"/>
        <v>1.0813730665970109</v>
      </c>
      <c r="Y426" s="45">
        <f t="shared" si="77"/>
        <v>1.0765256694875791</v>
      </c>
      <c r="Z426" s="45">
        <f t="shared" si="78"/>
        <v>0.9999149247614737</v>
      </c>
      <c r="AA426" s="45">
        <f t="shared" si="79"/>
        <v>1.0518755181446988</v>
      </c>
      <c r="AB426" s="45">
        <f t="shared" si="80"/>
        <v>1.0058687477644972</v>
      </c>
      <c r="AC426" s="45">
        <f t="shared" si="81"/>
        <v>0.85332410729189645</v>
      </c>
      <c r="AD426" s="45">
        <f t="shared" si="82"/>
        <v>0.79859181853380778</v>
      </c>
      <c r="AE426" s="45">
        <f t="shared" si="83"/>
        <v>0.88284418837176148</v>
      </c>
      <c r="AF426" s="45">
        <f t="shared" si="84"/>
        <v>0.78992232470139023</v>
      </c>
      <c r="AG426" s="45">
        <f t="shared" si="85"/>
        <v>1.1359491946091438</v>
      </c>
      <c r="AH426" s="45">
        <f t="shared" si="86"/>
        <v>1.1248913555902733</v>
      </c>
      <c r="AI426" s="45">
        <f t="shared" si="87"/>
        <v>1.1808043083979982</v>
      </c>
      <c r="AJ426" s="45">
        <f t="shared" si="88"/>
        <v>0.91387710500150332</v>
      </c>
      <c r="AK426" s="45">
        <f t="shared" si="89"/>
        <v>1.0813449080583977</v>
      </c>
      <c r="AL426" s="45">
        <f t="shared" si="90"/>
        <v>1.0726955109936953</v>
      </c>
      <c r="AM426" s="45">
        <f t="shared" si="91"/>
        <v>1.0324917588381994</v>
      </c>
      <c r="AN426" s="45">
        <f t="shared" si="92"/>
        <v>0.81323036799018411</v>
      </c>
      <c r="AS426" s="50" cm="1">
        <f t="array" ref="AS426">SUMPRODUCT(($V426:$AN426&lt;=$I141)*(1))/COUNT($V426:$AN426)</f>
        <v>0.31578947368421051</v>
      </c>
      <c r="AT426" s="50" cm="1">
        <f t="array" ref="AT426">SUMPRODUCT(($V426:$AN426&lt;=$J141)*(1))/COUNT($V426:$AN426)</f>
        <v>0.15789473684210525</v>
      </c>
      <c r="AU426" s="50" cm="1">
        <f t="array" ref="AU426">SUMPRODUCT(($V426:$AN426&lt;=$K141)*(1))/COUNT($V426:$AN426)</f>
        <v>0</v>
      </c>
      <c r="AW426" s="52" cm="1">
        <f t="array" ref="AW426">SUMPRODUCT(($V426:$AN426&lt;=$I141)*(1))</f>
        <v>6</v>
      </c>
      <c r="AX426" s="52" cm="1">
        <f t="array" ref="AX426">SUMPRODUCT(($V426:$AN426&lt;=$J141)*(1))</f>
        <v>3</v>
      </c>
      <c r="AY426" s="52" cm="1">
        <f t="array" ref="AY426">SUMPRODUCT(($V426:$AN426&lt;=$K141)*(1))</f>
        <v>0</v>
      </c>
      <c r="BA426" s="52">
        <f t="shared" si="71"/>
        <v>3</v>
      </c>
      <c r="BB426" s="52">
        <f t="shared" si="72"/>
        <v>3</v>
      </c>
      <c r="BC426" s="52">
        <f t="shared" si="73"/>
        <v>0</v>
      </c>
      <c r="BE426" s="50">
        <f t="shared" si="93"/>
        <v>0.15789473684210525</v>
      </c>
      <c r="BF426" s="50">
        <f t="shared" si="94"/>
        <v>0.15789473684210525</v>
      </c>
      <c r="BG426" s="50">
        <f t="shared" si="95"/>
        <v>0</v>
      </c>
    </row>
    <row r="427" spans="4:59" ht="15.6">
      <c r="D427" s="44"/>
      <c r="M427" s="42"/>
      <c r="N427" s="39" t="s">
        <v>27</v>
      </c>
      <c r="O427" s="39" t="s">
        <v>561</v>
      </c>
      <c r="P427" t="s">
        <v>745</v>
      </c>
      <c r="R427" s="41"/>
      <c r="S427" s="42"/>
      <c r="T427" s="42"/>
      <c r="U427" s="42"/>
      <c r="V427" s="45">
        <f t="shared" si="74"/>
        <v>1</v>
      </c>
      <c r="W427" s="45">
        <f t="shared" si="75"/>
        <v>1</v>
      </c>
      <c r="X427" s="45">
        <f t="shared" si="76"/>
        <v>1</v>
      </c>
      <c r="Y427" s="45">
        <f t="shared" si="77"/>
        <v>1</v>
      </c>
      <c r="Z427" s="45">
        <f t="shared" si="78"/>
        <v>1</v>
      </c>
      <c r="AA427" s="45">
        <f t="shared" si="79"/>
        <v>1</v>
      </c>
      <c r="AB427" s="45">
        <f t="shared" si="80"/>
        <v>1</v>
      </c>
      <c r="AC427" s="45">
        <f t="shared" si="81"/>
        <v>1</v>
      </c>
      <c r="AD427" s="45">
        <f t="shared" si="82"/>
        <v>1</v>
      </c>
      <c r="AE427" s="45">
        <f t="shared" si="83"/>
        <v>1</v>
      </c>
      <c r="AF427" s="45">
        <f t="shared" si="84"/>
        <v>1</v>
      </c>
      <c r="AG427" s="45">
        <f t="shared" si="85"/>
        <v>1</v>
      </c>
      <c r="AH427" s="45">
        <f t="shared" si="86"/>
        <v>1</v>
      </c>
      <c r="AI427" s="45">
        <f t="shared" si="87"/>
        <v>1</v>
      </c>
      <c r="AJ427" s="45">
        <f t="shared" si="88"/>
        <v>1</v>
      </c>
      <c r="AK427" s="45">
        <f t="shared" si="89"/>
        <v>1</v>
      </c>
      <c r="AL427" s="45">
        <f t="shared" si="90"/>
        <v>1</v>
      </c>
      <c r="AM427" s="45">
        <f t="shared" si="91"/>
        <v>1</v>
      </c>
      <c r="AN427" s="45">
        <f t="shared" si="92"/>
        <v>1</v>
      </c>
      <c r="AS427" s="50" cm="1">
        <f t="array" ref="AS427">SUMPRODUCT(($V427:$AN427&lt;=$I142)*(1))/COUNT($V427:$AN427)</f>
        <v>0</v>
      </c>
      <c r="AT427" s="50" cm="1">
        <f t="array" ref="AT427">SUMPRODUCT(($V427:$AN427&lt;=$J142)*(1))/COUNT($V427:$AN427)</f>
        <v>0</v>
      </c>
      <c r="AU427" s="50" cm="1">
        <f t="array" ref="AU427">SUMPRODUCT(($V427:$AN427&lt;=$K142)*(1))/COUNT($V427:$AN427)</f>
        <v>0</v>
      </c>
      <c r="AW427" s="52" cm="1">
        <f t="array" ref="AW427">SUMPRODUCT(($V427:$AN427&lt;=$I142)*(1))</f>
        <v>0</v>
      </c>
      <c r="AX427" s="52" cm="1">
        <f t="array" ref="AX427">SUMPRODUCT(($V427:$AN427&lt;=$J142)*(1))</f>
        <v>0</v>
      </c>
      <c r="AY427" s="52" cm="1">
        <f t="array" ref="AY427">SUMPRODUCT(($V427:$AN427&lt;=$K142)*(1))</f>
        <v>0</v>
      </c>
      <c r="BA427" s="52">
        <f t="shared" si="71"/>
        <v>0</v>
      </c>
      <c r="BB427" s="52">
        <f t="shared" si="72"/>
        <v>0</v>
      </c>
      <c r="BC427" s="52">
        <f t="shared" si="73"/>
        <v>0</v>
      </c>
      <c r="BE427" s="50">
        <f t="shared" si="93"/>
        <v>0</v>
      </c>
      <c r="BF427" s="50">
        <f t="shared" si="94"/>
        <v>0</v>
      </c>
      <c r="BG427" s="50">
        <f t="shared" si="95"/>
        <v>0</v>
      </c>
    </row>
    <row r="428" spans="4:59" ht="15.6">
      <c r="D428" s="44"/>
      <c r="M428" s="42"/>
      <c r="N428" s="39" t="s">
        <v>27</v>
      </c>
      <c r="O428" s="39" t="s">
        <v>445</v>
      </c>
      <c r="P428" t="s">
        <v>746</v>
      </c>
      <c r="R428" s="41"/>
      <c r="S428" s="42"/>
      <c r="T428" s="42"/>
      <c r="U428" s="42"/>
      <c r="V428" s="45">
        <f t="shared" si="74"/>
        <v>1.0006632199031669</v>
      </c>
      <c r="W428" s="45">
        <f t="shared" si="75"/>
        <v>0.96844332004911493</v>
      </c>
      <c r="X428" s="45">
        <f t="shared" si="76"/>
        <v>1.0006632199031669</v>
      </c>
      <c r="Y428" s="45">
        <f t="shared" si="77"/>
        <v>1.0006632199031669</v>
      </c>
      <c r="Z428" s="45">
        <f t="shared" si="78"/>
        <v>1</v>
      </c>
      <c r="AA428" s="45">
        <f t="shared" si="79"/>
        <v>0.99624490519463194</v>
      </c>
      <c r="AB428" s="45">
        <f t="shared" si="80"/>
        <v>1</v>
      </c>
      <c r="AC428" s="45">
        <f t="shared" si="81"/>
        <v>0.99668362318032711</v>
      </c>
      <c r="AD428" s="45">
        <f t="shared" si="82"/>
        <v>0.93146369388809303</v>
      </c>
      <c r="AE428" s="45">
        <f t="shared" si="83"/>
        <v>0.96400501359129165</v>
      </c>
      <c r="AF428" s="45">
        <f t="shared" si="84"/>
        <v>0.91867461548673068</v>
      </c>
      <c r="AG428" s="45">
        <f t="shared" si="85"/>
        <v>1.0374926044965087</v>
      </c>
      <c r="AH428" s="45">
        <f t="shared" si="86"/>
        <v>1.0407906573360617</v>
      </c>
      <c r="AI428" s="45">
        <f t="shared" si="87"/>
        <v>0.99100591720653453</v>
      </c>
      <c r="AJ428" s="45">
        <f t="shared" si="88"/>
        <v>1.0104206219639802</v>
      </c>
      <c r="AK428" s="45">
        <f t="shared" si="89"/>
        <v>1.0300568245658432</v>
      </c>
      <c r="AL428" s="45">
        <f t="shared" si="90"/>
        <v>1.0031788687700127</v>
      </c>
      <c r="AM428" s="45">
        <f t="shared" si="91"/>
        <v>1</v>
      </c>
      <c r="AN428" s="45">
        <f t="shared" si="92"/>
        <v>0.99403238193908905</v>
      </c>
      <c r="AS428" s="50" cm="1">
        <f t="array" ref="AS428">SUMPRODUCT(($V428:$AN428&lt;=$I143)*(1))/COUNT($V428:$AN428)</f>
        <v>0.10526315789473684</v>
      </c>
      <c r="AT428" s="50" cm="1">
        <f t="array" ref="AT428">SUMPRODUCT(($V428:$AN428&lt;=$J143)*(1))/COUNT($V428:$AN428)</f>
        <v>0</v>
      </c>
      <c r="AU428" s="50" cm="1">
        <f t="array" ref="AU428">SUMPRODUCT(($V428:$AN428&lt;=$K143)*(1))/COUNT($V428:$AN428)</f>
        <v>0</v>
      </c>
      <c r="AW428" s="52" cm="1">
        <f t="array" ref="AW428">SUMPRODUCT(($V428:$AN428&lt;=$I143)*(1))</f>
        <v>2</v>
      </c>
      <c r="AX428" s="52" cm="1">
        <f t="array" ref="AX428">SUMPRODUCT(($V428:$AN428&lt;=$J143)*(1))</f>
        <v>0</v>
      </c>
      <c r="AY428" s="52" cm="1">
        <f t="array" ref="AY428">SUMPRODUCT(($V428:$AN428&lt;=$K143)*(1))</f>
        <v>0</v>
      </c>
      <c r="BA428" s="52">
        <f t="shared" si="71"/>
        <v>2</v>
      </c>
      <c r="BB428" s="52">
        <f t="shared" si="72"/>
        <v>0</v>
      </c>
      <c r="BC428" s="52">
        <f t="shared" si="73"/>
        <v>0</v>
      </c>
      <c r="BE428" s="50">
        <f t="shared" si="93"/>
        <v>0.10526315789473684</v>
      </c>
      <c r="BF428" s="50">
        <f t="shared" si="94"/>
        <v>0</v>
      </c>
      <c r="BG428" s="50">
        <f t="shared" si="95"/>
        <v>0</v>
      </c>
    </row>
    <row r="429" spans="4:59" ht="15.6">
      <c r="D429" s="44"/>
      <c r="M429" s="42"/>
      <c r="N429" s="39" t="s">
        <v>27</v>
      </c>
      <c r="O429" s="39" t="s">
        <v>561</v>
      </c>
      <c r="P429" t="s">
        <v>747</v>
      </c>
      <c r="R429" s="41"/>
      <c r="S429" s="42"/>
      <c r="T429" s="42"/>
      <c r="U429" s="42"/>
      <c r="V429" s="45">
        <f t="shared" si="74"/>
        <v>1</v>
      </c>
      <c r="W429" s="45">
        <f t="shared" si="75"/>
        <v>1</v>
      </c>
      <c r="X429" s="45">
        <f t="shared" si="76"/>
        <v>1</v>
      </c>
      <c r="Y429" s="45">
        <f t="shared" si="77"/>
        <v>1</v>
      </c>
      <c r="Z429" s="45">
        <f t="shared" si="78"/>
        <v>1</v>
      </c>
      <c r="AA429" s="45">
        <f t="shared" si="79"/>
        <v>1</v>
      </c>
      <c r="AB429" s="45">
        <f t="shared" si="80"/>
        <v>1</v>
      </c>
      <c r="AC429" s="45">
        <f t="shared" si="81"/>
        <v>1</v>
      </c>
      <c r="AD429" s="45">
        <f t="shared" si="82"/>
        <v>0.9950029981003139</v>
      </c>
      <c r="AE429" s="45">
        <f t="shared" si="83"/>
        <v>1</v>
      </c>
      <c r="AF429" s="45">
        <f t="shared" si="84"/>
        <v>1</v>
      </c>
      <c r="AG429" s="45">
        <f t="shared" si="85"/>
        <v>1</v>
      </c>
      <c r="AH429" s="45">
        <f t="shared" si="86"/>
        <v>1</v>
      </c>
      <c r="AI429" s="45">
        <f t="shared" si="87"/>
        <v>1</v>
      </c>
      <c r="AJ429" s="45">
        <f t="shared" si="88"/>
        <v>1</v>
      </c>
      <c r="AK429" s="45">
        <f t="shared" si="89"/>
        <v>1</v>
      </c>
      <c r="AL429" s="45">
        <f t="shared" si="90"/>
        <v>1</v>
      </c>
      <c r="AM429" s="45">
        <f t="shared" si="91"/>
        <v>1</v>
      </c>
      <c r="AN429" s="45">
        <f t="shared" si="92"/>
        <v>1</v>
      </c>
      <c r="AS429" s="50" cm="1">
        <f t="array" ref="AS429">SUMPRODUCT(($V429:$AN429&lt;=$I144)*(1))/COUNT($V429:$AN429)</f>
        <v>0</v>
      </c>
      <c r="AT429" s="50" cm="1">
        <f t="array" ref="AT429">SUMPRODUCT(($V429:$AN429&lt;=$J144)*(1))/COUNT($V429:$AN429)</f>
        <v>0</v>
      </c>
      <c r="AU429" s="50" cm="1">
        <f t="array" ref="AU429">SUMPRODUCT(($V429:$AN429&lt;=$K144)*(1))/COUNT($V429:$AN429)</f>
        <v>0</v>
      </c>
      <c r="AW429" s="52" cm="1">
        <f t="array" ref="AW429">SUMPRODUCT(($V429:$AN429&lt;=$I144)*(1))</f>
        <v>0</v>
      </c>
      <c r="AX429" s="52" cm="1">
        <f t="array" ref="AX429">SUMPRODUCT(($V429:$AN429&lt;=$J144)*(1))</f>
        <v>0</v>
      </c>
      <c r="AY429" s="52" cm="1">
        <f t="array" ref="AY429">SUMPRODUCT(($V429:$AN429&lt;=$K144)*(1))</f>
        <v>0</v>
      </c>
      <c r="BA429" s="52">
        <f t="shared" si="71"/>
        <v>0</v>
      </c>
      <c r="BB429" s="52">
        <f t="shared" si="72"/>
        <v>0</v>
      </c>
      <c r="BC429" s="52">
        <f t="shared" si="73"/>
        <v>0</v>
      </c>
      <c r="BE429" s="50">
        <f t="shared" si="93"/>
        <v>0</v>
      </c>
      <c r="BF429" s="50">
        <f t="shared" si="94"/>
        <v>0</v>
      </c>
      <c r="BG429" s="50">
        <f t="shared" si="95"/>
        <v>0</v>
      </c>
    </row>
    <row r="430" spans="4:59" ht="15.6">
      <c r="D430" s="44"/>
      <c r="M430" s="42"/>
      <c r="N430" s="39" t="s">
        <v>26</v>
      </c>
      <c r="O430" s="39" t="s">
        <v>508</v>
      </c>
      <c r="P430" t="s">
        <v>652</v>
      </c>
      <c r="R430" s="41"/>
      <c r="S430" s="42"/>
      <c r="T430" s="42"/>
      <c r="U430" s="42"/>
      <c r="V430" s="45">
        <f t="shared" si="74"/>
        <v>1.119368208615211</v>
      </c>
      <c r="W430" s="45">
        <f t="shared" si="75"/>
        <v>0.98965397803672028</v>
      </c>
      <c r="X430" s="45">
        <f t="shared" si="76"/>
        <v>1.0871354113587068</v>
      </c>
      <c r="Y430" s="45">
        <f t="shared" si="77"/>
        <v>0.90307597297797959</v>
      </c>
      <c r="Z430" s="45">
        <f t="shared" si="78"/>
        <v>1.0303707849040642</v>
      </c>
      <c r="AA430" s="45">
        <f t="shared" si="79"/>
        <v>0.9648647262577198</v>
      </c>
      <c r="AB430" s="45">
        <f t="shared" si="80"/>
        <v>0.97545463304369451</v>
      </c>
      <c r="AC430" s="45">
        <f t="shared" si="81"/>
        <v>0.82044288447365943</v>
      </c>
      <c r="AD430" s="45">
        <f t="shared" si="82"/>
        <v>0.79071959314351015</v>
      </c>
      <c r="AE430" s="45">
        <f t="shared" si="83"/>
        <v>0.79371936182150882</v>
      </c>
      <c r="AF430" s="45">
        <f t="shared" si="84"/>
        <v>0.94082876134654636</v>
      </c>
      <c r="AG430" s="45">
        <f t="shared" si="85"/>
        <v>1.2894419274367341</v>
      </c>
      <c r="AH430" s="45">
        <f t="shared" si="86"/>
        <v>1.3490834590223328</v>
      </c>
      <c r="AI430" s="45">
        <f t="shared" si="87"/>
        <v>1.1557189658796327</v>
      </c>
      <c r="AJ430" s="45">
        <f t="shared" si="88"/>
        <v>0.88072147364769515</v>
      </c>
      <c r="AK430" s="45">
        <f t="shared" si="89"/>
        <v>1.2155739164493937</v>
      </c>
      <c r="AL430" s="45">
        <f t="shared" si="90"/>
        <v>1.0895115163983042</v>
      </c>
      <c r="AM430" s="45">
        <f t="shared" si="91"/>
        <v>1.0005155076755985</v>
      </c>
      <c r="AN430" s="45">
        <f t="shared" si="92"/>
        <v>0.88073431275113823</v>
      </c>
      <c r="AS430" s="50" cm="1">
        <f t="array" ref="AS430">SUMPRODUCT(($V430:$AN430&lt;=$I145)*(1))/COUNT($V430:$AN430)</f>
        <v>0.36842105263157893</v>
      </c>
      <c r="AT430" s="50" cm="1">
        <f t="array" ref="AT430">SUMPRODUCT(($V430:$AN430&lt;=$J145)*(1))/COUNT($V430:$AN430)</f>
        <v>0.15789473684210525</v>
      </c>
      <c r="AU430" s="50" cm="1">
        <f t="array" ref="AU430">SUMPRODUCT(($V430:$AN430&lt;=$K145)*(1))/COUNT($V430:$AN430)</f>
        <v>0</v>
      </c>
      <c r="AW430" s="52" cm="1">
        <f t="array" ref="AW430">SUMPRODUCT(($V430:$AN430&lt;=$I145)*(1))</f>
        <v>7</v>
      </c>
      <c r="AX430" s="52" cm="1">
        <f t="array" ref="AX430">SUMPRODUCT(($V430:$AN430&lt;=$J145)*(1))</f>
        <v>3</v>
      </c>
      <c r="AY430" s="52" cm="1">
        <f t="array" ref="AY430">SUMPRODUCT(($V430:$AN430&lt;=$K145)*(1))</f>
        <v>0</v>
      </c>
      <c r="BA430" s="52">
        <f t="shared" si="71"/>
        <v>4</v>
      </c>
      <c r="BB430" s="52">
        <f t="shared" si="72"/>
        <v>3</v>
      </c>
      <c r="BC430" s="52">
        <f t="shared" si="73"/>
        <v>0</v>
      </c>
      <c r="BE430" s="50">
        <f t="shared" si="93"/>
        <v>0.21052631578947367</v>
      </c>
      <c r="BF430" s="50">
        <f t="shared" si="94"/>
        <v>0.15789473684210525</v>
      </c>
      <c r="BG430" s="50">
        <f t="shared" si="95"/>
        <v>0</v>
      </c>
    </row>
    <row r="431" spans="4:59" ht="15.6">
      <c r="D431" s="44"/>
      <c r="M431" s="42"/>
      <c r="N431" s="39" t="s">
        <v>27</v>
      </c>
      <c r="O431" s="39" t="s">
        <v>555</v>
      </c>
      <c r="P431" t="s">
        <v>748</v>
      </c>
      <c r="R431" s="41"/>
      <c r="S431" s="42"/>
      <c r="T431" s="42"/>
      <c r="U431" s="42"/>
      <c r="V431" s="45">
        <f t="shared" si="74"/>
        <v>1.0685740870644693</v>
      </c>
      <c r="W431" s="45">
        <f t="shared" si="75"/>
        <v>0.90717412038561529</v>
      </c>
      <c r="X431" s="45">
        <f t="shared" si="76"/>
        <v>1.2820537852395246</v>
      </c>
      <c r="Y431" s="45">
        <f t="shared" si="77"/>
        <v>1.0452480545156244</v>
      </c>
      <c r="Z431" s="45">
        <f t="shared" si="78"/>
        <v>0.88419255332367164</v>
      </c>
      <c r="AA431" s="45">
        <f t="shared" si="79"/>
        <v>1.0435349785655439</v>
      </c>
      <c r="AB431" s="45">
        <f t="shared" si="80"/>
        <v>1.0965080250538182</v>
      </c>
      <c r="AC431" s="45">
        <f t="shared" si="81"/>
        <v>1.0623406400733042</v>
      </c>
      <c r="AD431" s="45">
        <f t="shared" si="82"/>
        <v>0.88397846105092559</v>
      </c>
      <c r="AE431" s="45">
        <f t="shared" si="83"/>
        <v>0.82715826176458473</v>
      </c>
      <c r="AF431" s="45">
        <f t="shared" si="84"/>
        <v>0.89704831935649465</v>
      </c>
      <c r="AG431" s="45">
        <f t="shared" si="85"/>
        <v>0.99886540418532421</v>
      </c>
      <c r="AH431" s="45">
        <f t="shared" si="86"/>
        <v>1.0952651626497276</v>
      </c>
      <c r="AI431" s="45">
        <f t="shared" si="87"/>
        <v>1.0055041727472975</v>
      </c>
      <c r="AJ431" s="45">
        <f t="shared" si="88"/>
        <v>1.0591910871462369</v>
      </c>
      <c r="AK431" s="45">
        <f t="shared" si="89"/>
        <v>1.08609755416214</v>
      </c>
      <c r="AL431" s="45">
        <f t="shared" si="90"/>
        <v>1.1633636485797387</v>
      </c>
      <c r="AM431" s="45">
        <f t="shared" si="91"/>
        <v>1.1302524792614062</v>
      </c>
      <c r="AN431" s="45">
        <f t="shared" si="92"/>
        <v>0.97550595524163319</v>
      </c>
      <c r="AS431" s="50" cm="1">
        <f t="array" ref="AS431">SUMPRODUCT(($V431:$AN431&lt;=$I146)*(1))/COUNT($V431:$AN431)</f>
        <v>0.26315789473684209</v>
      </c>
      <c r="AT431" s="50" cm="1">
        <f t="array" ref="AT431">SUMPRODUCT(($V431:$AN431&lt;=$J146)*(1))/COUNT($V431:$AN431)</f>
        <v>5.2631578947368418E-2</v>
      </c>
      <c r="AU431" s="50" cm="1">
        <f t="array" ref="AU431">SUMPRODUCT(($V431:$AN431&lt;=$K146)*(1))/COUNT($V431:$AN431)</f>
        <v>0</v>
      </c>
      <c r="AW431" s="52" cm="1">
        <f t="array" ref="AW431">SUMPRODUCT(($V431:$AN431&lt;=$I146)*(1))</f>
        <v>5</v>
      </c>
      <c r="AX431" s="52" cm="1">
        <f t="array" ref="AX431">SUMPRODUCT(($V431:$AN431&lt;=$J146)*(1))</f>
        <v>1</v>
      </c>
      <c r="AY431" s="52" cm="1">
        <f t="array" ref="AY431">SUMPRODUCT(($V431:$AN431&lt;=$K146)*(1))</f>
        <v>0</v>
      </c>
      <c r="BA431" s="52">
        <f t="shared" si="71"/>
        <v>4</v>
      </c>
      <c r="BB431" s="52">
        <f t="shared" si="72"/>
        <v>1</v>
      </c>
      <c r="BC431" s="52">
        <f t="shared" si="73"/>
        <v>0</v>
      </c>
      <c r="BE431" s="50">
        <f t="shared" si="93"/>
        <v>0.21052631578947367</v>
      </c>
      <c r="BF431" s="50">
        <f t="shared" si="94"/>
        <v>5.2631578947368418E-2</v>
      </c>
      <c r="BG431" s="50">
        <f t="shared" si="95"/>
        <v>0</v>
      </c>
    </row>
    <row r="432" spans="4:59" ht="15.6">
      <c r="D432" s="44"/>
      <c r="M432" s="42"/>
      <c r="N432" s="39" t="s">
        <v>27</v>
      </c>
      <c r="O432" s="39" t="s">
        <v>464</v>
      </c>
      <c r="P432" t="s">
        <v>749</v>
      </c>
      <c r="R432" s="41"/>
      <c r="S432" s="42"/>
      <c r="T432" s="42"/>
      <c r="U432" s="42"/>
      <c r="V432" s="45">
        <f t="shared" si="74"/>
        <v>1</v>
      </c>
      <c r="W432" s="45">
        <f t="shared" si="75"/>
        <v>1</v>
      </c>
      <c r="X432" s="45">
        <f t="shared" si="76"/>
        <v>1</v>
      </c>
      <c r="Y432" s="45">
        <f t="shared" si="77"/>
        <v>1</v>
      </c>
      <c r="Z432" s="45">
        <f t="shared" si="78"/>
        <v>1</v>
      </c>
      <c r="AA432" s="45">
        <f t="shared" si="79"/>
        <v>1</v>
      </c>
      <c r="AB432" s="45">
        <f t="shared" si="80"/>
        <v>1</v>
      </c>
      <c r="AC432" s="45">
        <f t="shared" si="81"/>
        <v>1</v>
      </c>
      <c r="AD432" s="45">
        <f t="shared" si="82"/>
        <v>0.93939690585042401</v>
      </c>
      <c r="AE432" s="45">
        <f t="shared" si="83"/>
        <v>0.9569152032700271</v>
      </c>
      <c r="AF432" s="45">
        <f t="shared" si="84"/>
        <v>0.99004262019711409</v>
      </c>
      <c r="AG432" s="45">
        <f t="shared" si="85"/>
        <v>1.0100575264132603</v>
      </c>
      <c r="AH432" s="45">
        <f t="shared" si="86"/>
        <v>1.0100575264132603</v>
      </c>
      <c r="AI432" s="45">
        <f t="shared" si="87"/>
        <v>1.0100575264132603</v>
      </c>
      <c r="AJ432" s="45">
        <f t="shared" si="88"/>
        <v>0.939492172514929</v>
      </c>
      <c r="AK432" s="45">
        <f t="shared" si="89"/>
        <v>1</v>
      </c>
      <c r="AL432" s="45">
        <f t="shared" si="90"/>
        <v>1</v>
      </c>
      <c r="AM432" s="45">
        <f t="shared" si="91"/>
        <v>1</v>
      </c>
      <c r="AN432" s="45">
        <f t="shared" si="92"/>
        <v>1</v>
      </c>
      <c r="AS432" s="50" cm="1">
        <f t="array" ref="AS432">SUMPRODUCT(($V432:$AN432&lt;=$I147)*(1))/COUNT($V432:$AN432)</f>
        <v>0.10526315789473684</v>
      </c>
      <c r="AT432" s="50" cm="1">
        <f t="array" ref="AT432">SUMPRODUCT(($V432:$AN432&lt;=$J147)*(1))/COUNT($V432:$AN432)</f>
        <v>0</v>
      </c>
      <c r="AU432" s="50" cm="1">
        <f t="array" ref="AU432">SUMPRODUCT(($V432:$AN432&lt;=$K147)*(1))/COUNT($V432:$AN432)</f>
        <v>0</v>
      </c>
      <c r="AW432" s="52" cm="1">
        <f t="array" ref="AW432">SUMPRODUCT(($V432:$AN432&lt;=$I147)*(1))</f>
        <v>2</v>
      </c>
      <c r="AX432" s="52" cm="1">
        <f t="array" ref="AX432">SUMPRODUCT(($V432:$AN432&lt;=$J147)*(1))</f>
        <v>0</v>
      </c>
      <c r="AY432" s="52" cm="1">
        <f t="array" ref="AY432">SUMPRODUCT(($V432:$AN432&lt;=$K147)*(1))</f>
        <v>0</v>
      </c>
      <c r="BA432" s="52">
        <f t="shared" si="71"/>
        <v>2</v>
      </c>
      <c r="BB432" s="52">
        <f t="shared" si="72"/>
        <v>0</v>
      </c>
      <c r="BC432" s="52">
        <f t="shared" si="73"/>
        <v>0</v>
      </c>
      <c r="BE432" s="50">
        <f t="shared" si="93"/>
        <v>0.10526315789473684</v>
      </c>
      <c r="BF432" s="50">
        <f t="shared" si="94"/>
        <v>0</v>
      </c>
      <c r="BG432" s="50">
        <f t="shared" si="95"/>
        <v>0</v>
      </c>
    </row>
    <row r="433" spans="4:59" ht="15.6">
      <c r="D433" s="44"/>
      <c r="M433" s="42"/>
      <c r="N433" s="39" t="s">
        <v>27</v>
      </c>
      <c r="O433" s="39" t="s">
        <v>172</v>
      </c>
      <c r="P433" t="s">
        <v>750</v>
      </c>
      <c r="R433" s="41"/>
      <c r="S433" s="42"/>
      <c r="T433" s="42"/>
      <c r="U433" s="42"/>
      <c r="V433" s="45">
        <f t="shared" si="74"/>
        <v>1</v>
      </c>
      <c r="W433" s="45">
        <f t="shared" si="75"/>
        <v>1</v>
      </c>
      <c r="X433" s="45">
        <f t="shared" si="76"/>
        <v>1</v>
      </c>
      <c r="Y433" s="45">
        <f t="shared" si="77"/>
        <v>1</v>
      </c>
      <c r="Z433" s="45">
        <f t="shared" si="78"/>
        <v>1</v>
      </c>
      <c r="AA433" s="45">
        <f t="shared" si="79"/>
        <v>1</v>
      </c>
      <c r="AB433" s="45">
        <f t="shared" si="80"/>
        <v>1</v>
      </c>
      <c r="AC433" s="45">
        <f t="shared" si="81"/>
        <v>1</v>
      </c>
      <c r="AD433" s="45">
        <f t="shared" si="82"/>
        <v>1</v>
      </c>
      <c r="AE433" s="45">
        <f t="shared" si="83"/>
        <v>1</v>
      </c>
      <c r="AF433" s="45">
        <f t="shared" si="84"/>
        <v>1</v>
      </c>
      <c r="AG433" s="45">
        <f t="shared" si="85"/>
        <v>1</v>
      </c>
      <c r="AH433" s="45">
        <f t="shared" si="86"/>
        <v>1</v>
      </c>
      <c r="AI433" s="45">
        <f t="shared" si="87"/>
        <v>1</v>
      </c>
      <c r="AJ433" s="45">
        <f t="shared" si="88"/>
        <v>1</v>
      </c>
      <c r="AK433" s="45">
        <f t="shared" si="89"/>
        <v>1</v>
      </c>
      <c r="AL433" s="45">
        <f t="shared" si="90"/>
        <v>1</v>
      </c>
      <c r="AM433" s="45">
        <f t="shared" si="91"/>
        <v>1</v>
      </c>
      <c r="AN433" s="45">
        <f t="shared" si="92"/>
        <v>1</v>
      </c>
      <c r="AS433" s="50" cm="1">
        <f t="array" ref="AS433">SUMPRODUCT(($V433:$AN433&lt;=$I148)*(1))/COUNT($V433:$AN433)</f>
        <v>0</v>
      </c>
      <c r="AT433" s="50" cm="1">
        <f t="array" ref="AT433">SUMPRODUCT(($V433:$AN433&lt;=$J148)*(1))/COUNT($V433:$AN433)</f>
        <v>0</v>
      </c>
      <c r="AU433" s="50" cm="1">
        <f t="array" ref="AU433">SUMPRODUCT(($V433:$AN433&lt;=$K148)*(1))/COUNT($V433:$AN433)</f>
        <v>0</v>
      </c>
      <c r="AW433" s="52" cm="1">
        <f t="array" ref="AW433">SUMPRODUCT(($V433:$AN433&lt;=$I148)*(1))</f>
        <v>0</v>
      </c>
      <c r="AX433" s="52" cm="1">
        <f t="array" ref="AX433">SUMPRODUCT(($V433:$AN433&lt;=$J148)*(1))</f>
        <v>0</v>
      </c>
      <c r="AY433" s="52" cm="1">
        <f t="array" ref="AY433">SUMPRODUCT(($V433:$AN433&lt;=$K148)*(1))</f>
        <v>0</v>
      </c>
      <c r="BA433" s="52">
        <f t="shared" si="71"/>
        <v>0</v>
      </c>
      <c r="BB433" s="52">
        <f t="shared" si="72"/>
        <v>0</v>
      </c>
      <c r="BC433" s="52">
        <f t="shared" si="73"/>
        <v>0</v>
      </c>
      <c r="BE433" s="50">
        <f t="shared" si="93"/>
        <v>0</v>
      </c>
      <c r="BF433" s="50">
        <f t="shared" si="94"/>
        <v>0</v>
      </c>
      <c r="BG433" s="50">
        <f t="shared" si="95"/>
        <v>0</v>
      </c>
    </row>
    <row r="434" spans="4:59" ht="15.6">
      <c r="D434" s="44"/>
      <c r="M434" s="42"/>
      <c r="N434" s="39" t="s">
        <v>27</v>
      </c>
      <c r="O434" s="39" t="s">
        <v>605</v>
      </c>
      <c r="P434" t="s">
        <v>751</v>
      </c>
      <c r="R434" s="41"/>
      <c r="S434" s="42"/>
      <c r="T434" s="42"/>
      <c r="U434" s="42"/>
      <c r="V434" s="45">
        <f t="shared" si="74"/>
        <v>1.052337029073968</v>
      </c>
      <c r="W434" s="45">
        <f t="shared" si="75"/>
        <v>0.91250024284736586</v>
      </c>
      <c r="X434" s="45">
        <f t="shared" si="76"/>
        <v>1.0536203414397025</v>
      </c>
      <c r="Y434" s="45">
        <f t="shared" si="77"/>
        <v>1.0589386707139661</v>
      </c>
      <c r="Z434" s="45">
        <f t="shared" si="78"/>
        <v>0.89911645836980469</v>
      </c>
      <c r="AA434" s="45">
        <f t="shared" si="79"/>
        <v>1.005484850468918</v>
      </c>
      <c r="AB434" s="45">
        <f t="shared" si="80"/>
        <v>0.99233841770567222</v>
      </c>
      <c r="AC434" s="45">
        <f t="shared" si="81"/>
        <v>0.78454433396037149</v>
      </c>
      <c r="AD434" s="45">
        <f t="shared" si="82"/>
        <v>0.89722537869988372</v>
      </c>
      <c r="AE434" s="45">
        <f t="shared" si="83"/>
        <v>1.0709049018042012</v>
      </c>
      <c r="AF434" s="45">
        <f t="shared" si="84"/>
        <v>1.0116481375619233</v>
      </c>
      <c r="AG434" s="45">
        <f t="shared" si="85"/>
        <v>0.94602835145205066</v>
      </c>
      <c r="AH434" s="45">
        <f t="shared" si="86"/>
        <v>1.0649900952883702</v>
      </c>
      <c r="AI434" s="45">
        <f t="shared" si="87"/>
        <v>1.0250787547775957</v>
      </c>
      <c r="AJ434" s="45">
        <f t="shared" si="88"/>
        <v>0.98754462844508772</v>
      </c>
      <c r="AK434" s="45">
        <f t="shared" si="89"/>
        <v>1.0372880658376193</v>
      </c>
      <c r="AL434" s="45">
        <f t="shared" si="90"/>
        <v>1.0149932713132002</v>
      </c>
      <c r="AM434" s="45">
        <f t="shared" si="91"/>
        <v>1.0210708627636511</v>
      </c>
      <c r="AN434" s="45">
        <f t="shared" si="92"/>
        <v>0.8686312556585738</v>
      </c>
      <c r="AS434" s="50" cm="1">
        <f t="array" ref="AS434">SUMPRODUCT(($V434:$AN434&lt;=$I149)*(1))/COUNT($V434:$AN434)</f>
        <v>0.31578947368421051</v>
      </c>
      <c r="AT434" s="50" cm="1">
        <f t="array" ref="AT434">SUMPRODUCT(($V434:$AN434&lt;=$J149)*(1))/COUNT($V434:$AN434)</f>
        <v>5.2631578947368418E-2</v>
      </c>
      <c r="AU434" s="50" cm="1">
        <f t="array" ref="AU434">SUMPRODUCT(($V434:$AN434&lt;=$K149)*(1))/COUNT($V434:$AN434)</f>
        <v>0</v>
      </c>
      <c r="AW434" s="52" cm="1">
        <f t="array" ref="AW434">SUMPRODUCT(($V434:$AN434&lt;=$I149)*(1))</f>
        <v>6</v>
      </c>
      <c r="AX434" s="52" cm="1">
        <f t="array" ref="AX434">SUMPRODUCT(($V434:$AN434&lt;=$J149)*(1))</f>
        <v>1</v>
      </c>
      <c r="AY434" s="52" cm="1">
        <f t="array" ref="AY434">SUMPRODUCT(($V434:$AN434&lt;=$K149)*(1))</f>
        <v>0</v>
      </c>
      <c r="BA434" s="52">
        <f t="shared" si="71"/>
        <v>5</v>
      </c>
      <c r="BB434" s="52">
        <f t="shared" si="72"/>
        <v>1</v>
      </c>
      <c r="BC434" s="52">
        <f t="shared" si="73"/>
        <v>0</v>
      </c>
      <c r="BE434" s="50">
        <f t="shared" si="93"/>
        <v>0.26315789473684209</v>
      </c>
      <c r="BF434" s="50">
        <f t="shared" si="94"/>
        <v>5.2631578947368418E-2</v>
      </c>
      <c r="BG434" s="50">
        <f t="shared" si="95"/>
        <v>0</v>
      </c>
    </row>
    <row r="435" spans="4:59" ht="15.6">
      <c r="D435" s="44"/>
      <c r="M435" s="42"/>
      <c r="N435" s="39" t="s">
        <v>27</v>
      </c>
      <c r="O435" s="39" t="s">
        <v>605</v>
      </c>
      <c r="P435" s="91" t="s">
        <v>752</v>
      </c>
      <c r="R435" s="41"/>
      <c r="S435" s="42"/>
      <c r="T435" s="42"/>
      <c r="U435" s="42"/>
      <c r="V435" s="45">
        <f t="shared" si="74"/>
        <v>1.0301884170522537</v>
      </c>
      <c r="W435" s="45">
        <f t="shared" si="75"/>
        <v>0.94525356286683726</v>
      </c>
      <c r="X435" s="45">
        <f t="shared" si="76"/>
        <v>1.0362970033971897</v>
      </c>
      <c r="Y435" s="45">
        <f t="shared" si="77"/>
        <v>1.0316737737152437</v>
      </c>
      <c r="Z435" s="45">
        <f t="shared" si="78"/>
        <v>0.94783462606701907</v>
      </c>
      <c r="AA435" s="45">
        <f t="shared" si="79"/>
        <v>1.0058553504805641</v>
      </c>
      <c r="AB435" s="45">
        <f t="shared" si="80"/>
        <v>0.98654958288839678</v>
      </c>
      <c r="AC435" s="45">
        <f t="shared" si="81"/>
        <v>0.78507494124806476</v>
      </c>
      <c r="AD435" s="45">
        <f t="shared" si="82"/>
        <v>0.9339308149013319</v>
      </c>
      <c r="AE435" s="45">
        <f t="shared" si="83"/>
        <v>0.96600705931762121</v>
      </c>
      <c r="AF435" s="45">
        <f t="shared" si="84"/>
        <v>1.0788382176275071</v>
      </c>
      <c r="AG435" s="45">
        <f t="shared" si="85"/>
        <v>0.93540091386302882</v>
      </c>
      <c r="AH435" s="45">
        <f t="shared" si="86"/>
        <v>1.0570761625601648</v>
      </c>
      <c r="AI435" s="45">
        <f t="shared" si="87"/>
        <v>1.0846898710730555</v>
      </c>
      <c r="AJ435" s="45">
        <f t="shared" si="88"/>
        <v>1.0074922112047824</v>
      </c>
      <c r="AK435" s="45">
        <f t="shared" si="89"/>
        <v>1.0315975817878527</v>
      </c>
      <c r="AL435" s="45">
        <f t="shared" si="90"/>
        <v>1.0300175008954702</v>
      </c>
      <c r="AM435" s="45">
        <f t="shared" si="91"/>
        <v>1.0015340330538158</v>
      </c>
      <c r="AN435" s="45">
        <f t="shared" si="92"/>
        <v>0.90556978876434147</v>
      </c>
      <c r="AS435" s="50" cm="1">
        <f t="array" ref="AS435">SUMPRODUCT(($V435:$AN435&lt;=$I150)*(1))/COUNT($V435:$AN435)</f>
        <v>0.31578947368421051</v>
      </c>
      <c r="AT435" s="50" cm="1">
        <f t="array" ref="AT435">SUMPRODUCT(($V435:$AN435&lt;=$J150)*(1))/COUNT($V435:$AN435)</f>
        <v>5.2631578947368418E-2</v>
      </c>
      <c r="AU435" s="50" cm="1">
        <f t="array" ref="AU435">SUMPRODUCT(($V435:$AN435&lt;=$K150)*(1))/COUNT($V435:$AN435)</f>
        <v>0</v>
      </c>
      <c r="AW435" s="52" cm="1">
        <f t="array" ref="AW435">SUMPRODUCT(($V435:$AN435&lt;=$I150)*(1))</f>
        <v>6</v>
      </c>
      <c r="AX435" s="52" cm="1">
        <f t="array" ref="AX435">SUMPRODUCT(($V435:$AN435&lt;=$J150)*(1))</f>
        <v>1</v>
      </c>
      <c r="AY435" s="52" cm="1">
        <f t="array" ref="AY435">SUMPRODUCT(($V435:$AN435&lt;=$K150)*(1))</f>
        <v>0</v>
      </c>
      <c r="BA435" s="52">
        <f t="shared" ref="BA435:BA498" si="96">AW435-AX435</f>
        <v>5</v>
      </c>
      <c r="BB435" s="52">
        <f t="shared" ref="BB435:BB498" si="97">AX435-AY435</f>
        <v>1</v>
      </c>
      <c r="BC435" s="52">
        <f t="shared" ref="BC435:BC498" si="98">AY435</f>
        <v>0</v>
      </c>
      <c r="BE435" s="50">
        <f t="shared" si="93"/>
        <v>0.26315789473684209</v>
      </c>
      <c r="BF435" s="50">
        <f t="shared" si="94"/>
        <v>5.2631578947368418E-2</v>
      </c>
      <c r="BG435" s="50">
        <f t="shared" si="95"/>
        <v>0</v>
      </c>
    </row>
    <row r="436" spans="4:59" ht="15.6">
      <c r="D436" s="44"/>
      <c r="M436" s="42"/>
      <c r="N436" s="39" t="s">
        <v>27</v>
      </c>
      <c r="O436" s="39" t="s">
        <v>484</v>
      </c>
      <c r="P436" t="s">
        <v>753</v>
      </c>
      <c r="R436" s="41"/>
      <c r="S436" s="42"/>
      <c r="T436" s="42"/>
      <c r="U436" s="42"/>
      <c r="V436" s="45">
        <f t="shared" si="74"/>
        <v>1</v>
      </c>
      <c r="W436" s="45">
        <f t="shared" si="75"/>
        <v>1</v>
      </c>
      <c r="X436" s="45">
        <f t="shared" si="76"/>
        <v>1</v>
      </c>
      <c r="Y436" s="45">
        <f t="shared" si="77"/>
        <v>1</v>
      </c>
      <c r="Z436" s="45">
        <f t="shared" si="78"/>
        <v>1</v>
      </c>
      <c r="AA436" s="45">
        <f t="shared" si="79"/>
        <v>1</v>
      </c>
      <c r="AB436" s="45">
        <f t="shared" si="80"/>
        <v>1</v>
      </c>
      <c r="AC436" s="45">
        <f t="shared" si="81"/>
        <v>1</v>
      </c>
      <c r="AD436" s="45">
        <f t="shared" si="82"/>
        <v>0.982009910706651</v>
      </c>
      <c r="AE436" s="45">
        <f t="shared" si="83"/>
        <v>0.99577624629431194</v>
      </c>
      <c r="AF436" s="45">
        <f t="shared" si="84"/>
        <v>1</v>
      </c>
      <c r="AG436" s="45">
        <f t="shared" si="85"/>
        <v>1</v>
      </c>
      <c r="AH436" s="45">
        <f t="shared" si="86"/>
        <v>1</v>
      </c>
      <c r="AI436" s="45">
        <f t="shared" si="87"/>
        <v>1</v>
      </c>
      <c r="AJ436" s="45">
        <f t="shared" si="88"/>
        <v>1</v>
      </c>
      <c r="AK436" s="45">
        <f t="shared" si="89"/>
        <v>1</v>
      </c>
      <c r="AL436" s="45">
        <f t="shared" si="90"/>
        <v>1</v>
      </c>
      <c r="AM436" s="45">
        <f t="shared" si="91"/>
        <v>1</v>
      </c>
      <c r="AN436" s="45">
        <f t="shared" si="92"/>
        <v>1</v>
      </c>
      <c r="AS436" s="50" cm="1">
        <f t="array" ref="AS436">SUMPRODUCT(($V436:$AN436&lt;=$I151)*(1))/COUNT($V436:$AN436)</f>
        <v>0</v>
      </c>
      <c r="AT436" s="50" cm="1">
        <f t="array" ref="AT436">SUMPRODUCT(($V436:$AN436&lt;=$J151)*(1))/COUNT($V436:$AN436)</f>
        <v>0</v>
      </c>
      <c r="AU436" s="50" cm="1">
        <f t="array" ref="AU436">SUMPRODUCT(($V436:$AN436&lt;=$K151)*(1))/COUNT($V436:$AN436)</f>
        <v>0</v>
      </c>
      <c r="AW436" s="52" cm="1">
        <f t="array" ref="AW436">SUMPRODUCT(($V436:$AN436&lt;=$I151)*(1))</f>
        <v>0</v>
      </c>
      <c r="AX436" s="52" cm="1">
        <f t="array" ref="AX436">SUMPRODUCT(($V436:$AN436&lt;=$J151)*(1))</f>
        <v>0</v>
      </c>
      <c r="AY436" s="52" cm="1">
        <f t="array" ref="AY436">SUMPRODUCT(($V436:$AN436&lt;=$K151)*(1))</f>
        <v>0</v>
      </c>
      <c r="BA436" s="52">
        <f t="shared" si="96"/>
        <v>0</v>
      </c>
      <c r="BB436" s="52">
        <f t="shared" si="97"/>
        <v>0</v>
      </c>
      <c r="BC436" s="52">
        <f t="shared" si="98"/>
        <v>0</v>
      </c>
      <c r="BE436" s="50">
        <f t="shared" si="93"/>
        <v>0</v>
      </c>
      <c r="BF436" s="50">
        <f t="shared" si="94"/>
        <v>0</v>
      </c>
      <c r="BG436" s="50">
        <f t="shared" si="95"/>
        <v>0</v>
      </c>
    </row>
    <row r="437" spans="4:59" ht="15.6">
      <c r="D437" s="44"/>
      <c r="M437" s="42"/>
      <c r="N437" s="39" t="s">
        <v>27</v>
      </c>
      <c r="O437" s="39" t="s">
        <v>494</v>
      </c>
      <c r="P437" t="s">
        <v>754</v>
      </c>
      <c r="R437" s="41"/>
      <c r="S437" s="42"/>
      <c r="T437" s="42"/>
      <c r="U437" s="42"/>
      <c r="V437" s="45">
        <f t="shared" si="74"/>
        <v>1</v>
      </c>
      <c r="W437" s="45">
        <f t="shared" si="75"/>
        <v>1</v>
      </c>
      <c r="X437" s="45">
        <f t="shared" si="76"/>
        <v>1</v>
      </c>
      <c r="Y437" s="45">
        <f t="shared" si="77"/>
        <v>1</v>
      </c>
      <c r="Z437" s="45">
        <f t="shared" si="78"/>
        <v>1</v>
      </c>
      <c r="AA437" s="45">
        <f t="shared" si="79"/>
        <v>1</v>
      </c>
      <c r="AB437" s="45">
        <f t="shared" si="80"/>
        <v>1</v>
      </c>
      <c r="AC437" s="45">
        <f t="shared" si="81"/>
        <v>0.99978660599164304</v>
      </c>
      <c r="AD437" s="45">
        <f t="shared" si="82"/>
        <v>0.97515391818390695</v>
      </c>
      <c r="AE437" s="45">
        <f t="shared" si="83"/>
        <v>0.99893505743052802</v>
      </c>
      <c r="AF437" s="45">
        <f t="shared" si="84"/>
        <v>0.99245779233716591</v>
      </c>
      <c r="AG437" s="45">
        <f t="shared" si="85"/>
        <v>1.00106607788119</v>
      </c>
      <c r="AH437" s="45">
        <f t="shared" si="86"/>
        <v>1.00106607788119</v>
      </c>
      <c r="AI437" s="45">
        <f t="shared" si="87"/>
        <v>0.99535921778397651</v>
      </c>
      <c r="AJ437" s="45">
        <f t="shared" si="88"/>
        <v>1.0003798089505167</v>
      </c>
      <c r="AK437" s="45">
        <f t="shared" si="89"/>
        <v>1.0005855404042074</v>
      </c>
      <c r="AL437" s="45">
        <f t="shared" si="90"/>
        <v>1.0001004091807113</v>
      </c>
      <c r="AM437" s="45">
        <f t="shared" si="91"/>
        <v>1.0001004091807113</v>
      </c>
      <c r="AN437" s="45">
        <f t="shared" si="92"/>
        <v>1.0001004091807113</v>
      </c>
      <c r="AS437" s="50" cm="1">
        <f t="array" ref="AS437">SUMPRODUCT(($V437:$AN437&lt;=$I152)*(1))/COUNT($V437:$AN437)</f>
        <v>0</v>
      </c>
      <c r="AT437" s="50" cm="1">
        <f t="array" ref="AT437">SUMPRODUCT(($V437:$AN437&lt;=$J152)*(1))/COUNT($V437:$AN437)</f>
        <v>0</v>
      </c>
      <c r="AU437" s="50" cm="1">
        <f t="array" ref="AU437">SUMPRODUCT(($V437:$AN437&lt;=$K152)*(1))/COUNT($V437:$AN437)</f>
        <v>0</v>
      </c>
      <c r="AW437" s="52" cm="1">
        <f t="array" ref="AW437">SUMPRODUCT(($V437:$AN437&lt;=$I152)*(1))</f>
        <v>0</v>
      </c>
      <c r="AX437" s="52" cm="1">
        <f t="array" ref="AX437">SUMPRODUCT(($V437:$AN437&lt;=$J152)*(1))</f>
        <v>0</v>
      </c>
      <c r="AY437" s="52" cm="1">
        <f t="array" ref="AY437">SUMPRODUCT(($V437:$AN437&lt;=$K152)*(1))</f>
        <v>0</v>
      </c>
      <c r="BA437" s="52">
        <f t="shared" si="96"/>
        <v>0</v>
      </c>
      <c r="BB437" s="52">
        <f t="shared" si="97"/>
        <v>0</v>
      </c>
      <c r="BC437" s="52">
        <f t="shared" si="98"/>
        <v>0</v>
      </c>
      <c r="BE437" s="50">
        <f t="shared" si="93"/>
        <v>0</v>
      </c>
      <c r="BF437" s="50">
        <f t="shared" si="94"/>
        <v>0</v>
      </c>
      <c r="BG437" s="50">
        <f t="shared" si="95"/>
        <v>0</v>
      </c>
    </row>
    <row r="438" spans="4:59" ht="15.6">
      <c r="D438" s="44"/>
      <c r="M438" s="42"/>
      <c r="N438" s="39" t="s">
        <v>27</v>
      </c>
      <c r="O438" s="39" t="s">
        <v>517</v>
      </c>
      <c r="P438" t="s">
        <v>755</v>
      </c>
      <c r="R438" s="41"/>
      <c r="S438" s="42"/>
      <c r="T438" s="42"/>
      <c r="U438" s="42"/>
      <c r="V438" s="45">
        <f t="shared" si="74"/>
        <v>1.0690092200873618</v>
      </c>
      <c r="W438" s="45">
        <f t="shared" si="75"/>
        <v>0.99856936436928589</v>
      </c>
      <c r="X438" s="45">
        <f t="shared" si="76"/>
        <v>1.1188559963014542</v>
      </c>
      <c r="Y438" s="45">
        <f t="shared" si="77"/>
        <v>1.0759111977137679</v>
      </c>
      <c r="Z438" s="45">
        <f t="shared" si="78"/>
        <v>1.0745221733757306</v>
      </c>
      <c r="AA438" s="45">
        <f t="shared" si="79"/>
        <v>1.020667068552527</v>
      </c>
      <c r="AB438" s="45">
        <f t="shared" si="80"/>
        <v>0.98648843453938329</v>
      </c>
      <c r="AC438" s="45">
        <f t="shared" si="81"/>
        <v>0.8005031135552475</v>
      </c>
      <c r="AD438" s="45">
        <f t="shared" si="82"/>
        <v>0.80588589808537514</v>
      </c>
      <c r="AE438" s="45">
        <f t="shared" si="83"/>
        <v>0.84729193609356823</v>
      </c>
      <c r="AF438" s="45">
        <f t="shared" si="84"/>
        <v>0.85964189697228732</v>
      </c>
      <c r="AG438" s="45">
        <f t="shared" si="85"/>
        <v>1.241279642122</v>
      </c>
      <c r="AH438" s="45">
        <f t="shared" si="86"/>
        <v>1.1886764954581741</v>
      </c>
      <c r="AI438" s="45">
        <f t="shared" si="87"/>
        <v>1.176931366773553</v>
      </c>
      <c r="AJ438" s="45">
        <f t="shared" si="88"/>
        <v>0.87651775968764056</v>
      </c>
      <c r="AK438" s="45">
        <f t="shared" si="89"/>
        <v>1.0844209860144367</v>
      </c>
      <c r="AL438" s="45">
        <f t="shared" si="90"/>
        <v>1.0380047842085738</v>
      </c>
      <c r="AM438" s="45">
        <f t="shared" si="91"/>
        <v>1.0427711808103979</v>
      </c>
      <c r="AN438" s="45">
        <f t="shared" si="92"/>
        <v>0.806227129895009</v>
      </c>
      <c r="AS438" s="50" cm="1">
        <f t="array" ref="AS438">SUMPRODUCT(($V438:$AN438&lt;=$I153)*(1))/COUNT($V438:$AN438)</f>
        <v>0.31578947368421051</v>
      </c>
      <c r="AT438" s="50" cm="1">
        <f t="array" ref="AT438">SUMPRODUCT(($V438:$AN438&lt;=$J153)*(1))/COUNT($V438:$AN438)</f>
        <v>0.21052631578947367</v>
      </c>
      <c r="AU438" s="50" cm="1">
        <f t="array" ref="AU438">SUMPRODUCT(($V438:$AN438&lt;=$K153)*(1))/COUNT($V438:$AN438)</f>
        <v>0</v>
      </c>
      <c r="AW438" s="52" cm="1">
        <f t="array" ref="AW438">SUMPRODUCT(($V438:$AN438&lt;=$I153)*(1))</f>
        <v>6</v>
      </c>
      <c r="AX438" s="52" cm="1">
        <f t="array" ref="AX438">SUMPRODUCT(($V438:$AN438&lt;=$J153)*(1))</f>
        <v>4</v>
      </c>
      <c r="AY438" s="52" cm="1">
        <f t="array" ref="AY438">SUMPRODUCT(($V438:$AN438&lt;=$K153)*(1))</f>
        <v>0</v>
      </c>
      <c r="BA438" s="52">
        <f t="shared" si="96"/>
        <v>2</v>
      </c>
      <c r="BB438" s="52">
        <f t="shared" si="97"/>
        <v>4</v>
      </c>
      <c r="BC438" s="52">
        <f t="shared" si="98"/>
        <v>0</v>
      </c>
      <c r="BE438" s="50">
        <f t="shared" si="93"/>
        <v>0.10526315789473684</v>
      </c>
      <c r="BF438" s="50">
        <f t="shared" si="94"/>
        <v>0.21052631578947367</v>
      </c>
      <c r="BG438" s="50">
        <f t="shared" si="95"/>
        <v>0</v>
      </c>
    </row>
    <row r="439" spans="4:59" ht="15.6">
      <c r="D439" s="44"/>
      <c r="M439" s="42"/>
      <c r="N439" s="39" t="s">
        <v>27</v>
      </c>
      <c r="O439" s="39" t="s">
        <v>417</v>
      </c>
      <c r="P439" t="s">
        <v>756</v>
      </c>
      <c r="R439" s="41"/>
      <c r="S439" s="42"/>
      <c r="T439" s="42"/>
      <c r="U439" s="42"/>
      <c r="V439" s="45">
        <f t="shared" si="74"/>
        <v>1.0999959521723641</v>
      </c>
      <c r="W439" s="45">
        <f t="shared" si="75"/>
        <v>0.94538997133051861</v>
      </c>
      <c r="X439" s="45">
        <f t="shared" si="76"/>
        <v>1.0675389199762721</v>
      </c>
      <c r="Y439" s="45">
        <f t="shared" si="77"/>
        <v>0.99215177739025739</v>
      </c>
      <c r="Z439" s="45">
        <f t="shared" si="78"/>
        <v>0.9394455294266858</v>
      </c>
      <c r="AA439" s="45">
        <f t="shared" si="79"/>
        <v>0.89489830158331751</v>
      </c>
      <c r="AB439" s="45">
        <f t="shared" si="80"/>
        <v>1.0759834778347241</v>
      </c>
      <c r="AC439" s="45">
        <f t="shared" si="81"/>
        <v>0.99448912423568947</v>
      </c>
      <c r="AD439" s="45">
        <f t="shared" si="82"/>
        <v>0.94127703380990335</v>
      </c>
      <c r="AE439" s="45">
        <f t="shared" si="83"/>
        <v>1.0741493642574034</v>
      </c>
      <c r="AF439" s="45">
        <f t="shared" si="84"/>
        <v>0.81031748627034117</v>
      </c>
      <c r="AG439" s="45">
        <f t="shared" si="85"/>
        <v>0.94479817974354918</v>
      </c>
      <c r="AH439" s="45">
        <f t="shared" si="86"/>
        <v>1.1451609145023625</v>
      </c>
      <c r="AI439" s="45">
        <f t="shared" si="87"/>
        <v>1.0806190470784152</v>
      </c>
      <c r="AJ439" s="45">
        <f t="shared" si="88"/>
        <v>0.86338850617989726</v>
      </c>
      <c r="AK439" s="45">
        <f t="shared" si="89"/>
        <v>1.1451609145023625</v>
      </c>
      <c r="AL439" s="45">
        <f t="shared" si="90"/>
        <v>1.0448092238576172</v>
      </c>
      <c r="AM439" s="45">
        <f t="shared" si="91"/>
        <v>1.0142777545178121</v>
      </c>
      <c r="AN439" s="45">
        <f t="shared" si="92"/>
        <v>1.0142777545178121</v>
      </c>
      <c r="AS439" s="50" cm="1">
        <f t="array" ref="AS439">SUMPRODUCT(($V439:$AN439&lt;=$I154)*(1))/COUNT($V439:$AN439)</f>
        <v>0.36842105263157893</v>
      </c>
      <c r="AT439" s="50" cm="1">
        <f t="array" ref="AT439">SUMPRODUCT(($V439:$AN439&lt;=$J154)*(1))/COUNT($V439:$AN439)</f>
        <v>5.2631578947368418E-2</v>
      </c>
      <c r="AU439" s="50" cm="1">
        <f t="array" ref="AU439">SUMPRODUCT(($V439:$AN439&lt;=$K154)*(1))/COUNT($V439:$AN439)</f>
        <v>0</v>
      </c>
      <c r="AW439" s="52" cm="1">
        <f t="array" ref="AW439">SUMPRODUCT(($V439:$AN439&lt;=$I154)*(1))</f>
        <v>7</v>
      </c>
      <c r="AX439" s="52" cm="1">
        <f t="array" ref="AX439">SUMPRODUCT(($V439:$AN439&lt;=$J154)*(1))</f>
        <v>1</v>
      </c>
      <c r="AY439" s="52" cm="1">
        <f t="array" ref="AY439">SUMPRODUCT(($V439:$AN439&lt;=$K154)*(1))</f>
        <v>0</v>
      </c>
      <c r="BA439" s="52">
        <f t="shared" si="96"/>
        <v>6</v>
      </c>
      <c r="BB439" s="52">
        <f t="shared" si="97"/>
        <v>1</v>
      </c>
      <c r="BC439" s="52">
        <f t="shared" si="98"/>
        <v>0</v>
      </c>
      <c r="BE439" s="50">
        <f t="shared" si="93"/>
        <v>0.31578947368421051</v>
      </c>
      <c r="BF439" s="50">
        <f t="shared" si="94"/>
        <v>5.2631578947368418E-2</v>
      </c>
      <c r="BG439" s="50">
        <f t="shared" si="95"/>
        <v>0</v>
      </c>
    </row>
    <row r="440" spans="4:59" ht="15.6">
      <c r="D440" s="44"/>
      <c r="M440" s="42"/>
      <c r="N440" s="39" t="s">
        <v>27</v>
      </c>
      <c r="O440" s="39" t="s">
        <v>609</v>
      </c>
      <c r="P440" t="s">
        <v>757</v>
      </c>
      <c r="R440" s="41"/>
      <c r="S440" s="42"/>
      <c r="T440" s="42"/>
      <c r="U440" s="42"/>
      <c r="V440" s="45">
        <f t="shared" si="74"/>
        <v>1</v>
      </c>
      <c r="W440" s="45">
        <f t="shared" si="75"/>
        <v>0.92552750142921991</v>
      </c>
      <c r="X440" s="45">
        <f t="shared" si="76"/>
        <v>1</v>
      </c>
      <c r="Y440" s="45">
        <f t="shared" si="77"/>
        <v>1</v>
      </c>
      <c r="Z440" s="45">
        <f t="shared" si="78"/>
        <v>0.96407617913208798</v>
      </c>
      <c r="AA440" s="45">
        <f t="shared" si="79"/>
        <v>1</v>
      </c>
      <c r="AB440" s="45">
        <f t="shared" si="80"/>
        <v>1</v>
      </c>
      <c r="AC440" s="45">
        <f t="shared" si="81"/>
        <v>0.81083838582734502</v>
      </c>
      <c r="AD440" s="45">
        <f t="shared" si="82"/>
        <v>0.92618052968870501</v>
      </c>
      <c r="AE440" s="45">
        <f t="shared" si="83"/>
        <v>1.0372624297182123</v>
      </c>
      <c r="AF440" s="45">
        <f t="shared" si="84"/>
        <v>1</v>
      </c>
      <c r="AG440" s="45">
        <f t="shared" si="85"/>
        <v>0.99246155391193303</v>
      </c>
      <c r="AH440" s="45">
        <f t="shared" si="86"/>
        <v>1.007595705907552</v>
      </c>
      <c r="AI440" s="45">
        <f t="shared" si="87"/>
        <v>1</v>
      </c>
      <c r="AJ440" s="45">
        <f t="shared" si="88"/>
        <v>1</v>
      </c>
      <c r="AK440" s="45">
        <f t="shared" si="89"/>
        <v>1</v>
      </c>
      <c r="AL440" s="45">
        <f t="shared" si="90"/>
        <v>1</v>
      </c>
      <c r="AM440" s="45">
        <f t="shared" si="91"/>
        <v>1</v>
      </c>
      <c r="AN440" s="45">
        <f t="shared" si="92"/>
        <v>0.95157365722085208</v>
      </c>
      <c r="AS440" s="50" cm="1">
        <f t="array" ref="AS440">SUMPRODUCT(($V440:$AN440&lt;=$I155)*(1))/COUNT($V440:$AN440)</f>
        <v>0.15789473684210525</v>
      </c>
      <c r="AT440" s="50" cm="1">
        <f t="array" ref="AT440">SUMPRODUCT(($V440:$AN440&lt;=$J155)*(1))/COUNT($V440:$AN440)</f>
        <v>5.2631578947368418E-2</v>
      </c>
      <c r="AU440" s="50" cm="1">
        <f t="array" ref="AU440">SUMPRODUCT(($V440:$AN440&lt;=$K155)*(1))/COUNT($V440:$AN440)</f>
        <v>0</v>
      </c>
      <c r="AW440" s="52" cm="1">
        <f t="array" ref="AW440">SUMPRODUCT(($V440:$AN440&lt;=$I155)*(1))</f>
        <v>3</v>
      </c>
      <c r="AX440" s="52" cm="1">
        <f t="array" ref="AX440">SUMPRODUCT(($V440:$AN440&lt;=$J155)*(1))</f>
        <v>1</v>
      </c>
      <c r="AY440" s="52" cm="1">
        <f t="array" ref="AY440">SUMPRODUCT(($V440:$AN440&lt;=$K155)*(1))</f>
        <v>0</v>
      </c>
      <c r="BA440" s="52">
        <f t="shared" si="96"/>
        <v>2</v>
      </c>
      <c r="BB440" s="52">
        <f t="shared" si="97"/>
        <v>1</v>
      </c>
      <c r="BC440" s="52">
        <f t="shared" si="98"/>
        <v>0</v>
      </c>
      <c r="BE440" s="50">
        <f t="shared" si="93"/>
        <v>0.10526315789473684</v>
      </c>
      <c r="BF440" s="50">
        <f t="shared" si="94"/>
        <v>5.2631578947368418E-2</v>
      </c>
      <c r="BG440" s="50">
        <f t="shared" si="95"/>
        <v>0</v>
      </c>
    </row>
    <row r="441" spans="4:59" ht="15.6">
      <c r="D441" s="44"/>
      <c r="M441" s="42"/>
      <c r="N441" s="39" t="s">
        <v>27</v>
      </c>
      <c r="O441" s="39" t="s">
        <v>448</v>
      </c>
      <c r="P441" t="s">
        <v>758</v>
      </c>
      <c r="R441" s="41"/>
      <c r="S441" s="42"/>
      <c r="T441" s="42"/>
      <c r="U441" s="42"/>
      <c r="V441" s="45">
        <f t="shared" si="74"/>
        <v>1</v>
      </c>
      <c r="W441" s="45">
        <f t="shared" si="75"/>
        <v>1</v>
      </c>
      <c r="X441" s="45">
        <f t="shared" si="76"/>
        <v>1</v>
      </c>
      <c r="Y441" s="45">
        <f t="shared" si="77"/>
        <v>1</v>
      </c>
      <c r="Z441" s="45">
        <f t="shared" si="78"/>
        <v>1</v>
      </c>
      <c r="AA441" s="45">
        <f t="shared" si="79"/>
        <v>1</v>
      </c>
      <c r="AB441" s="45">
        <f t="shared" si="80"/>
        <v>1</v>
      </c>
      <c r="AC441" s="45">
        <f t="shared" si="81"/>
        <v>1</v>
      </c>
      <c r="AD441" s="45">
        <f t="shared" si="82"/>
        <v>1</v>
      </c>
      <c r="AE441" s="45">
        <f t="shared" si="83"/>
        <v>1</v>
      </c>
      <c r="AF441" s="45">
        <f t="shared" si="84"/>
        <v>1</v>
      </c>
      <c r="AG441" s="45">
        <f t="shared" si="85"/>
        <v>1</v>
      </c>
      <c r="AH441" s="45">
        <f t="shared" si="86"/>
        <v>1</v>
      </c>
      <c r="AI441" s="45">
        <f t="shared" si="87"/>
        <v>1</v>
      </c>
      <c r="AJ441" s="45">
        <f t="shared" si="88"/>
        <v>1</v>
      </c>
      <c r="AK441" s="45">
        <f t="shared" si="89"/>
        <v>1</v>
      </c>
      <c r="AL441" s="45">
        <f t="shared" si="90"/>
        <v>1</v>
      </c>
      <c r="AM441" s="45">
        <f t="shared" si="91"/>
        <v>1</v>
      </c>
      <c r="AN441" s="45">
        <f t="shared" si="92"/>
        <v>1</v>
      </c>
      <c r="AS441" s="50" cm="1">
        <f t="array" ref="AS441">SUMPRODUCT(($V441:$AN441&lt;=$I156)*(1))/COUNT($V441:$AN441)</f>
        <v>0</v>
      </c>
      <c r="AT441" s="50" cm="1">
        <f t="array" ref="AT441">SUMPRODUCT(($V441:$AN441&lt;=$J156)*(1))/COUNT($V441:$AN441)</f>
        <v>0</v>
      </c>
      <c r="AU441" s="50" cm="1">
        <f t="array" ref="AU441">SUMPRODUCT(($V441:$AN441&lt;=$K156)*(1))/COUNT($V441:$AN441)</f>
        <v>0</v>
      </c>
      <c r="AW441" s="52" cm="1">
        <f t="array" ref="AW441">SUMPRODUCT(($V441:$AN441&lt;=$I156)*(1))</f>
        <v>0</v>
      </c>
      <c r="AX441" s="52" cm="1">
        <f t="array" ref="AX441">SUMPRODUCT(($V441:$AN441&lt;=$J156)*(1))</f>
        <v>0</v>
      </c>
      <c r="AY441" s="52" cm="1">
        <f t="array" ref="AY441">SUMPRODUCT(($V441:$AN441&lt;=$K156)*(1))</f>
        <v>0</v>
      </c>
      <c r="BA441" s="52">
        <f t="shared" si="96"/>
        <v>0</v>
      </c>
      <c r="BB441" s="52">
        <f t="shared" si="97"/>
        <v>0</v>
      </c>
      <c r="BC441" s="52">
        <f t="shared" si="98"/>
        <v>0</v>
      </c>
      <c r="BE441" s="50">
        <f t="shared" si="93"/>
        <v>0</v>
      </c>
      <c r="BF441" s="50">
        <f t="shared" si="94"/>
        <v>0</v>
      </c>
      <c r="BG441" s="50">
        <f t="shared" si="95"/>
        <v>0</v>
      </c>
    </row>
    <row r="442" spans="4:59" ht="15.6">
      <c r="D442" s="44"/>
      <c r="M442" s="42"/>
      <c r="N442" s="39" t="s">
        <v>27</v>
      </c>
      <c r="O442" s="39" t="s">
        <v>551</v>
      </c>
      <c r="P442" t="s">
        <v>759</v>
      </c>
      <c r="R442" s="41"/>
      <c r="S442" s="42"/>
      <c r="T442" s="42"/>
      <c r="U442" s="42"/>
      <c r="V442" s="45">
        <f t="shared" si="74"/>
        <v>0.98317603333973247</v>
      </c>
      <c r="W442" s="45">
        <f t="shared" si="75"/>
        <v>0.94540534337530857</v>
      </c>
      <c r="X442" s="45">
        <f t="shared" si="76"/>
        <v>1.1100349294190726</v>
      </c>
      <c r="Y442" s="45">
        <f t="shared" si="77"/>
        <v>1.0045921460856042</v>
      </c>
      <c r="Z442" s="45">
        <f t="shared" si="78"/>
        <v>0.94131946581401293</v>
      </c>
      <c r="AA442" s="45">
        <f t="shared" si="79"/>
        <v>1.0909253176836722</v>
      </c>
      <c r="AB442" s="45">
        <f t="shared" si="80"/>
        <v>1.1045230496864189</v>
      </c>
      <c r="AC442" s="45">
        <f t="shared" si="81"/>
        <v>1.0174389027125692</v>
      </c>
      <c r="AD442" s="45">
        <f t="shared" si="82"/>
        <v>0.84020151826380862</v>
      </c>
      <c r="AE442" s="45">
        <f t="shared" si="83"/>
        <v>0.76718540827469528</v>
      </c>
      <c r="AF442" s="45">
        <f t="shared" si="84"/>
        <v>0.89385796305330056</v>
      </c>
      <c r="AG442" s="45">
        <f t="shared" si="85"/>
        <v>1.0187875628775258</v>
      </c>
      <c r="AH442" s="45">
        <f t="shared" si="86"/>
        <v>1.0860968490857272</v>
      </c>
      <c r="AI442" s="45">
        <f t="shared" si="87"/>
        <v>0.98372839527266076</v>
      </c>
      <c r="AJ442" s="45">
        <f t="shared" si="88"/>
        <v>0.97525610625323578</v>
      </c>
      <c r="AK442" s="45">
        <f t="shared" si="89"/>
        <v>1.0341899203625813</v>
      </c>
      <c r="AL442" s="45">
        <f t="shared" si="90"/>
        <v>1.1173506246677813</v>
      </c>
      <c r="AM442" s="45">
        <f t="shared" si="91"/>
        <v>1.0383284552822958</v>
      </c>
      <c r="AN442" s="45">
        <f t="shared" si="92"/>
        <v>1.0201072734781538</v>
      </c>
      <c r="AS442" s="50" cm="1">
        <f t="array" ref="AS442">SUMPRODUCT(($V442:$AN442&lt;=$I157)*(1))/COUNT($V442:$AN442)</f>
        <v>0.26315789473684209</v>
      </c>
      <c r="AT442" s="50" cm="1">
        <f t="array" ref="AT442">SUMPRODUCT(($V442:$AN442&lt;=$J157)*(1))/COUNT($V442:$AN442)</f>
        <v>0.10526315789473684</v>
      </c>
      <c r="AU442" s="50" cm="1">
        <f t="array" ref="AU442">SUMPRODUCT(($V442:$AN442&lt;=$K157)*(1))/COUNT($V442:$AN442)</f>
        <v>0</v>
      </c>
      <c r="AW442" s="52" cm="1">
        <f t="array" ref="AW442">SUMPRODUCT(($V442:$AN442&lt;=$I157)*(1))</f>
        <v>5</v>
      </c>
      <c r="AX442" s="52" cm="1">
        <f t="array" ref="AX442">SUMPRODUCT(($V442:$AN442&lt;=$J157)*(1))</f>
        <v>2</v>
      </c>
      <c r="AY442" s="52" cm="1">
        <f t="array" ref="AY442">SUMPRODUCT(($V442:$AN442&lt;=$K157)*(1))</f>
        <v>0</v>
      </c>
      <c r="BA442" s="52">
        <f t="shared" si="96"/>
        <v>3</v>
      </c>
      <c r="BB442" s="52">
        <f t="shared" si="97"/>
        <v>2</v>
      </c>
      <c r="BC442" s="52">
        <f t="shared" si="98"/>
        <v>0</v>
      </c>
      <c r="BE442" s="50">
        <f t="shared" si="93"/>
        <v>0.15789473684210525</v>
      </c>
      <c r="BF442" s="50">
        <f t="shared" si="94"/>
        <v>0.10526315789473684</v>
      </c>
      <c r="BG442" s="50">
        <f t="shared" si="95"/>
        <v>0</v>
      </c>
    </row>
    <row r="443" spans="4:59" ht="15.6">
      <c r="D443" s="44"/>
      <c r="M443" s="42"/>
      <c r="N443" s="39" t="s">
        <v>27</v>
      </c>
      <c r="O443" s="39" t="s">
        <v>551</v>
      </c>
      <c r="P443" t="s">
        <v>760</v>
      </c>
      <c r="R443" s="41"/>
      <c r="S443" s="42"/>
      <c r="T443" s="42"/>
      <c r="U443" s="42"/>
      <c r="V443" s="45">
        <f t="shared" si="74"/>
        <v>1.0488046578241792</v>
      </c>
      <c r="W443" s="45">
        <f t="shared" si="75"/>
        <v>0.89767967329453002</v>
      </c>
      <c r="X443" s="45">
        <f t="shared" si="76"/>
        <v>1.1231791043830242</v>
      </c>
      <c r="Y443" s="45">
        <f t="shared" si="77"/>
        <v>0.96310880725451953</v>
      </c>
      <c r="Z443" s="45">
        <f t="shared" si="78"/>
        <v>0.82597020937907517</v>
      </c>
      <c r="AA443" s="45">
        <f t="shared" si="79"/>
        <v>1.0945608980786734</v>
      </c>
      <c r="AB443" s="45">
        <f t="shared" si="80"/>
        <v>1.1114516200101319</v>
      </c>
      <c r="AC443" s="45">
        <f t="shared" si="81"/>
        <v>1.0152589529588942</v>
      </c>
      <c r="AD443" s="45">
        <f t="shared" si="82"/>
        <v>0.83044372561348734</v>
      </c>
      <c r="AE443" s="45">
        <f t="shared" si="83"/>
        <v>0.75809061988588522</v>
      </c>
      <c r="AF443" s="45">
        <f t="shared" si="84"/>
        <v>0.86291227807087945</v>
      </c>
      <c r="AG443" s="45">
        <f t="shared" si="85"/>
        <v>1.0287947303699201</v>
      </c>
      <c r="AH443" s="45">
        <f t="shared" si="86"/>
        <v>1.0915456766397018</v>
      </c>
      <c r="AI443" s="45">
        <f t="shared" si="87"/>
        <v>1.0139474058047631</v>
      </c>
      <c r="AJ443" s="45">
        <f t="shared" si="88"/>
        <v>0.97532540649275334</v>
      </c>
      <c r="AK443" s="45">
        <f t="shared" si="89"/>
        <v>1.0179631352523602</v>
      </c>
      <c r="AL443" s="45">
        <f t="shared" si="90"/>
        <v>1.133622273001438</v>
      </c>
      <c r="AM443" s="45">
        <f t="shared" si="91"/>
        <v>1.0521816685767613</v>
      </c>
      <c r="AN443" s="45">
        <f t="shared" si="92"/>
        <v>0.98517364273387698</v>
      </c>
      <c r="AS443" s="50" cm="1">
        <f t="array" ref="AS443">SUMPRODUCT(($V443:$AN443&lt;=$I158)*(1))/COUNT($V443:$AN443)</f>
        <v>0.26315789473684209</v>
      </c>
      <c r="AT443" s="50" cm="1">
        <f t="array" ref="AT443">SUMPRODUCT(($V443:$AN443&lt;=$J158)*(1))/COUNT($V443:$AN443)</f>
        <v>0.15789473684210525</v>
      </c>
      <c r="AU443" s="50" cm="1">
        <f t="array" ref="AU443">SUMPRODUCT(($V443:$AN443&lt;=$K158)*(1))/COUNT($V443:$AN443)</f>
        <v>0</v>
      </c>
      <c r="AW443" s="52" cm="1">
        <f t="array" ref="AW443">SUMPRODUCT(($V443:$AN443&lt;=$I158)*(1))</f>
        <v>5</v>
      </c>
      <c r="AX443" s="52" cm="1">
        <f t="array" ref="AX443">SUMPRODUCT(($V443:$AN443&lt;=$J158)*(1))</f>
        <v>3</v>
      </c>
      <c r="AY443" s="52" cm="1">
        <f t="array" ref="AY443">SUMPRODUCT(($V443:$AN443&lt;=$K158)*(1))</f>
        <v>0</v>
      </c>
      <c r="BA443" s="52">
        <f t="shared" si="96"/>
        <v>2</v>
      </c>
      <c r="BB443" s="52">
        <f t="shared" si="97"/>
        <v>3</v>
      </c>
      <c r="BC443" s="52">
        <f t="shared" si="98"/>
        <v>0</v>
      </c>
      <c r="BE443" s="50">
        <f t="shared" si="93"/>
        <v>0.10526315789473684</v>
      </c>
      <c r="BF443" s="50">
        <f t="shared" si="94"/>
        <v>0.15789473684210525</v>
      </c>
      <c r="BG443" s="50">
        <f t="shared" si="95"/>
        <v>0</v>
      </c>
    </row>
    <row r="444" spans="4:59" ht="15.6">
      <c r="D444" s="44"/>
      <c r="M444" s="42"/>
      <c r="N444" s="39" t="s">
        <v>27</v>
      </c>
      <c r="O444" s="39" t="s">
        <v>479</v>
      </c>
      <c r="P444" t="s">
        <v>761</v>
      </c>
      <c r="R444" s="41"/>
      <c r="S444" s="42"/>
      <c r="T444" s="42"/>
      <c r="U444" s="42"/>
      <c r="V444" s="45">
        <f t="shared" si="74"/>
        <v>1</v>
      </c>
      <c r="W444" s="45">
        <f t="shared" si="75"/>
        <v>1</v>
      </c>
      <c r="X444" s="45">
        <f t="shared" si="76"/>
        <v>1</v>
      </c>
      <c r="Y444" s="45">
        <f t="shared" si="77"/>
        <v>0.98481699723326199</v>
      </c>
      <c r="Z444" s="45">
        <f t="shared" si="78"/>
        <v>1</v>
      </c>
      <c r="AA444" s="45">
        <f t="shared" si="79"/>
        <v>1</v>
      </c>
      <c r="AB444" s="45">
        <f t="shared" si="80"/>
        <v>1</v>
      </c>
      <c r="AC444" s="45">
        <f t="shared" si="81"/>
        <v>1</v>
      </c>
      <c r="AD444" s="45">
        <f t="shared" si="82"/>
        <v>0.97869744094339695</v>
      </c>
      <c r="AE444" s="45">
        <f t="shared" si="83"/>
        <v>0.99264964869023198</v>
      </c>
      <c r="AF444" s="45">
        <f t="shared" si="84"/>
        <v>0.99480913283229899</v>
      </c>
      <c r="AG444" s="45">
        <f t="shared" si="85"/>
        <v>1.0002963838628156</v>
      </c>
      <c r="AH444" s="45">
        <f t="shared" si="86"/>
        <v>1.0052179528679257</v>
      </c>
      <c r="AI444" s="45">
        <f t="shared" si="87"/>
        <v>0.99944948539074552</v>
      </c>
      <c r="AJ444" s="45">
        <f t="shared" si="88"/>
        <v>0.92631262173643469</v>
      </c>
      <c r="AK444" s="45">
        <f t="shared" si="89"/>
        <v>1.0052179528679257</v>
      </c>
      <c r="AL444" s="45">
        <f t="shared" si="90"/>
        <v>1.0049201107636767</v>
      </c>
      <c r="AM444" s="45">
        <f t="shared" si="91"/>
        <v>1</v>
      </c>
      <c r="AN444" s="45">
        <f t="shared" si="92"/>
        <v>1</v>
      </c>
      <c r="AS444" s="50" cm="1">
        <f t="array" ref="AS444">SUMPRODUCT(($V444:$AN444&lt;=$I159)*(1))/COUNT($V444:$AN444)</f>
        <v>5.2631578947368418E-2</v>
      </c>
      <c r="AT444" s="50" cm="1">
        <f t="array" ref="AT444">SUMPRODUCT(($V444:$AN444&lt;=$J159)*(1))/COUNT($V444:$AN444)</f>
        <v>0</v>
      </c>
      <c r="AU444" s="50" cm="1">
        <f t="array" ref="AU444">SUMPRODUCT(($V444:$AN444&lt;=$K159)*(1))/COUNT($V444:$AN444)</f>
        <v>0</v>
      </c>
      <c r="AW444" s="52" cm="1">
        <f t="array" ref="AW444">SUMPRODUCT(($V444:$AN444&lt;=$I159)*(1))</f>
        <v>1</v>
      </c>
      <c r="AX444" s="52" cm="1">
        <f t="array" ref="AX444">SUMPRODUCT(($V444:$AN444&lt;=$J159)*(1))</f>
        <v>0</v>
      </c>
      <c r="AY444" s="52" cm="1">
        <f t="array" ref="AY444">SUMPRODUCT(($V444:$AN444&lt;=$K159)*(1))</f>
        <v>0</v>
      </c>
      <c r="BA444" s="52">
        <f t="shared" si="96"/>
        <v>1</v>
      </c>
      <c r="BB444" s="52">
        <f t="shared" si="97"/>
        <v>0</v>
      </c>
      <c r="BC444" s="52">
        <f t="shared" si="98"/>
        <v>0</v>
      </c>
      <c r="BE444" s="50">
        <f t="shared" si="93"/>
        <v>5.2631578947368418E-2</v>
      </c>
      <c r="BF444" s="50">
        <f t="shared" si="94"/>
        <v>0</v>
      </c>
      <c r="BG444" s="50">
        <f t="shared" si="95"/>
        <v>0</v>
      </c>
    </row>
    <row r="445" spans="4:59" ht="15.6">
      <c r="D445" s="44"/>
      <c r="M445" s="42"/>
      <c r="N445" s="39" t="s">
        <v>27</v>
      </c>
      <c r="O445" s="39" t="s">
        <v>445</v>
      </c>
      <c r="P445" t="s">
        <v>762</v>
      </c>
      <c r="R445" s="41"/>
      <c r="S445" s="42"/>
      <c r="T445" s="42"/>
      <c r="U445" s="42"/>
      <c r="V445" s="45">
        <f t="shared" si="74"/>
        <v>1.0011676473212439</v>
      </c>
      <c r="W445" s="45">
        <f t="shared" si="75"/>
        <v>0.99346922140806471</v>
      </c>
      <c r="X445" s="45">
        <f t="shared" si="76"/>
        <v>1.0025748846657974</v>
      </c>
      <c r="Y445" s="45">
        <f t="shared" si="77"/>
        <v>1.0009113123615296</v>
      </c>
      <c r="Z445" s="45">
        <f t="shared" si="78"/>
        <v>0.99679044395638694</v>
      </c>
      <c r="AA445" s="45">
        <f t="shared" si="79"/>
        <v>0.99877296679943584</v>
      </c>
      <c r="AB445" s="45">
        <f t="shared" si="80"/>
        <v>1.0017702459543782</v>
      </c>
      <c r="AC445" s="45">
        <f t="shared" si="81"/>
        <v>1.0005410406032549</v>
      </c>
      <c r="AD445" s="45">
        <f t="shared" si="82"/>
        <v>0.96118664003064425</v>
      </c>
      <c r="AE445" s="45">
        <f t="shared" si="83"/>
        <v>0.98566588359809493</v>
      </c>
      <c r="AF445" s="45">
        <f t="shared" si="84"/>
        <v>0.99257539973634201</v>
      </c>
      <c r="AG445" s="45">
        <f t="shared" si="85"/>
        <v>1.0054263583192711</v>
      </c>
      <c r="AH445" s="45">
        <f t="shared" si="86"/>
        <v>1.0087999077889545</v>
      </c>
      <c r="AI445" s="45">
        <f t="shared" si="87"/>
        <v>1.002832928515617</v>
      </c>
      <c r="AJ445" s="45">
        <f t="shared" si="88"/>
        <v>0.99068763290019179</v>
      </c>
      <c r="AK445" s="45">
        <f t="shared" si="89"/>
        <v>1.0033276815247061</v>
      </c>
      <c r="AL445" s="45">
        <f t="shared" si="90"/>
        <v>1.0038165566071677</v>
      </c>
      <c r="AM445" s="45">
        <f t="shared" si="91"/>
        <v>1.0030746173030272</v>
      </c>
      <c r="AN445" s="45">
        <f t="shared" si="92"/>
        <v>0.99958805357681713</v>
      </c>
      <c r="AS445" s="50" cm="1">
        <f t="array" ref="AS445">SUMPRODUCT(($V445:$AN445&lt;=$I160)*(1))/COUNT($V445:$AN445)</f>
        <v>0</v>
      </c>
      <c r="AT445" s="50" cm="1">
        <f t="array" ref="AT445">SUMPRODUCT(($V445:$AN445&lt;=$J160)*(1))/COUNT($V445:$AN445)</f>
        <v>0</v>
      </c>
      <c r="AU445" s="50" cm="1">
        <f t="array" ref="AU445">SUMPRODUCT(($V445:$AN445&lt;=$K160)*(1))/COUNT($V445:$AN445)</f>
        <v>0</v>
      </c>
      <c r="AW445" s="52" cm="1">
        <f t="array" ref="AW445">SUMPRODUCT(($V445:$AN445&lt;=$I160)*(1))</f>
        <v>0</v>
      </c>
      <c r="AX445" s="52" cm="1">
        <f t="array" ref="AX445">SUMPRODUCT(($V445:$AN445&lt;=$J160)*(1))</f>
        <v>0</v>
      </c>
      <c r="AY445" s="52" cm="1">
        <f t="array" ref="AY445">SUMPRODUCT(($V445:$AN445&lt;=$K160)*(1))</f>
        <v>0</v>
      </c>
      <c r="BA445" s="52">
        <f t="shared" si="96"/>
        <v>0</v>
      </c>
      <c r="BB445" s="52">
        <f t="shared" si="97"/>
        <v>0</v>
      </c>
      <c r="BC445" s="52">
        <f t="shared" si="98"/>
        <v>0</v>
      </c>
      <c r="BE445" s="50">
        <f t="shared" si="93"/>
        <v>0</v>
      </c>
      <c r="BF445" s="50">
        <f t="shared" si="94"/>
        <v>0</v>
      </c>
      <c r="BG445" s="50">
        <f t="shared" si="95"/>
        <v>0</v>
      </c>
    </row>
    <row r="446" spans="4:59" ht="15.6">
      <c r="D446" s="44"/>
      <c r="M446" s="42"/>
      <c r="N446" s="39" t="s">
        <v>27</v>
      </c>
      <c r="O446" s="39" t="s">
        <v>572</v>
      </c>
      <c r="P446" t="s">
        <v>763</v>
      </c>
      <c r="R446" s="41"/>
      <c r="S446" s="42"/>
      <c r="T446" s="42"/>
      <c r="U446" s="42"/>
      <c r="V446" s="45">
        <f t="shared" si="74"/>
        <v>1</v>
      </c>
      <c r="W446" s="45">
        <f t="shared" si="75"/>
        <v>0.9918785351480921</v>
      </c>
      <c r="X446" s="45">
        <f t="shared" si="76"/>
        <v>1</v>
      </c>
      <c r="Y446" s="45">
        <f t="shared" si="77"/>
        <v>0.99496862817466702</v>
      </c>
      <c r="Z446" s="45">
        <f t="shared" si="78"/>
        <v>1</v>
      </c>
      <c r="AA446" s="45">
        <f t="shared" si="79"/>
        <v>1</v>
      </c>
      <c r="AB446" s="45">
        <f t="shared" si="80"/>
        <v>1</v>
      </c>
      <c r="AC446" s="45">
        <f t="shared" si="81"/>
        <v>1</v>
      </c>
      <c r="AD446" s="45">
        <f t="shared" si="82"/>
        <v>0.97866120950809898</v>
      </c>
      <c r="AE446" s="45">
        <f t="shared" si="83"/>
        <v>1</v>
      </c>
      <c r="AF446" s="45">
        <f t="shared" si="84"/>
        <v>0.99901243993691802</v>
      </c>
      <c r="AG446" s="45">
        <f t="shared" si="85"/>
        <v>1</v>
      </c>
      <c r="AH446" s="45">
        <f t="shared" si="86"/>
        <v>1</v>
      </c>
      <c r="AI446" s="45">
        <f t="shared" si="87"/>
        <v>1</v>
      </c>
      <c r="AJ446" s="45">
        <f t="shared" si="88"/>
        <v>1</v>
      </c>
      <c r="AK446" s="45">
        <f t="shared" si="89"/>
        <v>1</v>
      </c>
      <c r="AL446" s="45">
        <f t="shared" si="90"/>
        <v>1</v>
      </c>
      <c r="AM446" s="45">
        <f t="shared" si="91"/>
        <v>1</v>
      </c>
      <c r="AN446" s="45">
        <f t="shared" si="92"/>
        <v>1</v>
      </c>
      <c r="AS446" s="50" cm="1">
        <f t="array" ref="AS446">SUMPRODUCT(($V446:$AN446&lt;=$I161)*(1))/COUNT($V446:$AN446)</f>
        <v>0</v>
      </c>
      <c r="AT446" s="50" cm="1">
        <f t="array" ref="AT446">SUMPRODUCT(($V446:$AN446&lt;=$J161)*(1))/COUNT($V446:$AN446)</f>
        <v>0</v>
      </c>
      <c r="AU446" s="50" cm="1">
        <f t="array" ref="AU446">SUMPRODUCT(($V446:$AN446&lt;=$K161)*(1))/COUNT($V446:$AN446)</f>
        <v>0</v>
      </c>
      <c r="AW446" s="52" cm="1">
        <f t="array" ref="AW446">SUMPRODUCT(($V446:$AN446&lt;=$I161)*(1))</f>
        <v>0</v>
      </c>
      <c r="AX446" s="52" cm="1">
        <f t="array" ref="AX446">SUMPRODUCT(($V446:$AN446&lt;=$J161)*(1))</f>
        <v>0</v>
      </c>
      <c r="AY446" s="52" cm="1">
        <f t="array" ref="AY446">SUMPRODUCT(($V446:$AN446&lt;=$K161)*(1))</f>
        <v>0</v>
      </c>
      <c r="BA446" s="52">
        <f t="shared" si="96"/>
        <v>0</v>
      </c>
      <c r="BB446" s="52">
        <f t="shared" si="97"/>
        <v>0</v>
      </c>
      <c r="BC446" s="52">
        <f t="shared" si="98"/>
        <v>0</v>
      </c>
      <c r="BE446" s="50">
        <f t="shared" si="93"/>
        <v>0</v>
      </c>
      <c r="BF446" s="50">
        <f t="shared" si="94"/>
        <v>0</v>
      </c>
      <c r="BG446" s="50">
        <f t="shared" si="95"/>
        <v>0</v>
      </c>
    </row>
    <row r="447" spans="4:59" ht="15.6">
      <c r="D447" s="44"/>
      <c r="M447" s="42"/>
      <c r="N447" s="39" t="s">
        <v>27</v>
      </c>
      <c r="O447" s="39" t="s">
        <v>172</v>
      </c>
      <c r="P447" t="s">
        <v>764</v>
      </c>
      <c r="R447" s="41"/>
      <c r="S447" s="42"/>
      <c r="T447" s="42"/>
      <c r="U447" s="42"/>
      <c r="V447" s="45">
        <f t="shared" si="74"/>
        <v>1</v>
      </c>
      <c r="W447" s="45">
        <f t="shared" si="75"/>
        <v>0.99911387416886099</v>
      </c>
      <c r="X447" s="45">
        <f t="shared" si="76"/>
        <v>1</v>
      </c>
      <c r="Y447" s="45">
        <f t="shared" si="77"/>
        <v>1</v>
      </c>
      <c r="Z447" s="45">
        <f t="shared" si="78"/>
        <v>1</v>
      </c>
      <c r="AA447" s="45">
        <f t="shared" si="79"/>
        <v>1</v>
      </c>
      <c r="AB447" s="45">
        <f t="shared" si="80"/>
        <v>1</v>
      </c>
      <c r="AC447" s="45">
        <f t="shared" si="81"/>
        <v>1</v>
      </c>
      <c r="AD447" s="45">
        <f t="shared" si="82"/>
        <v>0.99536571467447599</v>
      </c>
      <c r="AE447" s="45">
        <f t="shared" si="83"/>
        <v>1</v>
      </c>
      <c r="AF447" s="45">
        <f t="shared" si="84"/>
        <v>1</v>
      </c>
      <c r="AG447" s="45">
        <f t="shared" si="85"/>
        <v>1</v>
      </c>
      <c r="AH447" s="45">
        <f t="shared" si="86"/>
        <v>1</v>
      </c>
      <c r="AI447" s="45">
        <f t="shared" si="87"/>
        <v>1</v>
      </c>
      <c r="AJ447" s="45">
        <f t="shared" si="88"/>
        <v>1</v>
      </c>
      <c r="AK447" s="45">
        <f t="shared" si="89"/>
        <v>1</v>
      </c>
      <c r="AL447" s="45">
        <f t="shared" si="90"/>
        <v>1</v>
      </c>
      <c r="AM447" s="45">
        <f t="shared" si="91"/>
        <v>1</v>
      </c>
      <c r="AN447" s="45">
        <f t="shared" si="92"/>
        <v>1</v>
      </c>
      <c r="AS447" s="50" cm="1">
        <f t="array" ref="AS447">SUMPRODUCT(($V447:$AN447&lt;=$I162)*(1))/COUNT($V447:$AN447)</f>
        <v>0</v>
      </c>
      <c r="AT447" s="50" cm="1">
        <f t="array" ref="AT447">SUMPRODUCT(($V447:$AN447&lt;=$J162)*(1))/COUNT($V447:$AN447)</f>
        <v>0</v>
      </c>
      <c r="AU447" s="50" cm="1">
        <f t="array" ref="AU447">SUMPRODUCT(($V447:$AN447&lt;=$K162)*(1))/COUNT($V447:$AN447)</f>
        <v>0</v>
      </c>
      <c r="AW447" s="52" cm="1">
        <f t="array" ref="AW447">SUMPRODUCT(($V447:$AN447&lt;=$I162)*(1))</f>
        <v>0</v>
      </c>
      <c r="AX447" s="52" cm="1">
        <f t="array" ref="AX447">SUMPRODUCT(($V447:$AN447&lt;=$J162)*(1))</f>
        <v>0</v>
      </c>
      <c r="AY447" s="52" cm="1">
        <f t="array" ref="AY447">SUMPRODUCT(($V447:$AN447&lt;=$K162)*(1))</f>
        <v>0</v>
      </c>
      <c r="BA447" s="52">
        <f t="shared" si="96"/>
        <v>0</v>
      </c>
      <c r="BB447" s="52">
        <f t="shared" si="97"/>
        <v>0</v>
      </c>
      <c r="BC447" s="52">
        <f t="shared" si="98"/>
        <v>0</v>
      </c>
      <c r="BE447" s="50">
        <f t="shared" si="93"/>
        <v>0</v>
      </c>
      <c r="BF447" s="50">
        <f t="shared" si="94"/>
        <v>0</v>
      </c>
      <c r="BG447" s="50">
        <f t="shared" si="95"/>
        <v>0</v>
      </c>
    </row>
    <row r="448" spans="4:59" ht="15.6">
      <c r="D448" s="44"/>
      <c r="M448" s="42"/>
      <c r="N448" s="39" t="s">
        <v>27</v>
      </c>
      <c r="O448" s="39" t="s">
        <v>537</v>
      </c>
      <c r="P448" t="s">
        <v>765</v>
      </c>
      <c r="R448" s="41"/>
      <c r="S448" s="42"/>
      <c r="T448" s="42"/>
      <c r="U448" s="42"/>
      <c r="V448" s="45">
        <f t="shared" si="74"/>
        <v>1</v>
      </c>
      <c r="W448" s="45">
        <f t="shared" si="75"/>
        <v>0.99503666389189305</v>
      </c>
      <c r="X448" s="45">
        <f t="shared" si="76"/>
        <v>1</v>
      </c>
      <c r="Y448" s="45">
        <f t="shared" si="77"/>
        <v>1</v>
      </c>
      <c r="Z448" s="45">
        <f t="shared" si="78"/>
        <v>1</v>
      </c>
      <c r="AA448" s="45">
        <f t="shared" si="79"/>
        <v>1</v>
      </c>
      <c r="AB448" s="45">
        <f t="shared" si="80"/>
        <v>1</v>
      </c>
      <c r="AC448" s="45">
        <f t="shared" si="81"/>
        <v>1</v>
      </c>
      <c r="AD448" s="45">
        <f t="shared" si="82"/>
        <v>0.98079572589188602</v>
      </c>
      <c r="AE448" s="45">
        <f t="shared" si="83"/>
        <v>0.99809597623414303</v>
      </c>
      <c r="AF448" s="45">
        <f t="shared" si="84"/>
        <v>1</v>
      </c>
      <c r="AG448" s="45">
        <f t="shared" si="85"/>
        <v>1</v>
      </c>
      <c r="AH448" s="45">
        <f t="shared" si="86"/>
        <v>1</v>
      </c>
      <c r="AI448" s="45">
        <f t="shared" si="87"/>
        <v>1</v>
      </c>
      <c r="AJ448" s="45">
        <f t="shared" si="88"/>
        <v>1</v>
      </c>
      <c r="AK448" s="45">
        <f t="shared" si="89"/>
        <v>1</v>
      </c>
      <c r="AL448" s="45">
        <f t="shared" si="90"/>
        <v>1</v>
      </c>
      <c r="AM448" s="45">
        <f t="shared" si="91"/>
        <v>1</v>
      </c>
      <c r="AN448" s="45">
        <f t="shared" si="92"/>
        <v>1</v>
      </c>
      <c r="AS448" s="50" cm="1">
        <f t="array" ref="AS448">SUMPRODUCT(($V448:$AN448&lt;=$I163)*(1))/COUNT($V448:$AN448)</f>
        <v>0</v>
      </c>
      <c r="AT448" s="50" cm="1">
        <f t="array" ref="AT448">SUMPRODUCT(($V448:$AN448&lt;=$J163)*(1))/COUNT($V448:$AN448)</f>
        <v>0</v>
      </c>
      <c r="AU448" s="50" cm="1">
        <f t="array" ref="AU448">SUMPRODUCT(($V448:$AN448&lt;=$K163)*(1))/COUNT($V448:$AN448)</f>
        <v>0</v>
      </c>
      <c r="AW448" s="52" cm="1">
        <f t="array" ref="AW448">SUMPRODUCT(($V448:$AN448&lt;=$I163)*(1))</f>
        <v>0</v>
      </c>
      <c r="AX448" s="52" cm="1">
        <f t="array" ref="AX448">SUMPRODUCT(($V448:$AN448&lt;=$J163)*(1))</f>
        <v>0</v>
      </c>
      <c r="AY448" s="52" cm="1">
        <f t="array" ref="AY448">SUMPRODUCT(($V448:$AN448&lt;=$K163)*(1))</f>
        <v>0</v>
      </c>
      <c r="BA448" s="52">
        <f t="shared" si="96"/>
        <v>0</v>
      </c>
      <c r="BB448" s="52">
        <f t="shared" si="97"/>
        <v>0</v>
      </c>
      <c r="BC448" s="52">
        <f t="shared" si="98"/>
        <v>0</v>
      </c>
      <c r="BE448" s="50">
        <f t="shared" si="93"/>
        <v>0</v>
      </c>
      <c r="BF448" s="50">
        <f t="shared" si="94"/>
        <v>0</v>
      </c>
      <c r="BG448" s="50">
        <f t="shared" si="95"/>
        <v>0</v>
      </c>
    </row>
    <row r="449" spans="4:59" ht="15.6">
      <c r="D449" s="44"/>
      <c r="M449" s="42"/>
      <c r="N449" s="39" t="s">
        <v>27</v>
      </c>
      <c r="O449" s="39" t="s">
        <v>609</v>
      </c>
      <c r="P449" t="s">
        <v>766</v>
      </c>
      <c r="R449" s="41"/>
      <c r="S449" s="42"/>
      <c r="T449" s="42"/>
      <c r="U449" s="42"/>
      <c r="V449" s="45">
        <f t="shared" si="74"/>
        <v>1.0031993065817943</v>
      </c>
      <c r="W449" s="45">
        <f t="shared" si="75"/>
        <v>0.93078987314179418</v>
      </c>
      <c r="X449" s="45">
        <f t="shared" si="76"/>
        <v>1.0046134732853753</v>
      </c>
      <c r="Y449" s="45">
        <f t="shared" si="77"/>
        <v>1.0054362303555924</v>
      </c>
      <c r="Z449" s="45">
        <f t="shared" si="78"/>
        <v>0.98823801571008907</v>
      </c>
      <c r="AA449" s="45">
        <f t="shared" si="79"/>
        <v>1.0009434208784165</v>
      </c>
      <c r="AB449" s="45">
        <f t="shared" si="80"/>
        <v>1.0008764991463477</v>
      </c>
      <c r="AC449" s="45">
        <f t="shared" si="81"/>
        <v>0.84743729773322074</v>
      </c>
      <c r="AD449" s="45">
        <f t="shared" si="82"/>
        <v>0.9588842184155848</v>
      </c>
      <c r="AE449" s="45">
        <f t="shared" si="83"/>
        <v>1.0109816963849667</v>
      </c>
      <c r="AF449" s="45">
        <f t="shared" si="84"/>
        <v>0.99404441660857734</v>
      </c>
      <c r="AG449" s="45">
        <f t="shared" si="85"/>
        <v>0.99852833659360241</v>
      </c>
      <c r="AH449" s="45">
        <f t="shared" si="86"/>
        <v>1.0053613635424903</v>
      </c>
      <c r="AI449" s="45">
        <f t="shared" si="87"/>
        <v>1.0058577480258004</v>
      </c>
      <c r="AJ449" s="45">
        <f t="shared" si="88"/>
        <v>0.9565035764934805</v>
      </c>
      <c r="AK449" s="45">
        <f t="shared" si="89"/>
        <v>1.009264356696151</v>
      </c>
      <c r="AL449" s="45">
        <f t="shared" si="90"/>
        <v>1.0008707471363663</v>
      </c>
      <c r="AM449" s="45">
        <f t="shared" si="91"/>
        <v>1.004115094194191</v>
      </c>
      <c r="AN449" s="45">
        <f t="shared" si="92"/>
        <v>0.96661834190551454</v>
      </c>
      <c r="AS449" s="50" cm="1">
        <f t="array" ref="AS449">SUMPRODUCT(($V449:$AN449&lt;=$I164)*(1))/COUNT($V449:$AN449)</f>
        <v>0.10526315789473684</v>
      </c>
      <c r="AT449" s="50" cm="1">
        <f t="array" ref="AT449">SUMPRODUCT(($V449:$AN449&lt;=$J164)*(1))/COUNT($V449:$AN449)</f>
        <v>5.2631578947368418E-2</v>
      </c>
      <c r="AU449" s="50" cm="1">
        <f t="array" ref="AU449">SUMPRODUCT(($V449:$AN449&lt;=$K164)*(1))/COUNT($V449:$AN449)</f>
        <v>0</v>
      </c>
      <c r="AW449" s="52" cm="1">
        <f t="array" ref="AW449">SUMPRODUCT(($V449:$AN449&lt;=$I164)*(1))</f>
        <v>2</v>
      </c>
      <c r="AX449" s="52" cm="1">
        <f t="array" ref="AX449">SUMPRODUCT(($V449:$AN449&lt;=$J164)*(1))</f>
        <v>1</v>
      </c>
      <c r="AY449" s="52" cm="1">
        <f t="array" ref="AY449">SUMPRODUCT(($V449:$AN449&lt;=$K164)*(1))</f>
        <v>0</v>
      </c>
      <c r="BA449" s="52">
        <f t="shared" si="96"/>
        <v>1</v>
      </c>
      <c r="BB449" s="52">
        <f t="shared" si="97"/>
        <v>1</v>
      </c>
      <c r="BC449" s="52">
        <f t="shared" si="98"/>
        <v>0</v>
      </c>
      <c r="BE449" s="50">
        <f t="shared" si="93"/>
        <v>5.2631578947368418E-2</v>
      </c>
      <c r="BF449" s="50">
        <f t="shared" si="94"/>
        <v>5.2631578947368418E-2</v>
      </c>
      <c r="BG449" s="50">
        <f t="shared" si="95"/>
        <v>0</v>
      </c>
    </row>
    <row r="450" spans="4:59" ht="15.6">
      <c r="D450" s="44"/>
      <c r="M450" s="42"/>
      <c r="N450" s="39" t="s">
        <v>27</v>
      </c>
      <c r="O450" s="39" t="s">
        <v>542</v>
      </c>
      <c r="P450" t="s">
        <v>767</v>
      </c>
      <c r="R450" s="41"/>
      <c r="S450" s="42"/>
      <c r="T450" s="42"/>
      <c r="U450" s="42"/>
      <c r="V450" s="45">
        <f t="shared" si="74"/>
        <v>1.0158258543280942</v>
      </c>
      <c r="W450" s="45">
        <f t="shared" si="75"/>
        <v>0.90201875507644824</v>
      </c>
      <c r="X450" s="45">
        <f t="shared" si="76"/>
        <v>1.0259159721896909</v>
      </c>
      <c r="Y450" s="45">
        <f t="shared" si="77"/>
        <v>0.9933647933121621</v>
      </c>
      <c r="Z450" s="45">
        <f t="shared" si="78"/>
        <v>0.86451118313313524</v>
      </c>
      <c r="AA450" s="45">
        <f t="shared" si="79"/>
        <v>0.90087007999458402</v>
      </c>
      <c r="AB450" s="45">
        <f t="shared" si="80"/>
        <v>1.1285515738111673</v>
      </c>
      <c r="AC450" s="45">
        <f t="shared" si="81"/>
        <v>1.0089247333171971</v>
      </c>
      <c r="AD450" s="45">
        <f t="shared" si="82"/>
        <v>0.9197450030213844</v>
      </c>
      <c r="AE450" s="45">
        <f t="shared" si="83"/>
        <v>0.98776108275735119</v>
      </c>
      <c r="AF450" s="45">
        <f t="shared" si="84"/>
        <v>0.86264483007064352</v>
      </c>
      <c r="AG450" s="45">
        <f t="shared" si="85"/>
        <v>1.0393748714958078</v>
      </c>
      <c r="AH450" s="45">
        <f t="shared" si="86"/>
        <v>1.1097685963446111</v>
      </c>
      <c r="AI450" s="45">
        <f t="shared" si="87"/>
        <v>1.0718815520688454</v>
      </c>
      <c r="AJ450" s="45">
        <f t="shared" si="88"/>
        <v>1.0205638807176891</v>
      </c>
      <c r="AK450" s="45">
        <f t="shared" si="89"/>
        <v>1.0561760099701387</v>
      </c>
      <c r="AL450" s="45">
        <f t="shared" si="90"/>
        <v>1.0432006719949265</v>
      </c>
      <c r="AM450" s="45">
        <f t="shared" si="91"/>
        <v>1.0118197664736275</v>
      </c>
      <c r="AN450" s="45">
        <f t="shared" si="92"/>
        <v>0.94191031856027052</v>
      </c>
      <c r="AS450" s="50" cm="1">
        <f t="array" ref="AS450">SUMPRODUCT(($V450:$AN450&lt;=$I165)*(1))/COUNT($V450:$AN450)</f>
        <v>0.31578947368421051</v>
      </c>
      <c r="AT450" s="50" cm="1">
        <f t="array" ref="AT450">SUMPRODUCT(($V450:$AN450&lt;=$J165)*(1))/COUNT($V450:$AN450)</f>
        <v>0</v>
      </c>
      <c r="AU450" s="50" cm="1">
        <f t="array" ref="AU450">SUMPRODUCT(($V450:$AN450&lt;=$K165)*(1))/COUNT($V450:$AN450)</f>
        <v>0</v>
      </c>
      <c r="AW450" s="52" cm="1">
        <f t="array" ref="AW450">SUMPRODUCT(($V450:$AN450&lt;=$I165)*(1))</f>
        <v>6</v>
      </c>
      <c r="AX450" s="52" cm="1">
        <f t="array" ref="AX450">SUMPRODUCT(($V450:$AN450&lt;=$J165)*(1))</f>
        <v>0</v>
      </c>
      <c r="AY450" s="52" cm="1">
        <f t="array" ref="AY450">SUMPRODUCT(($V450:$AN450&lt;=$K165)*(1))</f>
        <v>0</v>
      </c>
      <c r="BA450" s="52">
        <f t="shared" si="96"/>
        <v>6</v>
      </c>
      <c r="BB450" s="52">
        <f t="shared" si="97"/>
        <v>0</v>
      </c>
      <c r="BC450" s="52">
        <f t="shared" si="98"/>
        <v>0</v>
      </c>
      <c r="BE450" s="50">
        <f t="shared" si="93"/>
        <v>0.31578947368421051</v>
      </c>
      <c r="BF450" s="50">
        <f t="shared" si="94"/>
        <v>0</v>
      </c>
      <c r="BG450" s="50">
        <f t="shared" si="95"/>
        <v>0</v>
      </c>
    </row>
    <row r="451" spans="4:59" ht="15.6">
      <c r="D451" s="44"/>
      <c r="M451" s="42"/>
      <c r="N451" s="39" t="s">
        <v>27</v>
      </c>
      <c r="O451" s="39" t="s">
        <v>537</v>
      </c>
      <c r="P451" t="s">
        <v>768</v>
      </c>
      <c r="R451" s="41"/>
      <c r="S451" s="42"/>
      <c r="T451" s="42"/>
      <c r="U451" s="42"/>
      <c r="V451" s="45">
        <f t="shared" si="74"/>
        <v>0.99918049172691281</v>
      </c>
      <c r="W451" s="45">
        <f t="shared" si="75"/>
        <v>0.97029103270298045</v>
      </c>
      <c r="X451" s="45">
        <f t="shared" si="76"/>
        <v>1.009066355036665</v>
      </c>
      <c r="Y451" s="45">
        <f t="shared" si="77"/>
        <v>0.99743414395098795</v>
      </c>
      <c r="Z451" s="45">
        <f t="shared" si="78"/>
        <v>0.99186355780760349</v>
      </c>
      <c r="AA451" s="45">
        <f t="shared" si="79"/>
        <v>1.0066333043387368</v>
      </c>
      <c r="AB451" s="45">
        <f t="shared" si="80"/>
        <v>1.0093752553814768</v>
      </c>
      <c r="AC451" s="45">
        <f t="shared" si="81"/>
        <v>1.0027238826998091</v>
      </c>
      <c r="AD451" s="45">
        <f t="shared" si="82"/>
        <v>0.9628203472931216</v>
      </c>
      <c r="AE451" s="45">
        <f t="shared" si="83"/>
        <v>0.89619457655494361</v>
      </c>
      <c r="AF451" s="45">
        <f t="shared" si="84"/>
        <v>0.99001270773609618</v>
      </c>
      <c r="AG451" s="45">
        <f t="shared" si="85"/>
        <v>1.0061495846022768</v>
      </c>
      <c r="AH451" s="45">
        <f t="shared" si="86"/>
        <v>1.0090015890321993</v>
      </c>
      <c r="AI451" s="45">
        <f t="shared" si="87"/>
        <v>1.0009969856479637</v>
      </c>
      <c r="AJ451" s="45">
        <f t="shared" si="88"/>
        <v>0.99720415249164962</v>
      </c>
      <c r="AK451" s="45">
        <f t="shared" si="89"/>
        <v>1.003797728985901</v>
      </c>
      <c r="AL451" s="45">
        <f t="shared" si="90"/>
        <v>1.0080025049202155</v>
      </c>
      <c r="AM451" s="45">
        <f t="shared" si="91"/>
        <v>1.0011146998978693</v>
      </c>
      <c r="AN451" s="45">
        <f t="shared" si="92"/>
        <v>0.99928768710404692</v>
      </c>
      <c r="AS451" s="50" cm="1">
        <f t="array" ref="AS451">SUMPRODUCT(($V451:$AN451&lt;=$I166)*(1))/COUNT($V451:$AN451)</f>
        <v>5.2631578947368418E-2</v>
      </c>
      <c r="AT451" s="50" cm="1">
        <f t="array" ref="AT451">SUMPRODUCT(($V451:$AN451&lt;=$J166)*(1))/COUNT($V451:$AN451)</f>
        <v>0</v>
      </c>
      <c r="AU451" s="50" cm="1">
        <f t="array" ref="AU451">SUMPRODUCT(($V451:$AN451&lt;=$K166)*(1))/COUNT($V451:$AN451)</f>
        <v>0</v>
      </c>
      <c r="AW451" s="52" cm="1">
        <f t="array" ref="AW451">SUMPRODUCT(($V451:$AN451&lt;=$I166)*(1))</f>
        <v>1</v>
      </c>
      <c r="AX451" s="52" cm="1">
        <f t="array" ref="AX451">SUMPRODUCT(($V451:$AN451&lt;=$J166)*(1))</f>
        <v>0</v>
      </c>
      <c r="AY451" s="52" cm="1">
        <f t="array" ref="AY451">SUMPRODUCT(($V451:$AN451&lt;=$K166)*(1))</f>
        <v>0</v>
      </c>
      <c r="BA451" s="52">
        <f t="shared" si="96"/>
        <v>1</v>
      </c>
      <c r="BB451" s="52">
        <f t="shared" si="97"/>
        <v>0</v>
      </c>
      <c r="BC451" s="52">
        <f t="shared" si="98"/>
        <v>0</v>
      </c>
      <c r="BE451" s="50">
        <f t="shared" si="93"/>
        <v>5.2631578947368418E-2</v>
      </c>
      <c r="BF451" s="50">
        <f t="shared" si="94"/>
        <v>0</v>
      </c>
      <c r="BG451" s="50">
        <f t="shared" si="95"/>
        <v>0</v>
      </c>
    </row>
    <row r="452" spans="4:59" ht="15.6">
      <c r="D452" s="44"/>
      <c r="M452" s="42"/>
      <c r="N452" s="39" t="s">
        <v>26</v>
      </c>
      <c r="O452" s="39" t="s">
        <v>251</v>
      </c>
      <c r="P452" t="s">
        <v>665</v>
      </c>
      <c r="R452" s="41"/>
      <c r="S452" s="42"/>
      <c r="T452" s="42"/>
      <c r="U452" s="42"/>
      <c r="V452" s="45">
        <f t="shared" si="74"/>
        <v>1.0653131951981107</v>
      </c>
      <c r="W452" s="45">
        <f t="shared" si="75"/>
        <v>1.0140986592497099</v>
      </c>
      <c r="X452" s="45">
        <f t="shared" si="76"/>
        <v>1.1486802831416343</v>
      </c>
      <c r="Y452" s="45">
        <f t="shared" si="77"/>
        <v>1.0150669549901332</v>
      </c>
      <c r="Z452" s="45">
        <f t="shared" si="78"/>
        <v>1.1158974066098934</v>
      </c>
      <c r="AA452" s="45">
        <f t="shared" si="79"/>
        <v>1.0995679421982518</v>
      </c>
      <c r="AB452" s="45">
        <f t="shared" si="80"/>
        <v>0.96912285509044294</v>
      </c>
      <c r="AC452" s="45">
        <f t="shared" si="81"/>
        <v>0.82009662590104859</v>
      </c>
      <c r="AD452" s="45">
        <f t="shared" si="82"/>
        <v>0.79341941945560057</v>
      </c>
      <c r="AE452" s="45">
        <f t="shared" si="83"/>
        <v>0.74898904143080403</v>
      </c>
      <c r="AF452" s="45">
        <f t="shared" si="84"/>
        <v>0.73142866220873548</v>
      </c>
      <c r="AG452" s="45">
        <f t="shared" si="85"/>
        <v>1.3170339667154931</v>
      </c>
      <c r="AH452" s="45">
        <f t="shared" si="86"/>
        <v>1.1664021138751026</v>
      </c>
      <c r="AI452" s="45">
        <f t="shared" si="87"/>
        <v>1.1757111165920446</v>
      </c>
      <c r="AJ452" s="45">
        <f t="shared" si="88"/>
        <v>0.88261494581556332</v>
      </c>
      <c r="AK452" s="45">
        <f t="shared" si="89"/>
        <v>1.129142300968532</v>
      </c>
      <c r="AL452" s="45">
        <f t="shared" si="90"/>
        <v>1.0743855458233358</v>
      </c>
      <c r="AM452" s="45">
        <f t="shared" si="91"/>
        <v>1.11319476552365</v>
      </c>
      <c r="AN452" s="45">
        <f t="shared" si="92"/>
        <v>0.89054015220305427</v>
      </c>
      <c r="AS452" s="50" cm="1">
        <f t="array" ref="AS452">SUMPRODUCT(($V452:$AN452&lt;=$I167)*(1))/COUNT($V452:$AN452)</f>
        <v>0.31578947368421051</v>
      </c>
      <c r="AT452" s="50" cm="1">
        <f t="array" ref="AT452">SUMPRODUCT(($V452:$AN452&lt;=$J167)*(1))/COUNT($V452:$AN452)</f>
        <v>0.21052631578947367</v>
      </c>
      <c r="AU452" s="50" cm="1">
        <f t="array" ref="AU452">SUMPRODUCT(($V452:$AN452&lt;=$K167)*(1))/COUNT($V452:$AN452)</f>
        <v>0.10526315789473684</v>
      </c>
      <c r="AW452" s="52" cm="1">
        <f t="array" ref="AW452">SUMPRODUCT(($V452:$AN452&lt;=$I167)*(1))</f>
        <v>6</v>
      </c>
      <c r="AX452" s="52" cm="1">
        <f t="array" ref="AX452">SUMPRODUCT(($V452:$AN452&lt;=$J167)*(1))</f>
        <v>4</v>
      </c>
      <c r="AY452" s="52" cm="1">
        <f t="array" ref="AY452">SUMPRODUCT(($V452:$AN452&lt;=$K167)*(1))</f>
        <v>2</v>
      </c>
      <c r="BA452" s="52">
        <f t="shared" si="96"/>
        <v>2</v>
      </c>
      <c r="BB452" s="52">
        <f t="shared" si="97"/>
        <v>2</v>
      </c>
      <c r="BC452" s="52">
        <f t="shared" si="98"/>
        <v>2</v>
      </c>
      <c r="BE452" s="50">
        <f t="shared" si="93"/>
        <v>0.10526315789473684</v>
      </c>
      <c r="BF452" s="50">
        <f t="shared" si="94"/>
        <v>0.10526315789473684</v>
      </c>
      <c r="BG452" s="50">
        <f t="shared" si="95"/>
        <v>0.10526315789473684</v>
      </c>
    </row>
    <row r="453" spans="4:59" ht="15.6">
      <c r="D453" s="44"/>
      <c r="M453" s="42"/>
      <c r="N453" s="39" t="s">
        <v>27</v>
      </c>
      <c r="O453" s="39" t="s">
        <v>169</v>
      </c>
      <c r="P453" t="s">
        <v>769</v>
      </c>
      <c r="R453" s="41"/>
      <c r="S453" s="42"/>
      <c r="T453" s="42"/>
      <c r="U453" s="42"/>
      <c r="V453" s="45">
        <f t="shared" si="74"/>
        <v>1</v>
      </c>
      <c r="W453" s="45">
        <f t="shared" si="75"/>
        <v>1</v>
      </c>
      <c r="X453" s="45">
        <f t="shared" si="76"/>
        <v>1</v>
      </c>
      <c r="Y453" s="45">
        <f t="shared" si="77"/>
        <v>1</v>
      </c>
      <c r="Z453" s="45">
        <f t="shared" si="78"/>
        <v>1</v>
      </c>
      <c r="AA453" s="45">
        <f t="shared" si="79"/>
        <v>1</v>
      </c>
      <c r="AB453" s="45">
        <f t="shared" si="80"/>
        <v>1</v>
      </c>
      <c r="AC453" s="45">
        <f t="shared" si="81"/>
        <v>1</v>
      </c>
      <c r="AD453" s="45">
        <f t="shared" si="82"/>
        <v>0.99884688033714697</v>
      </c>
      <c r="AE453" s="45">
        <f t="shared" si="83"/>
        <v>0.99988740198181802</v>
      </c>
      <c r="AF453" s="45">
        <f t="shared" si="84"/>
        <v>1</v>
      </c>
      <c r="AG453" s="45">
        <f t="shared" si="85"/>
        <v>1</v>
      </c>
      <c r="AH453" s="45">
        <f t="shared" si="86"/>
        <v>1</v>
      </c>
      <c r="AI453" s="45">
        <f t="shared" si="87"/>
        <v>1</v>
      </c>
      <c r="AJ453" s="45">
        <f t="shared" si="88"/>
        <v>1</v>
      </c>
      <c r="AK453" s="45">
        <f t="shared" si="89"/>
        <v>1</v>
      </c>
      <c r="AL453" s="45">
        <f t="shared" si="90"/>
        <v>1</v>
      </c>
      <c r="AM453" s="45">
        <f t="shared" si="91"/>
        <v>1</v>
      </c>
      <c r="AN453" s="45">
        <f t="shared" si="92"/>
        <v>1</v>
      </c>
      <c r="AS453" s="50" cm="1">
        <f t="array" ref="AS453">SUMPRODUCT(($V453:$AN453&lt;=$I168)*(1))/COUNT($V453:$AN453)</f>
        <v>0</v>
      </c>
      <c r="AT453" s="50" cm="1">
        <f t="array" ref="AT453">SUMPRODUCT(($V453:$AN453&lt;=$J168)*(1))/COUNT($V453:$AN453)</f>
        <v>0</v>
      </c>
      <c r="AU453" s="50" cm="1">
        <f t="array" ref="AU453">SUMPRODUCT(($V453:$AN453&lt;=$K168)*(1))/COUNT($V453:$AN453)</f>
        <v>0</v>
      </c>
      <c r="AW453" s="52" cm="1">
        <f t="array" ref="AW453">SUMPRODUCT(($V453:$AN453&lt;=$I168)*(1))</f>
        <v>0</v>
      </c>
      <c r="AX453" s="52" cm="1">
        <f t="array" ref="AX453">SUMPRODUCT(($V453:$AN453&lt;=$J168)*(1))</f>
        <v>0</v>
      </c>
      <c r="AY453" s="52" cm="1">
        <f t="array" ref="AY453">SUMPRODUCT(($V453:$AN453&lt;=$K168)*(1))</f>
        <v>0</v>
      </c>
      <c r="BA453" s="52">
        <f t="shared" si="96"/>
        <v>0</v>
      </c>
      <c r="BB453" s="52">
        <f t="shared" si="97"/>
        <v>0</v>
      </c>
      <c r="BC453" s="52">
        <f t="shared" si="98"/>
        <v>0</v>
      </c>
      <c r="BE453" s="50">
        <f t="shared" si="93"/>
        <v>0</v>
      </c>
      <c r="BF453" s="50">
        <f t="shared" si="94"/>
        <v>0</v>
      </c>
      <c r="BG453" s="50">
        <f t="shared" si="95"/>
        <v>0</v>
      </c>
    </row>
    <row r="454" spans="4:59" ht="15.6">
      <c r="D454" s="44"/>
      <c r="M454" s="42"/>
      <c r="N454" s="39" t="s">
        <v>27</v>
      </c>
      <c r="O454" s="39" t="s">
        <v>472</v>
      </c>
      <c r="P454" t="s">
        <v>770</v>
      </c>
      <c r="R454" s="41"/>
      <c r="S454" s="42"/>
      <c r="T454" s="42"/>
      <c r="U454" s="42"/>
      <c r="V454" s="45">
        <f t="shared" si="74"/>
        <v>1.0000995953107212</v>
      </c>
      <c r="W454" s="45">
        <f t="shared" si="75"/>
        <v>1.000079577946053</v>
      </c>
      <c r="X454" s="45">
        <f t="shared" si="76"/>
        <v>1.0000995953107212</v>
      </c>
      <c r="Y454" s="45">
        <f t="shared" si="77"/>
        <v>0.98771224352011755</v>
      </c>
      <c r="Z454" s="45">
        <f t="shared" si="78"/>
        <v>0.99767864370014103</v>
      </c>
      <c r="AA454" s="45">
        <f t="shared" si="79"/>
        <v>1.0000200157718542</v>
      </c>
      <c r="AB454" s="45">
        <f t="shared" si="80"/>
        <v>1.0000200157718542</v>
      </c>
      <c r="AC454" s="45">
        <f t="shared" si="81"/>
        <v>1</v>
      </c>
      <c r="AD454" s="45">
        <f t="shared" si="82"/>
        <v>0.97171676109816796</v>
      </c>
      <c r="AE454" s="45">
        <f t="shared" si="83"/>
        <v>0.994904514517299</v>
      </c>
      <c r="AF454" s="45">
        <f t="shared" si="84"/>
        <v>0.98662686066212302</v>
      </c>
      <c r="AG454" s="45">
        <f t="shared" si="85"/>
        <v>0.96806216114410704</v>
      </c>
      <c r="AH454" s="45">
        <f t="shared" si="86"/>
        <v>1.0131609652155089</v>
      </c>
      <c r="AI454" s="45">
        <f t="shared" si="87"/>
        <v>1.0063395521032394</v>
      </c>
      <c r="AJ454" s="45">
        <f t="shared" si="88"/>
        <v>0.90937608096968225</v>
      </c>
      <c r="AK454" s="45">
        <f t="shared" si="89"/>
        <v>1.012512591215148</v>
      </c>
      <c r="AL454" s="45">
        <f t="shared" si="90"/>
        <v>1.0071694013780623</v>
      </c>
      <c r="AM454" s="45">
        <f t="shared" si="91"/>
        <v>1.0010289383744735</v>
      </c>
      <c r="AN454" s="45">
        <f t="shared" si="92"/>
        <v>1.0007833004930831</v>
      </c>
      <c r="AS454" s="50" cm="1">
        <f t="array" ref="AS454">SUMPRODUCT(($V454:$AN454&lt;=$I169)*(1))/COUNT($V454:$AN454)</f>
        <v>5.2631578947368418E-2</v>
      </c>
      <c r="AT454" s="50" cm="1">
        <f t="array" ref="AT454">SUMPRODUCT(($V454:$AN454&lt;=$J169)*(1))/COUNT($V454:$AN454)</f>
        <v>0</v>
      </c>
      <c r="AU454" s="50" cm="1">
        <f t="array" ref="AU454">SUMPRODUCT(($V454:$AN454&lt;=$K169)*(1))/COUNT($V454:$AN454)</f>
        <v>0</v>
      </c>
      <c r="AW454" s="52" cm="1">
        <f t="array" ref="AW454">SUMPRODUCT(($V454:$AN454&lt;=$I169)*(1))</f>
        <v>1</v>
      </c>
      <c r="AX454" s="52" cm="1">
        <f t="array" ref="AX454">SUMPRODUCT(($V454:$AN454&lt;=$J169)*(1))</f>
        <v>0</v>
      </c>
      <c r="AY454" s="52" cm="1">
        <f t="array" ref="AY454">SUMPRODUCT(($V454:$AN454&lt;=$K169)*(1))</f>
        <v>0</v>
      </c>
      <c r="BA454" s="52">
        <f t="shared" si="96"/>
        <v>1</v>
      </c>
      <c r="BB454" s="52">
        <f t="shared" si="97"/>
        <v>0</v>
      </c>
      <c r="BC454" s="52">
        <f t="shared" si="98"/>
        <v>0</v>
      </c>
      <c r="BE454" s="50">
        <f t="shared" si="93"/>
        <v>5.2631578947368418E-2</v>
      </c>
      <c r="BF454" s="50">
        <f t="shared" si="94"/>
        <v>0</v>
      </c>
      <c r="BG454" s="50">
        <f t="shared" si="95"/>
        <v>0</v>
      </c>
    </row>
    <row r="455" spans="4:59" ht="15.6">
      <c r="D455" s="44"/>
      <c r="M455" s="42"/>
      <c r="N455" s="39" t="s">
        <v>27</v>
      </c>
      <c r="O455" s="39" t="s">
        <v>517</v>
      </c>
      <c r="P455" t="s">
        <v>771</v>
      </c>
      <c r="R455" s="41"/>
      <c r="S455" s="42"/>
      <c r="T455" s="42"/>
      <c r="U455" s="42"/>
      <c r="V455" s="45">
        <f t="shared" si="74"/>
        <v>1.0212137344954972</v>
      </c>
      <c r="W455" s="45">
        <f t="shared" si="75"/>
        <v>0.93241253423747794</v>
      </c>
      <c r="X455" s="45">
        <f t="shared" si="76"/>
        <v>1.0311595035349901</v>
      </c>
      <c r="Y455" s="45">
        <f t="shared" si="77"/>
        <v>1.0311266294014354</v>
      </c>
      <c r="Z455" s="45">
        <f t="shared" si="78"/>
        <v>0.97412957456361848</v>
      </c>
      <c r="AA455" s="45">
        <f t="shared" si="79"/>
        <v>1.0087862095366213</v>
      </c>
      <c r="AB455" s="45">
        <f t="shared" si="80"/>
        <v>0.99745744183349339</v>
      </c>
      <c r="AC455" s="45">
        <f t="shared" si="81"/>
        <v>0.93891966933130822</v>
      </c>
      <c r="AD455" s="45">
        <f t="shared" si="82"/>
        <v>0.86336107118358463</v>
      </c>
      <c r="AE455" s="45">
        <f t="shared" si="83"/>
        <v>0.98152774839863011</v>
      </c>
      <c r="AF455" s="45">
        <f t="shared" si="84"/>
        <v>0.89878392912663096</v>
      </c>
      <c r="AG455" s="45">
        <f t="shared" si="85"/>
        <v>1.0140514614639784</v>
      </c>
      <c r="AH455" s="45">
        <f t="shared" si="86"/>
        <v>1.0498971396465409</v>
      </c>
      <c r="AI455" s="45">
        <f t="shared" si="87"/>
        <v>1.0302742619583076</v>
      </c>
      <c r="AJ455" s="45">
        <f t="shared" si="88"/>
        <v>0.90492415960089378</v>
      </c>
      <c r="AK455" s="45">
        <f t="shared" si="89"/>
        <v>1.0486876991457961</v>
      </c>
      <c r="AL455" s="45">
        <f t="shared" si="90"/>
        <v>1.0241143348047648</v>
      </c>
      <c r="AM455" s="45">
        <f t="shared" si="91"/>
        <v>1.0146488964955074</v>
      </c>
      <c r="AN455" s="45">
        <f t="shared" si="92"/>
        <v>0.88296694647738905</v>
      </c>
      <c r="AS455" s="50" cm="1">
        <f t="array" ref="AS455">SUMPRODUCT(($V455:$AN455&lt;=$I170)*(1))/COUNT($V455:$AN455)</f>
        <v>0.31578947368421051</v>
      </c>
      <c r="AT455" s="50" cm="1">
        <f t="array" ref="AT455">SUMPRODUCT(($V455:$AN455&lt;=$J170)*(1))/COUNT($V455:$AN455)</f>
        <v>0</v>
      </c>
      <c r="AU455" s="50" cm="1">
        <f t="array" ref="AU455">SUMPRODUCT(($V455:$AN455&lt;=$K170)*(1))/COUNT($V455:$AN455)</f>
        <v>0</v>
      </c>
      <c r="AW455" s="52" cm="1">
        <f t="array" ref="AW455">SUMPRODUCT(($V455:$AN455&lt;=$I170)*(1))</f>
        <v>6</v>
      </c>
      <c r="AX455" s="52" cm="1">
        <f t="array" ref="AX455">SUMPRODUCT(($V455:$AN455&lt;=$J170)*(1))</f>
        <v>0</v>
      </c>
      <c r="AY455" s="52" cm="1">
        <f t="array" ref="AY455">SUMPRODUCT(($V455:$AN455&lt;=$K170)*(1))</f>
        <v>0</v>
      </c>
      <c r="BA455" s="52">
        <f t="shared" si="96"/>
        <v>6</v>
      </c>
      <c r="BB455" s="52">
        <f t="shared" si="97"/>
        <v>0</v>
      </c>
      <c r="BC455" s="52">
        <f t="shared" si="98"/>
        <v>0</v>
      </c>
      <c r="BE455" s="50">
        <f t="shared" si="93"/>
        <v>0.31578947368421051</v>
      </c>
      <c r="BF455" s="50">
        <f t="shared" si="94"/>
        <v>0</v>
      </c>
      <c r="BG455" s="50">
        <f t="shared" si="95"/>
        <v>0</v>
      </c>
    </row>
    <row r="456" spans="4:59" ht="15.6">
      <c r="D456" s="44"/>
      <c r="M456" s="42"/>
      <c r="N456" s="39" t="s">
        <v>27</v>
      </c>
      <c r="O456" s="39" t="s">
        <v>572</v>
      </c>
      <c r="P456" t="s">
        <v>772</v>
      </c>
      <c r="R456" s="41"/>
      <c r="S456" s="42"/>
      <c r="T456" s="42"/>
      <c r="U456" s="42"/>
      <c r="V456" s="45">
        <f t="shared" si="74"/>
        <v>1</v>
      </c>
      <c r="W456" s="45">
        <f t="shared" si="75"/>
        <v>1</v>
      </c>
      <c r="X456" s="45">
        <f t="shared" si="76"/>
        <v>1</v>
      </c>
      <c r="Y456" s="45">
        <f t="shared" si="77"/>
        <v>1</v>
      </c>
      <c r="Z456" s="45">
        <f t="shared" si="78"/>
        <v>1</v>
      </c>
      <c r="AA456" s="45">
        <f t="shared" si="79"/>
        <v>1</v>
      </c>
      <c r="AB456" s="45">
        <f t="shared" si="80"/>
        <v>1</v>
      </c>
      <c r="AC456" s="45">
        <f t="shared" si="81"/>
        <v>1</v>
      </c>
      <c r="AD456" s="45">
        <f t="shared" si="82"/>
        <v>1</v>
      </c>
      <c r="AE456" s="45">
        <f t="shared" si="83"/>
        <v>1</v>
      </c>
      <c r="AF456" s="45">
        <f t="shared" si="84"/>
        <v>1</v>
      </c>
      <c r="AG456" s="45">
        <f t="shared" si="85"/>
        <v>1</v>
      </c>
      <c r="AH456" s="45">
        <f t="shared" si="86"/>
        <v>1</v>
      </c>
      <c r="AI456" s="45">
        <f t="shared" si="87"/>
        <v>1</v>
      </c>
      <c r="AJ456" s="45">
        <f t="shared" si="88"/>
        <v>1</v>
      </c>
      <c r="AK456" s="45">
        <f t="shared" si="89"/>
        <v>1</v>
      </c>
      <c r="AL456" s="45">
        <f t="shared" si="90"/>
        <v>1</v>
      </c>
      <c r="AM456" s="45">
        <f t="shared" si="91"/>
        <v>1</v>
      </c>
      <c r="AN456" s="45">
        <f t="shared" si="92"/>
        <v>1</v>
      </c>
      <c r="AS456" s="50" cm="1">
        <f t="array" ref="AS456">SUMPRODUCT(($V456:$AN456&lt;=$I171)*(1))/COUNT($V456:$AN456)</f>
        <v>0</v>
      </c>
      <c r="AT456" s="50" cm="1">
        <f t="array" ref="AT456">SUMPRODUCT(($V456:$AN456&lt;=$J171)*(1))/COUNT($V456:$AN456)</f>
        <v>0</v>
      </c>
      <c r="AU456" s="50" cm="1">
        <f t="array" ref="AU456">SUMPRODUCT(($V456:$AN456&lt;=$K171)*(1))/COUNT($V456:$AN456)</f>
        <v>0</v>
      </c>
      <c r="AW456" s="52" cm="1">
        <f t="array" ref="AW456">SUMPRODUCT(($V456:$AN456&lt;=$I171)*(1))</f>
        <v>0</v>
      </c>
      <c r="AX456" s="52" cm="1">
        <f t="array" ref="AX456">SUMPRODUCT(($V456:$AN456&lt;=$J171)*(1))</f>
        <v>0</v>
      </c>
      <c r="AY456" s="52" cm="1">
        <f t="array" ref="AY456">SUMPRODUCT(($V456:$AN456&lt;=$K171)*(1))</f>
        <v>0</v>
      </c>
      <c r="BA456" s="52">
        <f t="shared" si="96"/>
        <v>0</v>
      </c>
      <c r="BB456" s="52">
        <f t="shared" si="97"/>
        <v>0</v>
      </c>
      <c r="BC456" s="52">
        <f t="shared" si="98"/>
        <v>0</v>
      </c>
      <c r="BE456" s="50">
        <f t="shared" si="93"/>
        <v>0</v>
      </c>
      <c r="BF456" s="50">
        <f t="shared" si="94"/>
        <v>0</v>
      </c>
      <c r="BG456" s="50">
        <f t="shared" si="95"/>
        <v>0</v>
      </c>
    </row>
    <row r="457" spans="4:59" ht="15.6">
      <c r="D457" s="44"/>
      <c r="M457" s="42"/>
      <c r="N457" s="39" t="s">
        <v>26</v>
      </c>
      <c r="O457" s="39" t="s">
        <v>527</v>
      </c>
      <c r="P457" t="s">
        <v>666</v>
      </c>
      <c r="R457" s="41"/>
      <c r="S457" s="42"/>
      <c r="T457" s="42"/>
      <c r="U457" s="42"/>
      <c r="V457" s="45">
        <f t="shared" si="74"/>
        <v>1.0899817691908926</v>
      </c>
      <c r="W457" s="45">
        <f t="shared" si="75"/>
        <v>0.86424871351556509</v>
      </c>
      <c r="X457" s="45">
        <f t="shared" si="76"/>
        <v>1.2469827534755449</v>
      </c>
      <c r="Y457" s="45">
        <f t="shared" si="77"/>
        <v>1.0365307801325663</v>
      </c>
      <c r="Z457" s="45">
        <f t="shared" si="78"/>
        <v>0.84247126547561679</v>
      </c>
      <c r="AA457" s="45">
        <f t="shared" si="79"/>
        <v>1.041562079034674</v>
      </c>
      <c r="AB457" s="45">
        <f t="shared" si="80"/>
        <v>1.1300149891004034</v>
      </c>
      <c r="AC457" s="45">
        <f t="shared" si="81"/>
        <v>1.0960249978708927</v>
      </c>
      <c r="AD457" s="45">
        <f t="shared" si="82"/>
        <v>0.8616903153254607</v>
      </c>
      <c r="AE457" s="45">
        <f t="shared" si="83"/>
        <v>0.83281374753810677</v>
      </c>
      <c r="AF457" s="45">
        <f t="shared" si="84"/>
        <v>0.85242639199914716</v>
      </c>
      <c r="AG457" s="45">
        <f t="shared" si="85"/>
        <v>1.043869090003037</v>
      </c>
      <c r="AH457" s="45">
        <f t="shared" si="86"/>
        <v>1.1088843229021714</v>
      </c>
      <c r="AI457" s="45">
        <f t="shared" si="87"/>
        <v>1.1048283879522329</v>
      </c>
      <c r="AJ457" s="45">
        <f t="shared" si="88"/>
        <v>1.050572386788166</v>
      </c>
      <c r="AK457" s="45">
        <f t="shared" si="89"/>
        <v>1.0369244836889846</v>
      </c>
      <c r="AL457" s="45">
        <f t="shared" si="90"/>
        <v>1.1868952350859532</v>
      </c>
      <c r="AM457" s="45">
        <f t="shared" si="91"/>
        <v>1.1725272095043944</v>
      </c>
      <c r="AN457" s="45">
        <f t="shared" si="92"/>
        <v>0.99755238169467109</v>
      </c>
      <c r="AS457" s="50" cm="1">
        <f t="array" ref="AS457">SUMPRODUCT(($V457:$AN457&lt;=$I172)*(1))/COUNT($V457:$AN457)</f>
        <v>0.26315789473684209</v>
      </c>
      <c r="AT457" s="50" cm="1">
        <f t="array" ref="AT457">SUMPRODUCT(($V457:$AN457&lt;=$J172)*(1))/COUNT($V457:$AN457)</f>
        <v>0.10526315789473684</v>
      </c>
      <c r="AU457" s="50" cm="1">
        <f t="array" ref="AU457">SUMPRODUCT(($V457:$AN457&lt;=$K172)*(1))/COUNT($V457:$AN457)</f>
        <v>0</v>
      </c>
      <c r="AW457" s="52" cm="1">
        <f t="array" ref="AW457">SUMPRODUCT(($V457:$AN457&lt;=$I172)*(1))</f>
        <v>5</v>
      </c>
      <c r="AX457" s="52" cm="1">
        <f t="array" ref="AX457">SUMPRODUCT(($V457:$AN457&lt;=$J172)*(1))</f>
        <v>2</v>
      </c>
      <c r="AY457" s="52" cm="1">
        <f t="array" ref="AY457">SUMPRODUCT(($V457:$AN457&lt;=$K172)*(1))</f>
        <v>0</v>
      </c>
      <c r="BA457" s="52">
        <f t="shared" si="96"/>
        <v>3</v>
      </c>
      <c r="BB457" s="52">
        <f t="shared" si="97"/>
        <v>2</v>
      </c>
      <c r="BC457" s="52">
        <f t="shared" si="98"/>
        <v>0</v>
      </c>
      <c r="BE457" s="50">
        <f t="shared" si="93"/>
        <v>0.15789473684210525</v>
      </c>
      <c r="BF457" s="50">
        <f t="shared" si="94"/>
        <v>0.10526315789473684</v>
      </c>
      <c r="BG457" s="50">
        <f t="shared" si="95"/>
        <v>0</v>
      </c>
    </row>
    <row r="458" spans="4:59" ht="15.6">
      <c r="D458" s="44"/>
      <c r="M458" s="42"/>
      <c r="N458" s="39" t="s">
        <v>27</v>
      </c>
      <c r="O458" s="39" t="s">
        <v>484</v>
      </c>
      <c r="P458" t="s">
        <v>773</v>
      </c>
      <c r="R458" s="41"/>
      <c r="S458" s="42"/>
      <c r="T458" s="42"/>
      <c r="U458" s="42"/>
      <c r="V458" s="45">
        <f t="shared" si="74"/>
        <v>0.99969996867154753</v>
      </c>
      <c r="W458" s="45">
        <f t="shared" si="75"/>
        <v>0.9961423801878645</v>
      </c>
      <c r="X458" s="45">
        <f t="shared" si="76"/>
        <v>1.0080377579123785</v>
      </c>
      <c r="Y458" s="45">
        <f t="shared" si="77"/>
        <v>0.99877011474374033</v>
      </c>
      <c r="Z458" s="45">
        <f t="shared" si="78"/>
        <v>0.9972869892810442</v>
      </c>
      <c r="AA458" s="45">
        <f t="shared" si="79"/>
        <v>1.0070717689502775</v>
      </c>
      <c r="AB458" s="45">
        <f t="shared" si="80"/>
        <v>1.0092790553419952</v>
      </c>
      <c r="AC458" s="45">
        <f t="shared" si="81"/>
        <v>1.0021917865834116</v>
      </c>
      <c r="AD458" s="45">
        <f t="shared" si="82"/>
        <v>0.96134971055548357</v>
      </c>
      <c r="AE458" s="45">
        <f t="shared" si="83"/>
        <v>0.96853425139014804</v>
      </c>
      <c r="AF458" s="45">
        <f t="shared" si="84"/>
        <v>0.99169163434175212</v>
      </c>
      <c r="AG458" s="45">
        <f t="shared" si="85"/>
        <v>0.99944907940160188</v>
      </c>
      <c r="AH458" s="45">
        <f t="shared" si="86"/>
        <v>1.0067140114626647</v>
      </c>
      <c r="AI458" s="45">
        <f t="shared" si="87"/>
        <v>0.99993123222377511</v>
      </c>
      <c r="AJ458" s="45">
        <f t="shared" si="88"/>
        <v>0.9989428145249456</v>
      </c>
      <c r="AK458" s="45">
        <f t="shared" si="89"/>
        <v>1.0007600008664976</v>
      </c>
      <c r="AL458" s="45">
        <f t="shared" si="90"/>
        <v>1.0111451829420577</v>
      </c>
      <c r="AM458" s="45">
        <f t="shared" si="91"/>
        <v>1.0046467119941007</v>
      </c>
      <c r="AN458" s="45">
        <f t="shared" si="92"/>
        <v>1.0044537133539653</v>
      </c>
      <c r="AS458" s="50" cm="1">
        <f t="array" ref="AS458">SUMPRODUCT(($V458:$AN458&lt;=$I173)*(1))/COUNT($V458:$AN458)</f>
        <v>0</v>
      </c>
      <c r="AT458" s="50" cm="1">
        <f t="array" ref="AT458">SUMPRODUCT(($V458:$AN458&lt;=$J173)*(1))/COUNT($V458:$AN458)</f>
        <v>0</v>
      </c>
      <c r="AU458" s="50" cm="1">
        <f t="array" ref="AU458">SUMPRODUCT(($V458:$AN458&lt;=$K173)*(1))/COUNT($V458:$AN458)</f>
        <v>0</v>
      </c>
      <c r="AW458" s="52" cm="1">
        <f t="array" ref="AW458">SUMPRODUCT(($V458:$AN458&lt;=$I173)*(1))</f>
        <v>0</v>
      </c>
      <c r="AX458" s="52" cm="1">
        <f t="array" ref="AX458">SUMPRODUCT(($V458:$AN458&lt;=$J173)*(1))</f>
        <v>0</v>
      </c>
      <c r="AY458" s="52" cm="1">
        <f t="array" ref="AY458">SUMPRODUCT(($V458:$AN458&lt;=$K173)*(1))</f>
        <v>0</v>
      </c>
      <c r="BA458" s="52">
        <f t="shared" si="96"/>
        <v>0</v>
      </c>
      <c r="BB458" s="52">
        <f t="shared" si="97"/>
        <v>0</v>
      </c>
      <c r="BC458" s="52">
        <f t="shared" si="98"/>
        <v>0</v>
      </c>
      <c r="BE458" s="50">
        <f t="shared" si="93"/>
        <v>0</v>
      </c>
      <c r="BF458" s="50">
        <f t="shared" si="94"/>
        <v>0</v>
      </c>
      <c r="BG458" s="50">
        <f t="shared" si="95"/>
        <v>0</v>
      </c>
    </row>
    <row r="459" spans="4:59" ht="15.6">
      <c r="D459" s="44"/>
      <c r="M459" s="42"/>
      <c r="N459" s="39" t="s">
        <v>27</v>
      </c>
      <c r="O459" s="39" t="s">
        <v>566</v>
      </c>
      <c r="P459" t="s">
        <v>774</v>
      </c>
      <c r="R459" s="41"/>
      <c r="S459" s="42"/>
      <c r="T459" s="42"/>
      <c r="U459" s="42"/>
      <c r="V459" s="45">
        <f t="shared" si="74"/>
        <v>1</v>
      </c>
      <c r="W459" s="45">
        <f t="shared" si="75"/>
        <v>1</v>
      </c>
      <c r="X459" s="45">
        <f t="shared" si="76"/>
        <v>1</v>
      </c>
      <c r="Y459" s="45">
        <f t="shared" si="77"/>
        <v>1</v>
      </c>
      <c r="Z459" s="45">
        <f t="shared" si="78"/>
        <v>1</v>
      </c>
      <c r="AA459" s="45">
        <f t="shared" si="79"/>
        <v>1</v>
      </c>
      <c r="AB459" s="45">
        <f t="shared" si="80"/>
        <v>1</v>
      </c>
      <c r="AC459" s="45">
        <f t="shared" si="81"/>
        <v>1</v>
      </c>
      <c r="AD459" s="45">
        <f t="shared" si="82"/>
        <v>1</v>
      </c>
      <c r="AE459" s="45">
        <f t="shared" si="83"/>
        <v>1</v>
      </c>
      <c r="AF459" s="45">
        <f t="shared" si="84"/>
        <v>1</v>
      </c>
      <c r="AG459" s="45">
        <f t="shared" si="85"/>
        <v>1</v>
      </c>
      <c r="AH459" s="45">
        <f t="shared" si="86"/>
        <v>1</v>
      </c>
      <c r="AI459" s="45">
        <f t="shared" si="87"/>
        <v>1</v>
      </c>
      <c r="AJ459" s="45">
        <f t="shared" si="88"/>
        <v>1</v>
      </c>
      <c r="AK459" s="45">
        <f t="shared" si="89"/>
        <v>1</v>
      </c>
      <c r="AL459" s="45">
        <f t="shared" si="90"/>
        <v>1</v>
      </c>
      <c r="AM459" s="45">
        <f t="shared" si="91"/>
        <v>1</v>
      </c>
      <c r="AN459" s="45">
        <f t="shared" si="92"/>
        <v>1</v>
      </c>
      <c r="AS459" s="50" cm="1">
        <f t="array" ref="AS459">SUMPRODUCT(($V459:$AN459&lt;=$I174)*(1))/COUNT($V459:$AN459)</f>
        <v>0</v>
      </c>
      <c r="AT459" s="50" cm="1">
        <f t="array" ref="AT459">SUMPRODUCT(($V459:$AN459&lt;=$J174)*(1))/COUNT($V459:$AN459)</f>
        <v>0</v>
      </c>
      <c r="AU459" s="50" cm="1">
        <f t="array" ref="AU459">SUMPRODUCT(($V459:$AN459&lt;=$K174)*(1))/COUNT($V459:$AN459)</f>
        <v>0</v>
      </c>
      <c r="AW459" s="52" cm="1">
        <f t="array" ref="AW459">SUMPRODUCT(($V459:$AN459&lt;=$I174)*(1))</f>
        <v>0</v>
      </c>
      <c r="AX459" s="52" cm="1">
        <f t="array" ref="AX459">SUMPRODUCT(($V459:$AN459&lt;=$J174)*(1))</f>
        <v>0</v>
      </c>
      <c r="AY459" s="52" cm="1">
        <f t="array" ref="AY459">SUMPRODUCT(($V459:$AN459&lt;=$K174)*(1))</f>
        <v>0</v>
      </c>
      <c r="BA459" s="52">
        <f t="shared" si="96"/>
        <v>0</v>
      </c>
      <c r="BB459" s="52">
        <f t="shared" si="97"/>
        <v>0</v>
      </c>
      <c r="BC459" s="52">
        <f t="shared" si="98"/>
        <v>0</v>
      </c>
      <c r="BE459" s="50">
        <f t="shared" si="93"/>
        <v>0</v>
      </c>
      <c r="BF459" s="50">
        <f t="shared" si="94"/>
        <v>0</v>
      </c>
      <c r="BG459" s="50">
        <f t="shared" si="95"/>
        <v>0</v>
      </c>
    </row>
    <row r="460" spans="4:59" ht="15.6">
      <c r="D460" s="44"/>
      <c r="M460" s="42"/>
      <c r="N460" s="39" t="s">
        <v>27</v>
      </c>
      <c r="O460" s="39" t="s">
        <v>166</v>
      </c>
      <c r="P460" t="s">
        <v>775</v>
      </c>
      <c r="R460" s="41"/>
      <c r="S460" s="42"/>
      <c r="T460" s="42"/>
      <c r="U460" s="42"/>
      <c r="V460" s="45">
        <f t="shared" si="74"/>
        <v>1</v>
      </c>
      <c r="W460" s="45">
        <f t="shared" si="75"/>
        <v>1</v>
      </c>
      <c r="X460" s="45">
        <f t="shared" si="76"/>
        <v>1</v>
      </c>
      <c r="Y460" s="45">
        <f t="shared" si="77"/>
        <v>1</v>
      </c>
      <c r="Z460" s="45">
        <f t="shared" si="78"/>
        <v>1</v>
      </c>
      <c r="AA460" s="45">
        <f t="shared" si="79"/>
        <v>1</v>
      </c>
      <c r="AB460" s="45">
        <f t="shared" si="80"/>
        <v>1</v>
      </c>
      <c r="AC460" s="45">
        <f t="shared" si="81"/>
        <v>1</v>
      </c>
      <c r="AD460" s="45">
        <f t="shared" si="82"/>
        <v>1</v>
      </c>
      <c r="AE460" s="45">
        <f t="shared" si="83"/>
        <v>1</v>
      </c>
      <c r="AF460" s="45">
        <f t="shared" si="84"/>
        <v>1</v>
      </c>
      <c r="AG460" s="45">
        <f t="shared" si="85"/>
        <v>1</v>
      </c>
      <c r="AH460" s="45">
        <f t="shared" si="86"/>
        <v>1</v>
      </c>
      <c r="AI460" s="45">
        <f t="shared" si="87"/>
        <v>1</v>
      </c>
      <c r="AJ460" s="45">
        <f t="shared" si="88"/>
        <v>1</v>
      </c>
      <c r="AK460" s="45">
        <f t="shared" si="89"/>
        <v>1</v>
      </c>
      <c r="AL460" s="45">
        <f t="shared" si="90"/>
        <v>1</v>
      </c>
      <c r="AM460" s="45">
        <f t="shared" si="91"/>
        <v>1</v>
      </c>
      <c r="AN460" s="45">
        <f t="shared" si="92"/>
        <v>1</v>
      </c>
      <c r="AS460" s="50" cm="1">
        <f t="array" ref="AS460">SUMPRODUCT(($V460:$AN460&lt;=$I175)*(1))/COUNT($V460:$AN460)</f>
        <v>0</v>
      </c>
      <c r="AT460" s="50" cm="1">
        <f t="array" ref="AT460">SUMPRODUCT(($V460:$AN460&lt;=$J175)*(1))/COUNT($V460:$AN460)</f>
        <v>0</v>
      </c>
      <c r="AU460" s="50" cm="1">
        <f t="array" ref="AU460">SUMPRODUCT(($V460:$AN460&lt;=$K175)*(1))/COUNT($V460:$AN460)</f>
        <v>0</v>
      </c>
      <c r="AW460" s="52" cm="1">
        <f t="array" ref="AW460">SUMPRODUCT(($V460:$AN460&lt;=$I175)*(1))</f>
        <v>0</v>
      </c>
      <c r="AX460" s="52" cm="1">
        <f t="array" ref="AX460">SUMPRODUCT(($V460:$AN460&lt;=$J175)*(1))</f>
        <v>0</v>
      </c>
      <c r="AY460" s="52" cm="1">
        <f t="array" ref="AY460">SUMPRODUCT(($V460:$AN460&lt;=$K175)*(1))</f>
        <v>0</v>
      </c>
      <c r="BA460" s="52">
        <f t="shared" si="96"/>
        <v>0</v>
      </c>
      <c r="BB460" s="52">
        <f t="shared" si="97"/>
        <v>0</v>
      </c>
      <c r="BC460" s="52">
        <f t="shared" si="98"/>
        <v>0</v>
      </c>
      <c r="BE460" s="50">
        <f t="shared" si="93"/>
        <v>0</v>
      </c>
      <c r="BF460" s="50">
        <f t="shared" si="94"/>
        <v>0</v>
      </c>
      <c r="BG460" s="50">
        <f t="shared" si="95"/>
        <v>0</v>
      </c>
    </row>
    <row r="461" spans="4:59" ht="15.6">
      <c r="D461" s="44"/>
      <c r="M461" s="42"/>
      <c r="N461" s="39" t="s">
        <v>27</v>
      </c>
      <c r="O461" s="39" t="s">
        <v>489</v>
      </c>
      <c r="P461" t="s">
        <v>776</v>
      </c>
      <c r="R461" s="41"/>
      <c r="S461" s="42"/>
      <c r="T461" s="42"/>
      <c r="U461" s="42"/>
      <c r="V461" s="45">
        <f t="shared" si="74"/>
        <v>1</v>
      </c>
      <c r="W461" s="45">
        <f t="shared" si="75"/>
        <v>1</v>
      </c>
      <c r="X461" s="45">
        <f t="shared" si="76"/>
        <v>1</v>
      </c>
      <c r="Y461" s="45">
        <f t="shared" si="77"/>
        <v>1</v>
      </c>
      <c r="Z461" s="45">
        <f t="shared" si="78"/>
        <v>1</v>
      </c>
      <c r="AA461" s="45">
        <f t="shared" si="79"/>
        <v>1</v>
      </c>
      <c r="AB461" s="45">
        <f t="shared" si="80"/>
        <v>1</v>
      </c>
      <c r="AC461" s="45">
        <f t="shared" si="81"/>
        <v>1</v>
      </c>
      <c r="AD461" s="45">
        <f t="shared" si="82"/>
        <v>0.98785287802881394</v>
      </c>
      <c r="AE461" s="45">
        <f t="shared" si="83"/>
        <v>0.99876759111884894</v>
      </c>
      <c r="AF461" s="45">
        <f t="shared" si="84"/>
        <v>1</v>
      </c>
      <c r="AG461" s="45">
        <f t="shared" si="85"/>
        <v>1</v>
      </c>
      <c r="AH461" s="45">
        <f t="shared" si="86"/>
        <v>1</v>
      </c>
      <c r="AI461" s="45">
        <f t="shared" si="87"/>
        <v>1</v>
      </c>
      <c r="AJ461" s="45">
        <f t="shared" si="88"/>
        <v>0.999934910152114</v>
      </c>
      <c r="AK461" s="45">
        <f t="shared" si="89"/>
        <v>1</v>
      </c>
      <c r="AL461" s="45">
        <f t="shared" si="90"/>
        <v>1</v>
      </c>
      <c r="AM461" s="45">
        <f t="shared" si="91"/>
        <v>1</v>
      </c>
      <c r="AN461" s="45">
        <f t="shared" si="92"/>
        <v>1</v>
      </c>
      <c r="AS461" s="50" cm="1">
        <f t="array" ref="AS461">SUMPRODUCT(($V461:$AN461&lt;=$I176)*(1))/COUNT($V461:$AN461)</f>
        <v>0</v>
      </c>
      <c r="AT461" s="50" cm="1">
        <f t="array" ref="AT461">SUMPRODUCT(($V461:$AN461&lt;=$J176)*(1))/COUNT($V461:$AN461)</f>
        <v>0</v>
      </c>
      <c r="AU461" s="50" cm="1">
        <f t="array" ref="AU461">SUMPRODUCT(($V461:$AN461&lt;=$K176)*(1))/COUNT($V461:$AN461)</f>
        <v>0</v>
      </c>
      <c r="AW461" s="52" cm="1">
        <f t="array" ref="AW461">SUMPRODUCT(($V461:$AN461&lt;=$I176)*(1))</f>
        <v>0</v>
      </c>
      <c r="AX461" s="52" cm="1">
        <f t="array" ref="AX461">SUMPRODUCT(($V461:$AN461&lt;=$J176)*(1))</f>
        <v>0</v>
      </c>
      <c r="AY461" s="52" cm="1">
        <f t="array" ref="AY461">SUMPRODUCT(($V461:$AN461&lt;=$K176)*(1))</f>
        <v>0</v>
      </c>
      <c r="BA461" s="52">
        <f t="shared" si="96"/>
        <v>0</v>
      </c>
      <c r="BB461" s="52">
        <f t="shared" si="97"/>
        <v>0</v>
      </c>
      <c r="BC461" s="52">
        <f t="shared" si="98"/>
        <v>0</v>
      </c>
      <c r="BE461" s="50">
        <f t="shared" si="93"/>
        <v>0</v>
      </c>
      <c r="BF461" s="50">
        <f t="shared" si="94"/>
        <v>0</v>
      </c>
      <c r="BG461" s="50">
        <f t="shared" si="95"/>
        <v>0</v>
      </c>
    </row>
    <row r="462" spans="4:59" ht="15.6">
      <c r="D462" s="44"/>
      <c r="M462" s="42"/>
      <c r="N462" s="39" t="s">
        <v>27</v>
      </c>
      <c r="O462" s="39" t="s">
        <v>179</v>
      </c>
      <c r="P462" t="s">
        <v>777</v>
      </c>
      <c r="R462" s="41"/>
      <c r="S462" s="42"/>
      <c r="T462" s="42"/>
      <c r="U462" s="42"/>
      <c r="V462" s="45">
        <f t="shared" si="74"/>
        <v>1</v>
      </c>
      <c r="W462" s="45">
        <f t="shared" si="75"/>
        <v>1</v>
      </c>
      <c r="X462" s="45">
        <f t="shared" si="76"/>
        <v>1</v>
      </c>
      <c r="Y462" s="45">
        <f t="shared" si="77"/>
        <v>1</v>
      </c>
      <c r="Z462" s="45">
        <f t="shared" si="78"/>
        <v>1</v>
      </c>
      <c r="AA462" s="45">
        <f t="shared" si="79"/>
        <v>1</v>
      </c>
      <c r="AB462" s="45">
        <f t="shared" si="80"/>
        <v>1</v>
      </c>
      <c r="AC462" s="45">
        <f t="shared" si="81"/>
        <v>1</v>
      </c>
      <c r="AD462" s="45">
        <f t="shared" si="82"/>
        <v>0.992312238684117</v>
      </c>
      <c r="AE462" s="45">
        <f t="shared" si="83"/>
        <v>0.99911766323054096</v>
      </c>
      <c r="AF462" s="45">
        <f t="shared" si="84"/>
        <v>1</v>
      </c>
      <c r="AG462" s="45">
        <f t="shared" si="85"/>
        <v>1</v>
      </c>
      <c r="AH462" s="45">
        <f t="shared" si="86"/>
        <v>1</v>
      </c>
      <c r="AI462" s="45">
        <f t="shared" si="87"/>
        <v>1</v>
      </c>
      <c r="AJ462" s="45">
        <f t="shared" si="88"/>
        <v>1</v>
      </c>
      <c r="AK462" s="45">
        <f t="shared" si="89"/>
        <v>1</v>
      </c>
      <c r="AL462" s="45">
        <f t="shared" si="90"/>
        <v>1</v>
      </c>
      <c r="AM462" s="45">
        <f t="shared" si="91"/>
        <v>1</v>
      </c>
      <c r="AN462" s="45">
        <f t="shared" si="92"/>
        <v>1</v>
      </c>
      <c r="AS462" s="50" cm="1">
        <f t="array" ref="AS462">SUMPRODUCT(($V462:$AN462&lt;=$I177)*(1))/COUNT($V462:$AN462)</f>
        <v>0</v>
      </c>
      <c r="AT462" s="50" cm="1">
        <f t="array" ref="AT462">SUMPRODUCT(($V462:$AN462&lt;=$J177)*(1))/COUNT($V462:$AN462)</f>
        <v>0</v>
      </c>
      <c r="AU462" s="50" cm="1">
        <f t="array" ref="AU462">SUMPRODUCT(($V462:$AN462&lt;=$K177)*(1))/COUNT($V462:$AN462)</f>
        <v>0</v>
      </c>
      <c r="AW462" s="52" cm="1">
        <f t="array" ref="AW462">SUMPRODUCT(($V462:$AN462&lt;=$I177)*(1))</f>
        <v>0</v>
      </c>
      <c r="AX462" s="52" cm="1">
        <f t="array" ref="AX462">SUMPRODUCT(($V462:$AN462&lt;=$J177)*(1))</f>
        <v>0</v>
      </c>
      <c r="AY462" s="52" cm="1">
        <f t="array" ref="AY462">SUMPRODUCT(($V462:$AN462&lt;=$K177)*(1))</f>
        <v>0</v>
      </c>
      <c r="BA462" s="52">
        <f t="shared" si="96"/>
        <v>0</v>
      </c>
      <c r="BB462" s="52">
        <f t="shared" si="97"/>
        <v>0</v>
      </c>
      <c r="BC462" s="52">
        <f t="shared" si="98"/>
        <v>0</v>
      </c>
      <c r="BE462" s="50">
        <f t="shared" si="93"/>
        <v>0</v>
      </c>
      <c r="BF462" s="50">
        <f t="shared" si="94"/>
        <v>0</v>
      </c>
      <c r="BG462" s="50">
        <f t="shared" si="95"/>
        <v>0</v>
      </c>
    </row>
    <row r="463" spans="4:59" ht="15.6">
      <c r="D463" s="44"/>
      <c r="M463" s="42"/>
      <c r="N463" s="39" t="s">
        <v>27</v>
      </c>
      <c r="O463" s="39" t="s">
        <v>618</v>
      </c>
      <c r="P463" t="s">
        <v>57</v>
      </c>
      <c r="R463" s="41"/>
      <c r="S463" s="42"/>
      <c r="T463" s="42"/>
      <c r="U463" s="42"/>
      <c r="V463" s="45">
        <f t="shared" si="74"/>
        <v>1.0904703542124272</v>
      </c>
      <c r="W463" s="45">
        <f t="shared" si="75"/>
        <v>0.9303913865310478</v>
      </c>
      <c r="X463" s="45">
        <f t="shared" si="76"/>
        <v>1.0745185800534511</v>
      </c>
      <c r="Y463" s="45">
        <f t="shared" si="77"/>
        <v>1.0596249945803224</v>
      </c>
      <c r="Z463" s="45">
        <f t="shared" si="78"/>
        <v>0.94299938333593813</v>
      </c>
      <c r="AA463" s="45">
        <f t="shared" si="79"/>
        <v>1.01015961832818</v>
      </c>
      <c r="AB463" s="45">
        <f t="shared" si="80"/>
        <v>1.0145139465275972</v>
      </c>
      <c r="AC463" s="45">
        <f t="shared" si="81"/>
        <v>0.94281399548427758</v>
      </c>
      <c r="AD463" s="45">
        <f t="shared" si="82"/>
        <v>0.87403128689625986</v>
      </c>
      <c r="AE463" s="45">
        <f t="shared" si="83"/>
        <v>1.0300356320390973</v>
      </c>
      <c r="AF463" s="45">
        <f t="shared" si="84"/>
        <v>0.93058263678348252</v>
      </c>
      <c r="AG463" s="45">
        <f t="shared" si="85"/>
        <v>0.98410261271204502</v>
      </c>
      <c r="AH463" s="45">
        <f t="shared" si="86"/>
        <v>1.0800406414937818</v>
      </c>
      <c r="AI463" s="45">
        <f t="shared" si="87"/>
        <v>1.0286517164687223</v>
      </c>
      <c r="AJ463" s="45">
        <f t="shared" si="88"/>
        <v>0.96153252178466886</v>
      </c>
      <c r="AK463" s="45">
        <f t="shared" si="89"/>
        <v>1.0824344671776225</v>
      </c>
      <c r="AL463" s="45">
        <f t="shared" si="90"/>
        <v>1.0494796486442148</v>
      </c>
      <c r="AM463" s="45">
        <f t="shared" si="91"/>
        <v>0.99409069399404693</v>
      </c>
      <c r="AN463" s="45">
        <f t="shared" si="92"/>
        <v>0.91392348139332846</v>
      </c>
      <c r="AS463" s="50" cm="1">
        <f t="array" ref="AS463">SUMPRODUCT(($V463:$AN463&lt;=$I178)*(1))/COUNT($V463:$AN463)</f>
        <v>0.31578947368421051</v>
      </c>
      <c r="AT463" s="50" cm="1">
        <f t="array" ref="AT463">SUMPRODUCT(($V463:$AN463&lt;=$J178)*(1))/COUNT($V463:$AN463)</f>
        <v>0</v>
      </c>
      <c r="AU463" s="50" cm="1">
        <f t="array" ref="AU463">SUMPRODUCT(($V463:$AN463&lt;=$K178)*(1))/COUNT($V463:$AN463)</f>
        <v>0</v>
      </c>
      <c r="AW463" s="52" cm="1">
        <f t="array" ref="AW463">SUMPRODUCT(($V463:$AN463&lt;=$I178)*(1))</f>
        <v>6</v>
      </c>
      <c r="AX463" s="52" cm="1">
        <f t="array" ref="AX463">SUMPRODUCT(($V463:$AN463&lt;=$J178)*(1))</f>
        <v>0</v>
      </c>
      <c r="AY463" s="52" cm="1">
        <f t="array" ref="AY463">SUMPRODUCT(($V463:$AN463&lt;=$K178)*(1))</f>
        <v>0</v>
      </c>
      <c r="BA463" s="52">
        <f t="shared" si="96"/>
        <v>6</v>
      </c>
      <c r="BB463" s="52">
        <f t="shared" si="97"/>
        <v>0</v>
      </c>
      <c r="BC463" s="52">
        <f t="shared" si="98"/>
        <v>0</v>
      </c>
      <c r="BE463" s="50">
        <f t="shared" si="93"/>
        <v>0.31578947368421051</v>
      </c>
      <c r="BF463" s="50">
        <f t="shared" si="94"/>
        <v>0</v>
      </c>
      <c r="BG463" s="50">
        <f t="shared" si="95"/>
        <v>0</v>
      </c>
    </row>
    <row r="464" spans="4:59" ht="15.6">
      <c r="D464" s="44"/>
      <c r="M464" s="42"/>
      <c r="N464" s="39" t="s">
        <v>27</v>
      </c>
      <c r="O464" s="39" t="s">
        <v>566</v>
      </c>
      <c r="P464" t="s">
        <v>778</v>
      </c>
      <c r="R464" s="41"/>
      <c r="S464" s="42"/>
      <c r="T464" s="42"/>
      <c r="U464" s="42"/>
      <c r="V464" s="45">
        <f t="shared" si="74"/>
        <v>1</v>
      </c>
      <c r="W464" s="45">
        <f t="shared" si="75"/>
        <v>1</v>
      </c>
      <c r="X464" s="45">
        <f t="shared" si="76"/>
        <v>1</v>
      </c>
      <c r="Y464" s="45">
        <f t="shared" si="77"/>
        <v>1</v>
      </c>
      <c r="Z464" s="45">
        <f t="shared" si="78"/>
        <v>1</v>
      </c>
      <c r="AA464" s="45">
        <f t="shared" si="79"/>
        <v>1</v>
      </c>
      <c r="AB464" s="45">
        <f t="shared" si="80"/>
        <v>1</v>
      </c>
      <c r="AC464" s="45">
        <f t="shared" si="81"/>
        <v>1</v>
      </c>
      <c r="AD464" s="45">
        <f t="shared" si="82"/>
        <v>1</v>
      </c>
      <c r="AE464" s="45">
        <f t="shared" si="83"/>
        <v>1</v>
      </c>
      <c r="AF464" s="45">
        <f t="shared" si="84"/>
        <v>1</v>
      </c>
      <c r="AG464" s="45">
        <f t="shared" si="85"/>
        <v>1</v>
      </c>
      <c r="AH464" s="45">
        <f t="shared" si="86"/>
        <v>1</v>
      </c>
      <c r="AI464" s="45">
        <f t="shared" si="87"/>
        <v>1</v>
      </c>
      <c r="AJ464" s="45">
        <f t="shared" si="88"/>
        <v>1</v>
      </c>
      <c r="AK464" s="45">
        <f t="shared" si="89"/>
        <v>1</v>
      </c>
      <c r="AL464" s="45">
        <f t="shared" si="90"/>
        <v>1</v>
      </c>
      <c r="AM464" s="45">
        <f t="shared" si="91"/>
        <v>1</v>
      </c>
      <c r="AN464" s="45">
        <f t="shared" si="92"/>
        <v>1</v>
      </c>
      <c r="AS464" s="50" cm="1">
        <f t="array" ref="AS464">SUMPRODUCT(($V464:$AN464&lt;=$I179)*(1))/COUNT($V464:$AN464)</f>
        <v>0</v>
      </c>
      <c r="AT464" s="50" cm="1">
        <f t="array" ref="AT464">SUMPRODUCT(($V464:$AN464&lt;=$J179)*(1))/COUNT($V464:$AN464)</f>
        <v>0</v>
      </c>
      <c r="AU464" s="50" cm="1">
        <f t="array" ref="AU464">SUMPRODUCT(($V464:$AN464&lt;=$K179)*(1))/COUNT($V464:$AN464)</f>
        <v>0</v>
      </c>
      <c r="AW464" s="52" cm="1">
        <f t="array" ref="AW464">SUMPRODUCT(($V464:$AN464&lt;=$I179)*(1))</f>
        <v>0</v>
      </c>
      <c r="AX464" s="52" cm="1">
        <f t="array" ref="AX464">SUMPRODUCT(($V464:$AN464&lt;=$J179)*(1))</f>
        <v>0</v>
      </c>
      <c r="AY464" s="52" cm="1">
        <f t="array" ref="AY464">SUMPRODUCT(($V464:$AN464&lt;=$K179)*(1))</f>
        <v>0</v>
      </c>
      <c r="BA464" s="52">
        <f t="shared" si="96"/>
        <v>0</v>
      </c>
      <c r="BB464" s="52">
        <f t="shared" si="97"/>
        <v>0</v>
      </c>
      <c r="BC464" s="52">
        <f t="shared" si="98"/>
        <v>0</v>
      </c>
      <c r="BE464" s="50">
        <f t="shared" si="93"/>
        <v>0</v>
      </c>
      <c r="BF464" s="50">
        <f t="shared" si="94"/>
        <v>0</v>
      </c>
      <c r="BG464" s="50">
        <f t="shared" si="95"/>
        <v>0</v>
      </c>
    </row>
    <row r="465" spans="4:59" ht="15.6">
      <c r="D465" s="44"/>
      <c r="M465" s="42"/>
      <c r="N465" s="39" t="s">
        <v>27</v>
      </c>
      <c r="O465" s="39" t="s">
        <v>331</v>
      </c>
      <c r="P465" t="s">
        <v>779</v>
      </c>
      <c r="R465" s="41"/>
      <c r="S465" s="42"/>
      <c r="T465" s="42"/>
      <c r="U465" s="42"/>
      <c r="V465" s="45">
        <f t="shared" si="74"/>
        <v>1</v>
      </c>
      <c r="W465" s="45">
        <f t="shared" si="75"/>
        <v>0.93568053296046105</v>
      </c>
      <c r="X465" s="45">
        <f t="shared" si="76"/>
        <v>1</v>
      </c>
      <c r="Y465" s="45">
        <f t="shared" si="77"/>
        <v>0.99316121302926708</v>
      </c>
      <c r="Z465" s="45">
        <f t="shared" si="78"/>
        <v>0.98526481350103301</v>
      </c>
      <c r="AA465" s="45">
        <f t="shared" si="79"/>
        <v>0.91284060601019856</v>
      </c>
      <c r="AB465" s="45">
        <f t="shared" si="80"/>
        <v>1.0148638381986668</v>
      </c>
      <c r="AC465" s="45">
        <f t="shared" si="81"/>
        <v>1.0008713828405897</v>
      </c>
      <c r="AD465" s="45">
        <f t="shared" si="82"/>
        <v>0.89673957053051578</v>
      </c>
      <c r="AE465" s="45">
        <f t="shared" si="83"/>
        <v>0.97742009593579415</v>
      </c>
      <c r="AF465" s="45">
        <f t="shared" si="84"/>
        <v>0.96792413231179752</v>
      </c>
      <c r="AG465" s="45">
        <f t="shared" si="85"/>
        <v>0.99426962751995962</v>
      </c>
      <c r="AH465" s="45">
        <f t="shared" si="86"/>
        <v>1.0443873186757935</v>
      </c>
      <c r="AI465" s="45">
        <f t="shared" si="87"/>
        <v>1.0331085176788364</v>
      </c>
      <c r="AJ465" s="45">
        <f t="shared" si="88"/>
        <v>1.0037986341230809</v>
      </c>
      <c r="AK465" s="45">
        <f t="shared" si="89"/>
        <v>1.0344730058668585</v>
      </c>
      <c r="AL465" s="45">
        <f t="shared" si="90"/>
        <v>1.0109173439226868</v>
      </c>
      <c r="AM465" s="45">
        <f t="shared" si="91"/>
        <v>0.99928350356835904</v>
      </c>
      <c r="AN465" s="45">
        <f t="shared" si="92"/>
        <v>0.95973543679995754</v>
      </c>
      <c r="AS465" s="50" cm="1">
        <f t="array" ref="AS465">SUMPRODUCT(($V465:$AN465&lt;=$I180)*(1))/COUNT($V465:$AN465)</f>
        <v>0.15789473684210525</v>
      </c>
      <c r="AT465" s="50" cm="1">
        <f t="array" ref="AT465">SUMPRODUCT(($V465:$AN465&lt;=$J180)*(1))/COUNT($V465:$AN465)</f>
        <v>0</v>
      </c>
      <c r="AU465" s="50" cm="1">
        <f t="array" ref="AU465">SUMPRODUCT(($V465:$AN465&lt;=$K180)*(1))/COUNT($V465:$AN465)</f>
        <v>0</v>
      </c>
      <c r="AW465" s="52" cm="1">
        <f t="array" ref="AW465">SUMPRODUCT(($V465:$AN465&lt;=$I180)*(1))</f>
        <v>3</v>
      </c>
      <c r="AX465" s="52" cm="1">
        <f t="array" ref="AX465">SUMPRODUCT(($V465:$AN465&lt;=$J180)*(1))</f>
        <v>0</v>
      </c>
      <c r="AY465" s="52" cm="1">
        <f t="array" ref="AY465">SUMPRODUCT(($V465:$AN465&lt;=$K180)*(1))</f>
        <v>0</v>
      </c>
      <c r="BA465" s="52">
        <f t="shared" si="96"/>
        <v>3</v>
      </c>
      <c r="BB465" s="52">
        <f t="shared" si="97"/>
        <v>0</v>
      </c>
      <c r="BC465" s="52">
        <f t="shared" si="98"/>
        <v>0</v>
      </c>
      <c r="BE465" s="50">
        <f t="shared" si="93"/>
        <v>0.15789473684210525</v>
      </c>
      <c r="BF465" s="50">
        <f t="shared" si="94"/>
        <v>0</v>
      </c>
      <c r="BG465" s="50">
        <f t="shared" si="95"/>
        <v>0</v>
      </c>
    </row>
    <row r="466" spans="4:59" ht="15.6">
      <c r="D466" s="44"/>
      <c r="M466" s="42"/>
      <c r="N466" s="39" t="s">
        <v>27</v>
      </c>
      <c r="O466" s="39" t="s">
        <v>181</v>
      </c>
      <c r="P466" t="s">
        <v>780</v>
      </c>
      <c r="R466" s="41"/>
      <c r="S466" s="42"/>
      <c r="T466" s="42"/>
      <c r="U466" s="42"/>
      <c r="V466" s="45">
        <f t="shared" si="74"/>
        <v>1</v>
      </c>
      <c r="W466" s="45">
        <f t="shared" si="75"/>
        <v>1</v>
      </c>
      <c r="X466" s="45">
        <f t="shared" si="76"/>
        <v>1</v>
      </c>
      <c r="Y466" s="45">
        <f t="shared" si="77"/>
        <v>1</v>
      </c>
      <c r="Z466" s="45">
        <f t="shared" si="78"/>
        <v>1</v>
      </c>
      <c r="AA466" s="45">
        <f t="shared" si="79"/>
        <v>1</v>
      </c>
      <c r="AB466" s="45">
        <f t="shared" si="80"/>
        <v>1</v>
      </c>
      <c r="AC466" s="45">
        <f t="shared" si="81"/>
        <v>1</v>
      </c>
      <c r="AD466" s="45">
        <f t="shared" si="82"/>
        <v>1</v>
      </c>
      <c r="AE466" s="45">
        <f t="shared" si="83"/>
        <v>1</v>
      </c>
      <c r="AF466" s="45">
        <f t="shared" si="84"/>
        <v>1</v>
      </c>
      <c r="AG466" s="45">
        <f t="shared" si="85"/>
        <v>1</v>
      </c>
      <c r="AH466" s="45">
        <f t="shared" si="86"/>
        <v>1</v>
      </c>
      <c r="AI466" s="45">
        <f t="shared" si="87"/>
        <v>1</v>
      </c>
      <c r="AJ466" s="45">
        <f t="shared" si="88"/>
        <v>1</v>
      </c>
      <c r="AK466" s="45">
        <f t="shared" si="89"/>
        <v>1</v>
      </c>
      <c r="AL466" s="45">
        <f t="shared" si="90"/>
        <v>1</v>
      </c>
      <c r="AM466" s="45">
        <f t="shared" si="91"/>
        <v>1</v>
      </c>
      <c r="AN466" s="45">
        <f t="shared" si="92"/>
        <v>1</v>
      </c>
      <c r="AS466" s="50" cm="1">
        <f t="array" ref="AS466">SUMPRODUCT(($V466:$AN466&lt;=$I181)*(1))/COUNT($V466:$AN466)</f>
        <v>0</v>
      </c>
      <c r="AT466" s="50" cm="1">
        <f t="array" ref="AT466">SUMPRODUCT(($V466:$AN466&lt;=$J181)*(1))/COUNT($V466:$AN466)</f>
        <v>0</v>
      </c>
      <c r="AU466" s="50" cm="1">
        <f t="array" ref="AU466">SUMPRODUCT(($V466:$AN466&lt;=$K181)*(1))/COUNT($V466:$AN466)</f>
        <v>0</v>
      </c>
      <c r="AW466" s="52" cm="1">
        <f t="array" ref="AW466">SUMPRODUCT(($V466:$AN466&lt;=$I181)*(1))</f>
        <v>0</v>
      </c>
      <c r="AX466" s="52" cm="1">
        <f t="array" ref="AX466">SUMPRODUCT(($V466:$AN466&lt;=$J181)*(1))</f>
        <v>0</v>
      </c>
      <c r="AY466" s="52" cm="1">
        <f t="array" ref="AY466">SUMPRODUCT(($V466:$AN466&lt;=$K181)*(1))</f>
        <v>0</v>
      </c>
      <c r="BA466" s="52">
        <f t="shared" si="96"/>
        <v>0</v>
      </c>
      <c r="BB466" s="52">
        <f t="shared" si="97"/>
        <v>0</v>
      </c>
      <c r="BC466" s="52">
        <f t="shared" si="98"/>
        <v>0</v>
      </c>
      <c r="BE466" s="50">
        <f t="shared" si="93"/>
        <v>0</v>
      </c>
      <c r="BF466" s="50">
        <f t="shared" si="94"/>
        <v>0</v>
      </c>
      <c r="BG466" s="50">
        <f t="shared" si="95"/>
        <v>0</v>
      </c>
    </row>
    <row r="467" spans="4:59" ht="15.6">
      <c r="D467" s="44"/>
      <c r="M467" s="42"/>
      <c r="N467" s="39" t="s">
        <v>27</v>
      </c>
      <c r="O467" s="39" t="s">
        <v>445</v>
      </c>
      <c r="P467" t="s">
        <v>781</v>
      </c>
      <c r="R467" s="41"/>
      <c r="S467" s="42"/>
      <c r="T467" s="42"/>
      <c r="U467" s="42"/>
      <c r="V467" s="45">
        <f t="shared" si="74"/>
        <v>1</v>
      </c>
      <c r="W467" s="45">
        <f t="shared" si="75"/>
        <v>1</v>
      </c>
      <c r="X467" s="45">
        <f t="shared" si="76"/>
        <v>1</v>
      </c>
      <c r="Y467" s="45">
        <f t="shared" si="77"/>
        <v>1</v>
      </c>
      <c r="Z467" s="45">
        <f t="shared" si="78"/>
        <v>1</v>
      </c>
      <c r="AA467" s="45">
        <f t="shared" si="79"/>
        <v>1</v>
      </c>
      <c r="AB467" s="45">
        <f t="shared" si="80"/>
        <v>1</v>
      </c>
      <c r="AC467" s="45">
        <f t="shared" si="81"/>
        <v>1</v>
      </c>
      <c r="AD467" s="45">
        <f t="shared" si="82"/>
        <v>0.99052423704772907</v>
      </c>
      <c r="AE467" s="45">
        <f t="shared" si="83"/>
        <v>0.99926582095385397</v>
      </c>
      <c r="AF467" s="45">
        <f t="shared" si="84"/>
        <v>1</v>
      </c>
      <c r="AG467" s="45">
        <f t="shared" si="85"/>
        <v>1</v>
      </c>
      <c r="AH467" s="45">
        <f t="shared" si="86"/>
        <v>1</v>
      </c>
      <c r="AI467" s="45">
        <f t="shared" si="87"/>
        <v>1</v>
      </c>
      <c r="AJ467" s="45">
        <f t="shared" si="88"/>
        <v>0.99733483563444192</v>
      </c>
      <c r="AK467" s="45">
        <f t="shared" si="89"/>
        <v>1</v>
      </c>
      <c r="AL467" s="45">
        <f t="shared" si="90"/>
        <v>1</v>
      </c>
      <c r="AM467" s="45">
        <f t="shared" si="91"/>
        <v>1</v>
      </c>
      <c r="AN467" s="45">
        <f t="shared" si="92"/>
        <v>1</v>
      </c>
      <c r="AS467" s="50" cm="1">
        <f t="array" ref="AS467">SUMPRODUCT(($V467:$AN467&lt;=$I182)*(1))/COUNT($V467:$AN467)</f>
        <v>0</v>
      </c>
      <c r="AT467" s="50" cm="1">
        <f t="array" ref="AT467">SUMPRODUCT(($V467:$AN467&lt;=$J182)*(1))/COUNT($V467:$AN467)</f>
        <v>0</v>
      </c>
      <c r="AU467" s="50" cm="1">
        <f t="array" ref="AU467">SUMPRODUCT(($V467:$AN467&lt;=$K182)*(1))/COUNT($V467:$AN467)</f>
        <v>0</v>
      </c>
      <c r="AW467" s="52" cm="1">
        <f t="array" ref="AW467">SUMPRODUCT(($V467:$AN467&lt;=$I182)*(1))</f>
        <v>0</v>
      </c>
      <c r="AX467" s="52" cm="1">
        <f t="array" ref="AX467">SUMPRODUCT(($V467:$AN467&lt;=$J182)*(1))</f>
        <v>0</v>
      </c>
      <c r="AY467" s="52" cm="1">
        <f t="array" ref="AY467">SUMPRODUCT(($V467:$AN467&lt;=$K182)*(1))</f>
        <v>0</v>
      </c>
      <c r="BA467" s="52">
        <f t="shared" si="96"/>
        <v>0</v>
      </c>
      <c r="BB467" s="52">
        <f t="shared" si="97"/>
        <v>0</v>
      </c>
      <c r="BC467" s="52">
        <f t="shared" si="98"/>
        <v>0</v>
      </c>
      <c r="BE467" s="50">
        <f t="shared" si="93"/>
        <v>0</v>
      </c>
      <c r="BF467" s="50">
        <f t="shared" si="94"/>
        <v>0</v>
      </c>
      <c r="BG467" s="50">
        <f t="shared" si="95"/>
        <v>0</v>
      </c>
    </row>
    <row r="468" spans="4:59" ht="15.6">
      <c r="D468" s="44"/>
      <c r="M468" s="42"/>
      <c r="N468" s="39" t="s">
        <v>27</v>
      </c>
      <c r="O468" s="39" t="s">
        <v>572</v>
      </c>
      <c r="P468" t="s">
        <v>782</v>
      </c>
      <c r="R468" s="41"/>
      <c r="S468" s="42"/>
      <c r="T468" s="42"/>
      <c r="U468" s="42"/>
      <c r="V468" s="45">
        <f t="shared" si="74"/>
        <v>1</v>
      </c>
      <c r="W468" s="45">
        <f t="shared" si="75"/>
        <v>0.96911790064290204</v>
      </c>
      <c r="X468" s="45">
        <f t="shared" si="76"/>
        <v>1</v>
      </c>
      <c r="Y468" s="45">
        <f t="shared" si="77"/>
        <v>0.99750128793645698</v>
      </c>
      <c r="Z468" s="45">
        <f t="shared" si="78"/>
        <v>1</v>
      </c>
      <c r="AA468" s="45">
        <f t="shared" si="79"/>
        <v>0.99485239642830803</v>
      </c>
      <c r="AB468" s="45">
        <f t="shared" si="80"/>
        <v>1.0025049712654628</v>
      </c>
      <c r="AC468" s="45">
        <f t="shared" si="81"/>
        <v>1</v>
      </c>
      <c r="AD468" s="45">
        <f t="shared" si="82"/>
        <v>0.96368975188905692</v>
      </c>
      <c r="AE468" s="45">
        <f t="shared" si="83"/>
        <v>0.99607334404033498</v>
      </c>
      <c r="AF468" s="45">
        <f t="shared" si="84"/>
        <v>0.98889705944490358</v>
      </c>
      <c r="AG468" s="45">
        <f t="shared" si="85"/>
        <v>1.0033202760454245</v>
      </c>
      <c r="AH468" s="45">
        <f t="shared" si="86"/>
        <v>1.0039205189710889</v>
      </c>
      <c r="AI468" s="45">
        <f t="shared" si="87"/>
        <v>1.0032649405931351</v>
      </c>
      <c r="AJ468" s="45">
        <f t="shared" si="88"/>
        <v>0.99490543511804763</v>
      </c>
      <c r="AK468" s="45">
        <f t="shared" si="89"/>
        <v>1.0006749909704511</v>
      </c>
      <c r="AL468" s="45">
        <f t="shared" si="90"/>
        <v>1.0006198014118004</v>
      </c>
      <c r="AM468" s="45">
        <f t="shared" si="91"/>
        <v>1.0000215319813752</v>
      </c>
      <c r="AN468" s="45">
        <f t="shared" si="92"/>
        <v>0.99989419712038896</v>
      </c>
      <c r="AS468" s="50" cm="1">
        <f t="array" ref="AS468">SUMPRODUCT(($V468:$AN468&lt;=$I183)*(1))/COUNT($V468:$AN468)</f>
        <v>0</v>
      </c>
      <c r="AT468" s="50" cm="1">
        <f t="array" ref="AT468">SUMPRODUCT(($V468:$AN468&lt;=$J183)*(1))/COUNT($V468:$AN468)</f>
        <v>0</v>
      </c>
      <c r="AU468" s="50" cm="1">
        <f t="array" ref="AU468">SUMPRODUCT(($V468:$AN468&lt;=$K183)*(1))/COUNT($V468:$AN468)</f>
        <v>0</v>
      </c>
      <c r="AW468" s="52" cm="1">
        <f t="array" ref="AW468">SUMPRODUCT(($V468:$AN468&lt;=$I183)*(1))</f>
        <v>0</v>
      </c>
      <c r="AX468" s="52" cm="1">
        <f t="array" ref="AX468">SUMPRODUCT(($V468:$AN468&lt;=$J183)*(1))</f>
        <v>0</v>
      </c>
      <c r="AY468" s="52" cm="1">
        <f t="array" ref="AY468">SUMPRODUCT(($V468:$AN468&lt;=$K183)*(1))</f>
        <v>0</v>
      </c>
      <c r="BA468" s="52">
        <f t="shared" si="96"/>
        <v>0</v>
      </c>
      <c r="BB468" s="52">
        <f t="shared" si="97"/>
        <v>0</v>
      </c>
      <c r="BC468" s="52">
        <f t="shared" si="98"/>
        <v>0</v>
      </c>
      <c r="BE468" s="50">
        <f t="shared" si="93"/>
        <v>0</v>
      </c>
      <c r="BF468" s="50">
        <f t="shared" si="94"/>
        <v>0</v>
      </c>
      <c r="BG468" s="50">
        <f t="shared" si="95"/>
        <v>0</v>
      </c>
    </row>
    <row r="469" spans="4:59" ht="15.6">
      <c r="D469" s="44"/>
      <c r="M469" s="42"/>
      <c r="N469" s="39" t="s">
        <v>27</v>
      </c>
      <c r="O469" s="39" t="s">
        <v>468</v>
      </c>
      <c r="P469" t="s">
        <v>783</v>
      </c>
      <c r="R469" s="41"/>
      <c r="S469" s="42"/>
      <c r="T469" s="42"/>
      <c r="U469" s="42"/>
      <c r="V469" s="45">
        <f t="shared" si="74"/>
        <v>1</v>
      </c>
      <c r="W469" s="45">
        <f t="shared" si="75"/>
        <v>1</v>
      </c>
      <c r="X469" s="45">
        <f t="shared" si="76"/>
        <v>1</v>
      </c>
      <c r="Y469" s="45">
        <f t="shared" si="77"/>
        <v>1</v>
      </c>
      <c r="Z469" s="45">
        <f t="shared" si="78"/>
        <v>1</v>
      </c>
      <c r="AA469" s="45">
        <f t="shared" si="79"/>
        <v>1</v>
      </c>
      <c r="AB469" s="45">
        <f t="shared" si="80"/>
        <v>1</v>
      </c>
      <c r="AC469" s="45">
        <f t="shared" si="81"/>
        <v>1</v>
      </c>
      <c r="AD469" s="45">
        <f t="shared" si="82"/>
        <v>0.93478930745561595</v>
      </c>
      <c r="AE469" s="45">
        <f t="shared" si="83"/>
        <v>1</v>
      </c>
      <c r="AF469" s="45">
        <f t="shared" si="84"/>
        <v>1</v>
      </c>
      <c r="AG469" s="45">
        <f t="shared" si="85"/>
        <v>1</v>
      </c>
      <c r="AH469" s="45">
        <f t="shared" si="86"/>
        <v>1</v>
      </c>
      <c r="AI469" s="45">
        <f t="shared" si="87"/>
        <v>1</v>
      </c>
      <c r="AJ469" s="45">
        <f t="shared" si="88"/>
        <v>1</v>
      </c>
      <c r="AK469" s="45">
        <f t="shared" si="89"/>
        <v>1</v>
      </c>
      <c r="AL469" s="45">
        <f t="shared" si="90"/>
        <v>1</v>
      </c>
      <c r="AM469" s="45">
        <f t="shared" si="91"/>
        <v>1</v>
      </c>
      <c r="AN469" s="45">
        <f t="shared" si="92"/>
        <v>1</v>
      </c>
      <c r="AS469" s="50" cm="1">
        <f t="array" ref="AS469">SUMPRODUCT(($V469:$AN469&lt;=$I184)*(1))/COUNT($V469:$AN469)</f>
        <v>5.2631578947368418E-2</v>
      </c>
      <c r="AT469" s="50" cm="1">
        <f t="array" ref="AT469">SUMPRODUCT(($V469:$AN469&lt;=$J184)*(1))/COUNT($V469:$AN469)</f>
        <v>0</v>
      </c>
      <c r="AU469" s="50" cm="1">
        <f t="array" ref="AU469">SUMPRODUCT(($V469:$AN469&lt;=$K184)*(1))/COUNT($V469:$AN469)</f>
        <v>0</v>
      </c>
      <c r="AW469" s="52" cm="1">
        <f t="array" ref="AW469">SUMPRODUCT(($V469:$AN469&lt;=$I184)*(1))</f>
        <v>1</v>
      </c>
      <c r="AX469" s="52" cm="1">
        <f t="array" ref="AX469">SUMPRODUCT(($V469:$AN469&lt;=$J184)*(1))</f>
        <v>0</v>
      </c>
      <c r="AY469" s="52" cm="1">
        <f t="array" ref="AY469">SUMPRODUCT(($V469:$AN469&lt;=$K184)*(1))</f>
        <v>0</v>
      </c>
      <c r="BA469" s="52">
        <f t="shared" si="96"/>
        <v>1</v>
      </c>
      <c r="BB469" s="52">
        <f t="shared" si="97"/>
        <v>0</v>
      </c>
      <c r="BC469" s="52">
        <f t="shared" si="98"/>
        <v>0</v>
      </c>
      <c r="BE469" s="50">
        <f t="shared" si="93"/>
        <v>5.2631578947368418E-2</v>
      </c>
      <c r="BF469" s="50">
        <f t="shared" si="94"/>
        <v>0</v>
      </c>
      <c r="BG469" s="50">
        <f t="shared" si="95"/>
        <v>0</v>
      </c>
    </row>
    <row r="470" spans="4:59" ht="15.6">
      <c r="D470" s="44"/>
      <c r="M470" s="42"/>
      <c r="N470" s="39" t="s">
        <v>27</v>
      </c>
      <c r="O470" s="39" t="s">
        <v>613</v>
      </c>
      <c r="P470" t="s">
        <v>784</v>
      </c>
      <c r="R470" s="41"/>
      <c r="S470" s="42"/>
      <c r="T470" s="42"/>
      <c r="U470" s="42"/>
      <c r="V470" s="45">
        <f t="shared" si="74"/>
        <v>1.1158043440702459</v>
      </c>
      <c r="W470" s="45">
        <f t="shared" si="75"/>
        <v>0.9363987875972305</v>
      </c>
      <c r="X470" s="45">
        <f t="shared" si="76"/>
        <v>1.2283917257749561</v>
      </c>
      <c r="Y470" s="45">
        <f t="shared" si="77"/>
        <v>1.0208237134207001</v>
      </c>
      <c r="Z470" s="45">
        <f t="shared" si="78"/>
        <v>1.1109844494008905</v>
      </c>
      <c r="AA470" s="45">
        <f t="shared" si="79"/>
        <v>1.1035884353117624</v>
      </c>
      <c r="AB470" s="45">
        <f t="shared" si="80"/>
        <v>1.0660189410572378</v>
      </c>
      <c r="AC470" s="45">
        <f t="shared" si="81"/>
        <v>0.74647019822596783</v>
      </c>
      <c r="AD470" s="45">
        <f t="shared" si="82"/>
        <v>0.82909668081835575</v>
      </c>
      <c r="AE470" s="45">
        <f t="shared" si="83"/>
        <v>0.79245665890468919</v>
      </c>
      <c r="AF470" s="45">
        <f t="shared" si="84"/>
        <v>1.0145283342580378</v>
      </c>
      <c r="AG470" s="45">
        <f t="shared" si="85"/>
        <v>1.1408625438895974</v>
      </c>
      <c r="AH470" s="45">
        <f t="shared" si="86"/>
        <v>1.0291848176609297</v>
      </c>
      <c r="AI470" s="45">
        <f t="shared" si="87"/>
        <v>1.2221628714545947</v>
      </c>
      <c r="AJ470" s="45">
        <f t="shared" si="88"/>
        <v>0.97126115320469608</v>
      </c>
      <c r="AK470" s="45">
        <f t="shared" si="89"/>
        <v>1.2685972385930915</v>
      </c>
      <c r="AL470" s="45">
        <f t="shared" si="90"/>
        <v>1.0353843957841722</v>
      </c>
      <c r="AM470" s="45">
        <f t="shared" si="91"/>
        <v>1.029755931371519</v>
      </c>
      <c r="AN470" s="45">
        <f t="shared" si="92"/>
        <v>0.75247655720606055</v>
      </c>
      <c r="AS470" s="50" cm="1">
        <f t="array" ref="AS470">SUMPRODUCT(($V470:$AN470&lt;=$I185)*(1))/COUNT($V470:$AN470)</f>
        <v>0.26315789473684209</v>
      </c>
      <c r="AT470" s="50" cm="1">
        <f t="array" ref="AT470">SUMPRODUCT(($V470:$AN470&lt;=$J185)*(1))/COUNT($V470:$AN470)</f>
        <v>0.21052631578947367</v>
      </c>
      <c r="AU470" s="50" cm="1">
        <f t="array" ref="AU470">SUMPRODUCT(($V470:$AN470&lt;=$K185)*(1))/COUNT($V470:$AN470)</f>
        <v>5.2631578947368418E-2</v>
      </c>
      <c r="AW470" s="52" cm="1">
        <f t="array" ref="AW470">SUMPRODUCT(($V470:$AN470&lt;=$I185)*(1))</f>
        <v>5</v>
      </c>
      <c r="AX470" s="52" cm="1">
        <f t="array" ref="AX470">SUMPRODUCT(($V470:$AN470&lt;=$J185)*(1))</f>
        <v>4</v>
      </c>
      <c r="AY470" s="52" cm="1">
        <f t="array" ref="AY470">SUMPRODUCT(($V470:$AN470&lt;=$K185)*(1))</f>
        <v>1</v>
      </c>
      <c r="BA470" s="52">
        <f t="shared" si="96"/>
        <v>1</v>
      </c>
      <c r="BB470" s="52">
        <f t="shared" si="97"/>
        <v>3</v>
      </c>
      <c r="BC470" s="52">
        <f t="shared" si="98"/>
        <v>1</v>
      </c>
      <c r="BE470" s="50">
        <f t="shared" si="93"/>
        <v>5.2631578947368418E-2</v>
      </c>
      <c r="BF470" s="50">
        <f t="shared" si="94"/>
        <v>0.15789473684210525</v>
      </c>
      <c r="BG470" s="50">
        <f t="shared" si="95"/>
        <v>5.2631578947368418E-2</v>
      </c>
    </row>
    <row r="471" spans="4:59" ht="15.6">
      <c r="D471" s="44"/>
      <c r="M471" s="42"/>
      <c r="N471" s="39" t="s">
        <v>27</v>
      </c>
      <c r="O471" s="39" t="s">
        <v>609</v>
      </c>
      <c r="P471" t="s">
        <v>785</v>
      </c>
      <c r="R471" s="41"/>
      <c r="S471" s="42"/>
      <c r="T471" s="42"/>
      <c r="U471" s="42"/>
      <c r="V471" s="45">
        <f t="shared" si="74"/>
        <v>1</v>
      </c>
      <c r="W471" s="45">
        <f t="shared" si="75"/>
        <v>0.91925979251924905</v>
      </c>
      <c r="X471" s="45">
        <f t="shared" si="76"/>
        <v>1</v>
      </c>
      <c r="Y471" s="45">
        <f t="shared" si="77"/>
        <v>1</v>
      </c>
      <c r="Z471" s="45">
        <f t="shared" si="78"/>
        <v>0.98438283230298596</v>
      </c>
      <c r="AA471" s="45">
        <f t="shared" si="79"/>
        <v>1</v>
      </c>
      <c r="AB471" s="45">
        <f t="shared" si="80"/>
        <v>1</v>
      </c>
      <c r="AC471" s="45">
        <f t="shared" si="81"/>
        <v>0.84804898641778703</v>
      </c>
      <c r="AD471" s="45">
        <f t="shared" si="82"/>
        <v>0.95961597876903293</v>
      </c>
      <c r="AE471" s="45">
        <f t="shared" si="83"/>
        <v>1.0158649330164335</v>
      </c>
      <c r="AF471" s="45">
        <f t="shared" si="84"/>
        <v>1</v>
      </c>
      <c r="AG471" s="45">
        <f t="shared" si="85"/>
        <v>0.99461529742230892</v>
      </c>
      <c r="AH471" s="45">
        <f t="shared" si="86"/>
        <v>1.0054138545743729</v>
      </c>
      <c r="AI471" s="45">
        <f t="shared" si="87"/>
        <v>1</v>
      </c>
      <c r="AJ471" s="45">
        <f t="shared" si="88"/>
        <v>0.98557416725742397</v>
      </c>
      <c r="AK471" s="45">
        <f t="shared" si="89"/>
        <v>1</v>
      </c>
      <c r="AL471" s="45">
        <f t="shared" si="90"/>
        <v>1</v>
      </c>
      <c r="AM471" s="45">
        <f t="shared" si="91"/>
        <v>1</v>
      </c>
      <c r="AN471" s="45">
        <f t="shared" si="92"/>
        <v>0.92727319877513592</v>
      </c>
      <c r="AS471" s="50" cm="1">
        <f t="array" ref="AS471">SUMPRODUCT(($V471:$AN471&lt;=$I186)*(1))/COUNT($V471:$AN471)</f>
        <v>0.15789473684210525</v>
      </c>
      <c r="AT471" s="50" cm="1">
        <f t="array" ref="AT471">SUMPRODUCT(($V471:$AN471&lt;=$J186)*(1))/COUNT($V471:$AN471)</f>
        <v>5.2631578947368418E-2</v>
      </c>
      <c r="AU471" s="50" cm="1">
        <f t="array" ref="AU471">SUMPRODUCT(($V471:$AN471&lt;=$K186)*(1))/COUNT($V471:$AN471)</f>
        <v>0</v>
      </c>
      <c r="AW471" s="52" cm="1">
        <f t="array" ref="AW471">SUMPRODUCT(($V471:$AN471&lt;=$I186)*(1))</f>
        <v>3</v>
      </c>
      <c r="AX471" s="52" cm="1">
        <f t="array" ref="AX471">SUMPRODUCT(($V471:$AN471&lt;=$J186)*(1))</f>
        <v>1</v>
      </c>
      <c r="AY471" s="52" cm="1">
        <f t="array" ref="AY471">SUMPRODUCT(($V471:$AN471&lt;=$K186)*(1))</f>
        <v>0</v>
      </c>
      <c r="BA471" s="52">
        <f t="shared" si="96"/>
        <v>2</v>
      </c>
      <c r="BB471" s="52">
        <f t="shared" si="97"/>
        <v>1</v>
      </c>
      <c r="BC471" s="52">
        <f t="shared" si="98"/>
        <v>0</v>
      </c>
      <c r="BE471" s="50">
        <f t="shared" si="93"/>
        <v>0.10526315789473684</v>
      </c>
      <c r="BF471" s="50">
        <f t="shared" si="94"/>
        <v>5.2631578947368418E-2</v>
      </c>
      <c r="BG471" s="50">
        <f t="shared" si="95"/>
        <v>0</v>
      </c>
    </row>
    <row r="472" spans="4:59" ht="15.6">
      <c r="D472" s="44"/>
      <c r="M472" s="42"/>
      <c r="N472" s="39" t="s">
        <v>27</v>
      </c>
      <c r="O472" s="39" t="s">
        <v>542</v>
      </c>
      <c r="P472" t="s">
        <v>786</v>
      </c>
      <c r="R472" s="41"/>
      <c r="S472" s="42"/>
      <c r="T472" s="42"/>
      <c r="U472" s="42"/>
      <c r="V472" s="45">
        <f t="shared" si="74"/>
        <v>1</v>
      </c>
      <c r="W472" s="45">
        <f t="shared" si="75"/>
        <v>0.90639734360640001</v>
      </c>
      <c r="X472" s="45">
        <f t="shared" si="76"/>
        <v>1</v>
      </c>
      <c r="Y472" s="45">
        <f t="shared" si="77"/>
        <v>1</v>
      </c>
      <c r="Z472" s="45">
        <f t="shared" si="78"/>
        <v>0.99515462168046898</v>
      </c>
      <c r="AA472" s="45">
        <f t="shared" si="79"/>
        <v>0.9056960600071019</v>
      </c>
      <c r="AB472" s="45">
        <f t="shared" si="80"/>
        <v>1.0048689703227713</v>
      </c>
      <c r="AC472" s="45">
        <f t="shared" si="81"/>
        <v>0.99730407538645394</v>
      </c>
      <c r="AD472" s="45">
        <f t="shared" si="82"/>
        <v>0.94542846990260654</v>
      </c>
      <c r="AE472" s="45">
        <f t="shared" si="83"/>
        <v>0.98022760150589161</v>
      </c>
      <c r="AF472" s="45">
        <f t="shared" si="84"/>
        <v>0.95757567803523003</v>
      </c>
      <c r="AG472" s="45">
        <f t="shared" si="85"/>
        <v>1.0023954586309094</v>
      </c>
      <c r="AH472" s="45">
        <f t="shared" si="86"/>
        <v>1.0251384155873842</v>
      </c>
      <c r="AI472" s="45">
        <f t="shared" si="87"/>
        <v>1.0251384155873842</v>
      </c>
      <c r="AJ472" s="45">
        <f t="shared" si="88"/>
        <v>1.0043496664560956</v>
      </c>
      <c r="AK472" s="45">
        <f t="shared" si="89"/>
        <v>1.0182595180668725</v>
      </c>
      <c r="AL472" s="45">
        <f t="shared" si="90"/>
        <v>1</v>
      </c>
      <c r="AM472" s="45">
        <f t="shared" si="91"/>
        <v>1</v>
      </c>
      <c r="AN472" s="45">
        <f t="shared" si="92"/>
        <v>0.98900320806817599</v>
      </c>
      <c r="AS472" s="50" cm="1">
        <f t="array" ref="AS472">SUMPRODUCT(($V472:$AN472&lt;=$I187)*(1))/COUNT($V472:$AN472)</f>
        <v>0.15789473684210525</v>
      </c>
      <c r="AT472" s="50" cm="1">
        <f t="array" ref="AT472">SUMPRODUCT(($V472:$AN472&lt;=$J187)*(1))/COUNT($V472:$AN472)</f>
        <v>0</v>
      </c>
      <c r="AU472" s="50" cm="1">
        <f t="array" ref="AU472">SUMPRODUCT(($V472:$AN472&lt;=$K187)*(1))/COUNT($V472:$AN472)</f>
        <v>0</v>
      </c>
      <c r="AW472" s="52" cm="1">
        <f t="array" ref="AW472">SUMPRODUCT(($V472:$AN472&lt;=$I187)*(1))</f>
        <v>3</v>
      </c>
      <c r="AX472" s="52" cm="1">
        <f t="array" ref="AX472">SUMPRODUCT(($V472:$AN472&lt;=$J187)*(1))</f>
        <v>0</v>
      </c>
      <c r="AY472" s="52" cm="1">
        <f t="array" ref="AY472">SUMPRODUCT(($V472:$AN472&lt;=$K187)*(1))</f>
        <v>0</v>
      </c>
      <c r="BA472" s="52">
        <f t="shared" si="96"/>
        <v>3</v>
      </c>
      <c r="BB472" s="52">
        <f t="shared" si="97"/>
        <v>0</v>
      </c>
      <c r="BC472" s="52">
        <f t="shared" si="98"/>
        <v>0</v>
      </c>
      <c r="BE472" s="50">
        <f t="shared" si="93"/>
        <v>0.15789473684210525</v>
      </c>
      <c r="BF472" s="50">
        <f t="shared" si="94"/>
        <v>0</v>
      </c>
      <c r="BG472" s="50">
        <f t="shared" si="95"/>
        <v>0</v>
      </c>
    </row>
    <row r="473" spans="4:59" ht="15.6">
      <c r="D473" s="44"/>
      <c r="M473" s="42"/>
      <c r="N473" s="39" t="s">
        <v>27</v>
      </c>
      <c r="O473" s="39" t="s">
        <v>494</v>
      </c>
      <c r="P473" t="s">
        <v>787</v>
      </c>
      <c r="R473" s="41"/>
      <c r="S473" s="42"/>
      <c r="T473" s="42"/>
      <c r="U473" s="42"/>
      <c r="V473" s="45">
        <f t="shared" si="74"/>
        <v>1</v>
      </c>
      <c r="W473" s="45">
        <f t="shared" si="75"/>
        <v>1</v>
      </c>
      <c r="X473" s="45">
        <f t="shared" si="76"/>
        <v>1</v>
      </c>
      <c r="Y473" s="45">
        <f t="shared" si="77"/>
        <v>1</v>
      </c>
      <c r="Z473" s="45">
        <f t="shared" si="78"/>
        <v>1</v>
      </c>
      <c r="AA473" s="45">
        <f t="shared" si="79"/>
        <v>1</v>
      </c>
      <c r="AB473" s="45">
        <f t="shared" si="80"/>
        <v>1</v>
      </c>
      <c r="AC473" s="45">
        <f t="shared" si="81"/>
        <v>1</v>
      </c>
      <c r="AD473" s="45">
        <f t="shared" si="82"/>
        <v>0.99264819621399591</v>
      </c>
      <c r="AE473" s="45">
        <f t="shared" si="83"/>
        <v>1</v>
      </c>
      <c r="AF473" s="45">
        <f t="shared" si="84"/>
        <v>1</v>
      </c>
      <c r="AG473" s="45">
        <f t="shared" si="85"/>
        <v>1</v>
      </c>
      <c r="AH473" s="45">
        <f t="shared" si="86"/>
        <v>1</v>
      </c>
      <c r="AI473" s="45">
        <f t="shared" si="87"/>
        <v>1</v>
      </c>
      <c r="AJ473" s="45">
        <f t="shared" si="88"/>
        <v>0.99714585271517298</v>
      </c>
      <c r="AK473" s="45">
        <f t="shared" si="89"/>
        <v>1</v>
      </c>
      <c r="AL473" s="45">
        <f t="shared" si="90"/>
        <v>1</v>
      </c>
      <c r="AM473" s="45">
        <f t="shared" si="91"/>
        <v>1</v>
      </c>
      <c r="AN473" s="45">
        <f t="shared" si="92"/>
        <v>1</v>
      </c>
      <c r="AS473" s="50" cm="1">
        <f t="array" ref="AS473">SUMPRODUCT(($V473:$AN473&lt;=$I188)*(1))/COUNT($V473:$AN473)</f>
        <v>0</v>
      </c>
      <c r="AT473" s="50" cm="1">
        <f t="array" ref="AT473">SUMPRODUCT(($V473:$AN473&lt;=$J188)*(1))/COUNT($V473:$AN473)</f>
        <v>0</v>
      </c>
      <c r="AU473" s="50" cm="1">
        <f t="array" ref="AU473">SUMPRODUCT(($V473:$AN473&lt;=$K188)*(1))/COUNT($V473:$AN473)</f>
        <v>0</v>
      </c>
      <c r="AW473" s="52" cm="1">
        <f t="array" ref="AW473">SUMPRODUCT(($V473:$AN473&lt;=$I188)*(1))</f>
        <v>0</v>
      </c>
      <c r="AX473" s="52" cm="1">
        <f t="array" ref="AX473">SUMPRODUCT(($V473:$AN473&lt;=$J188)*(1))</f>
        <v>0</v>
      </c>
      <c r="AY473" s="52" cm="1">
        <f t="array" ref="AY473">SUMPRODUCT(($V473:$AN473&lt;=$K188)*(1))</f>
        <v>0</v>
      </c>
      <c r="BA473" s="52">
        <f t="shared" si="96"/>
        <v>0</v>
      </c>
      <c r="BB473" s="52">
        <f t="shared" si="97"/>
        <v>0</v>
      </c>
      <c r="BC473" s="52">
        <f t="shared" si="98"/>
        <v>0</v>
      </c>
      <c r="BE473" s="50">
        <f t="shared" si="93"/>
        <v>0</v>
      </c>
      <c r="BF473" s="50">
        <f t="shared" si="94"/>
        <v>0</v>
      </c>
      <c r="BG473" s="50">
        <f t="shared" si="95"/>
        <v>0</v>
      </c>
    </row>
    <row r="474" spans="4:59" ht="15.6">
      <c r="D474" s="44"/>
      <c r="M474" s="42"/>
      <c r="N474" s="39" t="s">
        <v>27</v>
      </c>
      <c r="O474" s="39" t="s">
        <v>537</v>
      </c>
      <c r="P474" t="s">
        <v>788</v>
      </c>
      <c r="R474" s="41"/>
      <c r="S474" s="42"/>
      <c r="T474" s="42"/>
      <c r="U474" s="42"/>
      <c r="V474" s="45">
        <f t="shared" si="74"/>
        <v>1.0009656504958424</v>
      </c>
      <c r="W474" s="45">
        <f t="shared" si="75"/>
        <v>0.92969423898524695</v>
      </c>
      <c r="X474" s="45">
        <f t="shared" si="76"/>
        <v>1.001278395964978</v>
      </c>
      <c r="Y474" s="45">
        <f t="shared" si="77"/>
        <v>0.99839598367046234</v>
      </c>
      <c r="Z474" s="45">
        <f t="shared" si="78"/>
        <v>0.96957043885185235</v>
      </c>
      <c r="AA474" s="45">
        <f t="shared" si="79"/>
        <v>0.99388652550123247</v>
      </c>
      <c r="AB474" s="45">
        <f t="shared" si="80"/>
        <v>1.0087062142483583</v>
      </c>
      <c r="AC474" s="45">
        <f t="shared" si="81"/>
        <v>1.0022704640110176</v>
      </c>
      <c r="AD474" s="45">
        <f t="shared" si="82"/>
        <v>0.92789203169081214</v>
      </c>
      <c r="AE474" s="45">
        <f t="shared" si="83"/>
        <v>0.91355313440602159</v>
      </c>
      <c r="AF474" s="45">
        <f t="shared" si="84"/>
        <v>0.9589369991903901</v>
      </c>
      <c r="AG474" s="45">
        <f t="shared" si="85"/>
        <v>1.034801945716886</v>
      </c>
      <c r="AH474" s="45">
        <f t="shared" si="86"/>
        <v>1.0506246929388665</v>
      </c>
      <c r="AI474" s="45">
        <f t="shared" si="87"/>
        <v>1.0331071755241199</v>
      </c>
      <c r="AJ474" s="45">
        <f t="shared" si="88"/>
        <v>1.0059036943622319</v>
      </c>
      <c r="AK474" s="45">
        <f t="shared" si="89"/>
        <v>1.013832137523655</v>
      </c>
      <c r="AL474" s="45">
        <f t="shared" si="90"/>
        <v>1.0118491008518145</v>
      </c>
      <c r="AM474" s="45">
        <f t="shared" si="91"/>
        <v>1.0013045304786532</v>
      </c>
      <c r="AN474" s="45">
        <f t="shared" si="92"/>
        <v>0.9986620349150287</v>
      </c>
      <c r="AS474" s="50" cm="1">
        <f t="array" ref="AS474">SUMPRODUCT(($V474:$AN474&lt;=$I189)*(1))/COUNT($V474:$AN474)</f>
        <v>0.15789473684210525</v>
      </c>
      <c r="AT474" s="50" cm="1">
        <f t="array" ref="AT474">SUMPRODUCT(($V474:$AN474&lt;=$J189)*(1))/COUNT($V474:$AN474)</f>
        <v>0</v>
      </c>
      <c r="AU474" s="50" cm="1">
        <f t="array" ref="AU474">SUMPRODUCT(($V474:$AN474&lt;=$K189)*(1))/COUNT($V474:$AN474)</f>
        <v>0</v>
      </c>
      <c r="AW474" s="52" cm="1">
        <f t="array" ref="AW474">SUMPRODUCT(($V474:$AN474&lt;=$I189)*(1))</f>
        <v>3</v>
      </c>
      <c r="AX474" s="52" cm="1">
        <f t="array" ref="AX474">SUMPRODUCT(($V474:$AN474&lt;=$J189)*(1))</f>
        <v>0</v>
      </c>
      <c r="AY474" s="52" cm="1">
        <f t="array" ref="AY474">SUMPRODUCT(($V474:$AN474&lt;=$K189)*(1))</f>
        <v>0</v>
      </c>
      <c r="BA474" s="52">
        <f t="shared" si="96"/>
        <v>3</v>
      </c>
      <c r="BB474" s="52">
        <f t="shared" si="97"/>
        <v>0</v>
      </c>
      <c r="BC474" s="52">
        <f t="shared" si="98"/>
        <v>0</v>
      </c>
      <c r="BE474" s="50">
        <f t="shared" si="93"/>
        <v>0.15789473684210525</v>
      </c>
      <c r="BF474" s="50">
        <f t="shared" si="94"/>
        <v>0</v>
      </c>
      <c r="BG474" s="50">
        <f t="shared" si="95"/>
        <v>0</v>
      </c>
    </row>
    <row r="475" spans="4:59" ht="15.6">
      <c r="D475" s="44"/>
      <c r="M475" s="42"/>
      <c r="N475" s="39" t="s">
        <v>27</v>
      </c>
      <c r="O475" s="39" t="s">
        <v>181</v>
      </c>
      <c r="P475" t="s">
        <v>789</v>
      </c>
      <c r="R475" s="41"/>
      <c r="S475" s="42"/>
      <c r="T475" s="42"/>
      <c r="U475" s="42"/>
      <c r="V475" s="45">
        <f t="shared" si="74"/>
        <v>1</v>
      </c>
      <c r="W475" s="45">
        <f t="shared" si="75"/>
        <v>1</v>
      </c>
      <c r="X475" s="45">
        <f t="shared" si="76"/>
        <v>1</v>
      </c>
      <c r="Y475" s="45">
        <f t="shared" si="77"/>
        <v>1</v>
      </c>
      <c r="Z475" s="45">
        <f t="shared" si="78"/>
        <v>1</v>
      </c>
      <c r="AA475" s="45">
        <f t="shared" si="79"/>
        <v>1</v>
      </c>
      <c r="AB475" s="45">
        <f t="shared" si="80"/>
        <v>1</v>
      </c>
      <c r="AC475" s="45">
        <f t="shared" si="81"/>
        <v>1</v>
      </c>
      <c r="AD475" s="45">
        <f t="shared" si="82"/>
        <v>1</v>
      </c>
      <c r="AE475" s="45">
        <f t="shared" si="83"/>
        <v>1</v>
      </c>
      <c r="AF475" s="45">
        <f t="shared" si="84"/>
        <v>1</v>
      </c>
      <c r="AG475" s="45">
        <f t="shared" si="85"/>
        <v>1</v>
      </c>
      <c r="AH475" s="45">
        <f t="shared" si="86"/>
        <v>1</v>
      </c>
      <c r="AI475" s="45">
        <f t="shared" si="87"/>
        <v>1</v>
      </c>
      <c r="AJ475" s="45">
        <f t="shared" si="88"/>
        <v>1</v>
      </c>
      <c r="AK475" s="45">
        <f t="shared" si="89"/>
        <v>1</v>
      </c>
      <c r="AL475" s="45">
        <f t="shared" si="90"/>
        <v>1</v>
      </c>
      <c r="AM475" s="45">
        <f t="shared" si="91"/>
        <v>1</v>
      </c>
      <c r="AN475" s="45">
        <f t="shared" si="92"/>
        <v>1</v>
      </c>
      <c r="AS475" s="50" cm="1">
        <f t="array" ref="AS475">SUMPRODUCT(($V475:$AN475&lt;=$I190)*(1))/COUNT($V475:$AN475)</f>
        <v>0</v>
      </c>
      <c r="AT475" s="50" cm="1">
        <f t="array" ref="AT475">SUMPRODUCT(($V475:$AN475&lt;=$J190)*(1))/COUNT($V475:$AN475)</f>
        <v>0</v>
      </c>
      <c r="AU475" s="50" cm="1">
        <f t="array" ref="AU475">SUMPRODUCT(($V475:$AN475&lt;=$K190)*(1))/COUNT($V475:$AN475)</f>
        <v>0</v>
      </c>
      <c r="AW475" s="52" cm="1">
        <f t="array" ref="AW475">SUMPRODUCT(($V475:$AN475&lt;=$I190)*(1))</f>
        <v>0</v>
      </c>
      <c r="AX475" s="52" cm="1">
        <f t="array" ref="AX475">SUMPRODUCT(($V475:$AN475&lt;=$J190)*(1))</f>
        <v>0</v>
      </c>
      <c r="AY475" s="52" cm="1">
        <f t="array" ref="AY475">SUMPRODUCT(($V475:$AN475&lt;=$K190)*(1))</f>
        <v>0</v>
      </c>
      <c r="BA475" s="52">
        <f t="shared" si="96"/>
        <v>0</v>
      </c>
      <c r="BB475" s="52">
        <f t="shared" si="97"/>
        <v>0</v>
      </c>
      <c r="BC475" s="52">
        <f t="shared" si="98"/>
        <v>0</v>
      </c>
      <c r="BE475" s="50">
        <f t="shared" si="93"/>
        <v>0</v>
      </c>
      <c r="BF475" s="50">
        <f t="shared" si="94"/>
        <v>0</v>
      </c>
      <c r="BG475" s="50">
        <f t="shared" si="95"/>
        <v>0</v>
      </c>
    </row>
    <row r="476" spans="4:59" ht="15.6">
      <c r="D476" s="44"/>
      <c r="M476" s="42"/>
      <c r="N476" s="39" t="s">
        <v>27</v>
      </c>
      <c r="O476" s="39" t="s">
        <v>448</v>
      </c>
      <c r="P476" t="s">
        <v>790</v>
      </c>
      <c r="R476" s="41"/>
      <c r="S476" s="42"/>
      <c r="T476" s="42"/>
      <c r="U476" s="42"/>
      <c r="V476" s="45">
        <f t="shared" si="74"/>
        <v>1.0010951068449796</v>
      </c>
      <c r="W476" s="45">
        <f t="shared" si="75"/>
        <v>0.99586882903161711</v>
      </c>
      <c r="X476" s="45">
        <f t="shared" si="76"/>
        <v>1.0053590818030391</v>
      </c>
      <c r="Y476" s="45">
        <f t="shared" si="77"/>
        <v>1.0010895789436591</v>
      </c>
      <c r="Z476" s="45">
        <f t="shared" si="78"/>
        <v>0.99555008833710978</v>
      </c>
      <c r="AA476" s="45">
        <f t="shared" si="79"/>
        <v>1.0039294307762594</v>
      </c>
      <c r="AB476" s="45">
        <f t="shared" si="80"/>
        <v>1.0028798293880015</v>
      </c>
      <c r="AC476" s="45">
        <f t="shared" si="81"/>
        <v>1.0000429466011673</v>
      </c>
      <c r="AD476" s="45">
        <f t="shared" si="82"/>
        <v>0.95878032234341215</v>
      </c>
      <c r="AE476" s="45">
        <f t="shared" si="83"/>
        <v>0.96403040632773118</v>
      </c>
      <c r="AF476" s="45">
        <f t="shared" si="84"/>
        <v>0.99566573806436398</v>
      </c>
      <c r="AG476" s="45">
        <f t="shared" si="85"/>
        <v>0.99814722118947374</v>
      </c>
      <c r="AH476" s="45">
        <f t="shared" si="86"/>
        <v>1.0030565474478195</v>
      </c>
      <c r="AI476" s="45">
        <f t="shared" si="87"/>
        <v>0.99884011110642656</v>
      </c>
      <c r="AJ476" s="45">
        <f t="shared" si="88"/>
        <v>0.99602666178100385</v>
      </c>
      <c r="AK476" s="45">
        <f t="shared" si="89"/>
        <v>1.0016002220773867</v>
      </c>
      <c r="AL476" s="45">
        <f t="shared" si="90"/>
        <v>1.0062606414869981</v>
      </c>
      <c r="AM476" s="45">
        <f t="shared" si="91"/>
        <v>1.0031813019998559</v>
      </c>
      <c r="AN476" s="45">
        <f t="shared" si="92"/>
        <v>0.99953267668250656</v>
      </c>
      <c r="AS476" s="50" cm="1">
        <f t="array" ref="AS476">SUMPRODUCT(($V476:$AN476&lt;=$I191)*(1))/COUNT($V476:$AN476)</f>
        <v>0</v>
      </c>
      <c r="AT476" s="50" cm="1">
        <f t="array" ref="AT476">SUMPRODUCT(($V476:$AN476&lt;=$J191)*(1))/COUNT($V476:$AN476)</f>
        <v>0</v>
      </c>
      <c r="AU476" s="50" cm="1">
        <f t="array" ref="AU476">SUMPRODUCT(($V476:$AN476&lt;=$K191)*(1))/COUNT($V476:$AN476)</f>
        <v>0</v>
      </c>
      <c r="AW476" s="52" cm="1">
        <f t="array" ref="AW476">SUMPRODUCT(($V476:$AN476&lt;=$I191)*(1))</f>
        <v>0</v>
      </c>
      <c r="AX476" s="52" cm="1">
        <f t="array" ref="AX476">SUMPRODUCT(($V476:$AN476&lt;=$J191)*(1))</f>
        <v>0</v>
      </c>
      <c r="AY476" s="52" cm="1">
        <f t="array" ref="AY476">SUMPRODUCT(($V476:$AN476&lt;=$K191)*(1))</f>
        <v>0</v>
      </c>
      <c r="BA476" s="52">
        <f t="shared" si="96"/>
        <v>0</v>
      </c>
      <c r="BB476" s="52">
        <f t="shared" si="97"/>
        <v>0</v>
      </c>
      <c r="BC476" s="52">
        <f t="shared" si="98"/>
        <v>0</v>
      </c>
      <c r="BE476" s="50">
        <f t="shared" si="93"/>
        <v>0</v>
      </c>
      <c r="BF476" s="50">
        <f t="shared" si="94"/>
        <v>0</v>
      </c>
      <c r="BG476" s="50">
        <f t="shared" si="95"/>
        <v>0</v>
      </c>
    </row>
    <row r="477" spans="4:59" ht="15.6">
      <c r="D477" s="44"/>
      <c r="M477" s="42"/>
      <c r="N477" s="39" t="s">
        <v>27</v>
      </c>
      <c r="O477" s="39" t="s">
        <v>479</v>
      </c>
      <c r="P477" t="s">
        <v>791</v>
      </c>
      <c r="R477" s="41"/>
      <c r="S477" s="42"/>
      <c r="T477" s="42"/>
      <c r="U477" s="42"/>
      <c r="V477" s="45">
        <f t="shared" si="74"/>
        <v>1</v>
      </c>
      <c r="W477" s="45">
        <f t="shared" si="75"/>
        <v>1</v>
      </c>
      <c r="X477" s="45">
        <f t="shared" si="76"/>
        <v>1</v>
      </c>
      <c r="Y477" s="45">
        <f t="shared" si="77"/>
        <v>0.9730139289459051</v>
      </c>
      <c r="Z477" s="45">
        <f t="shared" si="78"/>
        <v>1</v>
      </c>
      <c r="AA477" s="45">
        <f t="shared" si="79"/>
        <v>1</v>
      </c>
      <c r="AB477" s="45">
        <f t="shared" si="80"/>
        <v>1</v>
      </c>
      <c r="AC477" s="45">
        <f t="shared" si="81"/>
        <v>1</v>
      </c>
      <c r="AD477" s="45">
        <f t="shared" si="82"/>
        <v>0.97691920690188894</v>
      </c>
      <c r="AE477" s="45">
        <f t="shared" si="83"/>
        <v>0.96807522373928412</v>
      </c>
      <c r="AF477" s="45">
        <f t="shared" si="84"/>
        <v>0.98675421777201711</v>
      </c>
      <c r="AG477" s="45">
        <f t="shared" si="85"/>
        <v>0.98609461699182699</v>
      </c>
      <c r="AH477" s="45">
        <f t="shared" si="86"/>
        <v>1.023626102276469</v>
      </c>
      <c r="AI477" s="45">
        <f t="shared" si="87"/>
        <v>1.0231725368315812</v>
      </c>
      <c r="AJ477" s="45">
        <f t="shared" si="88"/>
        <v>0.91129311237031707</v>
      </c>
      <c r="AK477" s="45">
        <f t="shared" si="89"/>
        <v>1.0134235881533808</v>
      </c>
      <c r="AL477" s="45">
        <f t="shared" si="90"/>
        <v>1.0004432932165015</v>
      </c>
      <c r="AM477" s="45">
        <f t="shared" si="91"/>
        <v>1</v>
      </c>
      <c r="AN477" s="45">
        <f t="shared" si="92"/>
        <v>1</v>
      </c>
      <c r="AS477" s="50" cm="1">
        <f t="array" ref="AS477">SUMPRODUCT(($V477:$AN477&lt;=$I192)*(1))/COUNT($V477:$AN477)</f>
        <v>5.2631578947368418E-2</v>
      </c>
      <c r="AT477" s="50" cm="1">
        <f t="array" ref="AT477">SUMPRODUCT(($V477:$AN477&lt;=$J192)*(1))/COUNT($V477:$AN477)</f>
        <v>0</v>
      </c>
      <c r="AU477" s="50" cm="1">
        <f t="array" ref="AU477">SUMPRODUCT(($V477:$AN477&lt;=$K192)*(1))/COUNT($V477:$AN477)</f>
        <v>0</v>
      </c>
      <c r="AW477" s="52" cm="1">
        <f t="array" ref="AW477">SUMPRODUCT(($V477:$AN477&lt;=$I192)*(1))</f>
        <v>1</v>
      </c>
      <c r="AX477" s="52" cm="1">
        <f t="array" ref="AX477">SUMPRODUCT(($V477:$AN477&lt;=$J192)*(1))</f>
        <v>0</v>
      </c>
      <c r="AY477" s="52" cm="1">
        <f t="array" ref="AY477">SUMPRODUCT(($V477:$AN477&lt;=$K192)*(1))</f>
        <v>0</v>
      </c>
      <c r="BA477" s="52">
        <f t="shared" si="96"/>
        <v>1</v>
      </c>
      <c r="BB477" s="52">
        <f t="shared" si="97"/>
        <v>0</v>
      </c>
      <c r="BC477" s="52">
        <f t="shared" si="98"/>
        <v>0</v>
      </c>
      <c r="BE477" s="50">
        <f t="shared" si="93"/>
        <v>5.2631578947368418E-2</v>
      </c>
      <c r="BF477" s="50">
        <f t="shared" si="94"/>
        <v>0</v>
      </c>
      <c r="BG477" s="50">
        <f t="shared" si="95"/>
        <v>0</v>
      </c>
    </row>
    <row r="478" spans="4:59" ht="15.6">
      <c r="D478" s="44"/>
      <c r="M478" s="42"/>
      <c r="N478" s="39" t="s">
        <v>27</v>
      </c>
      <c r="O478" s="39" t="s">
        <v>448</v>
      </c>
      <c r="P478" t="s">
        <v>792</v>
      </c>
      <c r="R478" s="41"/>
      <c r="S478" s="42"/>
      <c r="T478" s="42"/>
      <c r="U478" s="42"/>
      <c r="V478" s="45">
        <f t="shared" si="74"/>
        <v>1</v>
      </c>
      <c r="W478" s="45">
        <f t="shared" si="75"/>
        <v>1</v>
      </c>
      <c r="X478" s="45">
        <f t="shared" si="76"/>
        <v>1</v>
      </c>
      <c r="Y478" s="45">
        <f t="shared" si="77"/>
        <v>1</v>
      </c>
      <c r="Z478" s="45">
        <f t="shared" si="78"/>
        <v>1</v>
      </c>
      <c r="AA478" s="45">
        <f t="shared" si="79"/>
        <v>1</v>
      </c>
      <c r="AB478" s="45">
        <f t="shared" si="80"/>
        <v>1</v>
      </c>
      <c r="AC478" s="45">
        <f t="shared" si="81"/>
        <v>1</v>
      </c>
      <c r="AD478" s="45">
        <f t="shared" si="82"/>
        <v>0.98290225952500809</v>
      </c>
      <c r="AE478" s="45">
        <f t="shared" si="83"/>
        <v>1</v>
      </c>
      <c r="AF478" s="45">
        <f t="shared" si="84"/>
        <v>1</v>
      </c>
      <c r="AG478" s="45">
        <f t="shared" si="85"/>
        <v>1</v>
      </c>
      <c r="AH478" s="45">
        <f t="shared" si="86"/>
        <v>1</v>
      </c>
      <c r="AI478" s="45">
        <f t="shared" si="87"/>
        <v>1</v>
      </c>
      <c r="AJ478" s="45">
        <f t="shared" si="88"/>
        <v>0.99189537914602599</v>
      </c>
      <c r="AK478" s="45">
        <f t="shared" si="89"/>
        <v>1</v>
      </c>
      <c r="AL478" s="45">
        <f t="shared" si="90"/>
        <v>1</v>
      </c>
      <c r="AM478" s="45">
        <f t="shared" si="91"/>
        <v>1</v>
      </c>
      <c r="AN478" s="45">
        <f t="shared" si="92"/>
        <v>1</v>
      </c>
      <c r="AS478" s="50" cm="1">
        <f t="array" ref="AS478">SUMPRODUCT(($V478:$AN478&lt;=$I193)*(1))/COUNT($V478:$AN478)</f>
        <v>0</v>
      </c>
      <c r="AT478" s="50" cm="1">
        <f t="array" ref="AT478">SUMPRODUCT(($V478:$AN478&lt;=$J193)*(1))/COUNT($V478:$AN478)</f>
        <v>0</v>
      </c>
      <c r="AU478" s="50" cm="1">
        <f t="array" ref="AU478">SUMPRODUCT(($V478:$AN478&lt;=$K193)*(1))/COUNT($V478:$AN478)</f>
        <v>0</v>
      </c>
      <c r="AW478" s="52" cm="1">
        <f t="array" ref="AW478">SUMPRODUCT(($V478:$AN478&lt;=$I193)*(1))</f>
        <v>0</v>
      </c>
      <c r="AX478" s="52" cm="1">
        <f t="array" ref="AX478">SUMPRODUCT(($V478:$AN478&lt;=$J193)*(1))</f>
        <v>0</v>
      </c>
      <c r="AY478" s="52" cm="1">
        <f t="array" ref="AY478">SUMPRODUCT(($V478:$AN478&lt;=$K193)*(1))</f>
        <v>0</v>
      </c>
      <c r="BA478" s="52">
        <f t="shared" si="96"/>
        <v>0</v>
      </c>
      <c r="BB478" s="52">
        <f t="shared" si="97"/>
        <v>0</v>
      </c>
      <c r="BC478" s="52">
        <f t="shared" si="98"/>
        <v>0</v>
      </c>
      <c r="BE478" s="50">
        <f t="shared" si="93"/>
        <v>0</v>
      </c>
      <c r="BF478" s="50">
        <f t="shared" si="94"/>
        <v>0</v>
      </c>
      <c r="BG478" s="50">
        <f t="shared" si="95"/>
        <v>0</v>
      </c>
    </row>
    <row r="479" spans="4:59" ht="15.6">
      <c r="D479" s="44"/>
      <c r="M479" s="42"/>
      <c r="N479" s="39" t="s">
        <v>27</v>
      </c>
      <c r="O479" s="39" t="s">
        <v>484</v>
      </c>
      <c r="P479" t="s">
        <v>793</v>
      </c>
      <c r="R479" s="41"/>
      <c r="S479" s="42"/>
      <c r="T479" s="42"/>
      <c r="U479" s="42"/>
      <c r="V479" s="45">
        <f t="shared" si="74"/>
        <v>1</v>
      </c>
      <c r="W479" s="45">
        <f t="shared" si="75"/>
        <v>1</v>
      </c>
      <c r="X479" s="45">
        <f t="shared" si="76"/>
        <v>1</v>
      </c>
      <c r="Y479" s="45">
        <f t="shared" si="77"/>
        <v>1</v>
      </c>
      <c r="Z479" s="45">
        <f t="shared" si="78"/>
        <v>1</v>
      </c>
      <c r="AA479" s="45">
        <f t="shared" si="79"/>
        <v>1</v>
      </c>
      <c r="AB479" s="45">
        <f t="shared" si="80"/>
        <v>1</v>
      </c>
      <c r="AC479" s="45">
        <f t="shared" si="81"/>
        <v>1</v>
      </c>
      <c r="AD479" s="45">
        <f t="shared" si="82"/>
        <v>0.95421834012497697</v>
      </c>
      <c r="AE479" s="45">
        <f t="shared" si="83"/>
        <v>0.98132053476229197</v>
      </c>
      <c r="AF479" s="45">
        <f t="shared" si="84"/>
        <v>1</v>
      </c>
      <c r="AG479" s="45">
        <f t="shared" si="85"/>
        <v>1</v>
      </c>
      <c r="AH479" s="45">
        <f t="shared" si="86"/>
        <v>1</v>
      </c>
      <c r="AI479" s="45">
        <f t="shared" si="87"/>
        <v>1</v>
      </c>
      <c r="AJ479" s="45">
        <f t="shared" si="88"/>
        <v>0.97732585976146491</v>
      </c>
      <c r="AK479" s="45">
        <f t="shared" si="89"/>
        <v>1</v>
      </c>
      <c r="AL479" s="45">
        <f t="shared" si="90"/>
        <v>1</v>
      </c>
      <c r="AM479" s="45">
        <f t="shared" si="91"/>
        <v>1</v>
      </c>
      <c r="AN479" s="45">
        <f t="shared" si="92"/>
        <v>1</v>
      </c>
      <c r="AS479" s="50" cm="1">
        <f t="array" ref="AS479">SUMPRODUCT(($V479:$AN479&lt;=$I194)*(1))/COUNT($V479:$AN479)</f>
        <v>0</v>
      </c>
      <c r="AT479" s="50" cm="1">
        <f t="array" ref="AT479">SUMPRODUCT(($V479:$AN479&lt;=$J194)*(1))/COUNT($V479:$AN479)</f>
        <v>0</v>
      </c>
      <c r="AU479" s="50" cm="1">
        <f t="array" ref="AU479">SUMPRODUCT(($V479:$AN479&lt;=$K194)*(1))/COUNT($V479:$AN479)</f>
        <v>0</v>
      </c>
      <c r="AW479" s="52" cm="1">
        <f t="array" ref="AW479">SUMPRODUCT(($V479:$AN479&lt;=$I194)*(1))</f>
        <v>0</v>
      </c>
      <c r="AX479" s="52" cm="1">
        <f t="array" ref="AX479">SUMPRODUCT(($V479:$AN479&lt;=$J194)*(1))</f>
        <v>0</v>
      </c>
      <c r="AY479" s="52" cm="1">
        <f t="array" ref="AY479">SUMPRODUCT(($V479:$AN479&lt;=$K194)*(1))</f>
        <v>0</v>
      </c>
      <c r="BA479" s="52">
        <f t="shared" si="96"/>
        <v>0</v>
      </c>
      <c r="BB479" s="52">
        <f t="shared" si="97"/>
        <v>0</v>
      </c>
      <c r="BC479" s="52">
        <f t="shared" si="98"/>
        <v>0</v>
      </c>
      <c r="BE479" s="50">
        <f t="shared" si="93"/>
        <v>0</v>
      </c>
      <c r="BF479" s="50">
        <f t="shared" si="94"/>
        <v>0</v>
      </c>
      <c r="BG479" s="50">
        <f t="shared" si="95"/>
        <v>0</v>
      </c>
    </row>
    <row r="480" spans="4:59" ht="15.6">
      <c r="D480" s="44"/>
      <c r="M480" s="42"/>
      <c r="N480" s="39" t="s">
        <v>27</v>
      </c>
      <c r="O480" s="39" t="s">
        <v>464</v>
      </c>
      <c r="P480" t="s">
        <v>794</v>
      </c>
      <c r="R480" s="41"/>
      <c r="S480" s="42"/>
      <c r="T480" s="42"/>
      <c r="U480" s="42"/>
      <c r="V480" s="45">
        <f t="shared" si="74"/>
        <v>1</v>
      </c>
      <c r="W480" s="45">
        <f t="shared" si="75"/>
        <v>1</v>
      </c>
      <c r="X480" s="45">
        <f t="shared" si="76"/>
        <v>1</v>
      </c>
      <c r="Y480" s="45">
        <f t="shared" si="77"/>
        <v>1</v>
      </c>
      <c r="Z480" s="45">
        <f t="shared" si="78"/>
        <v>1</v>
      </c>
      <c r="AA480" s="45">
        <f t="shared" si="79"/>
        <v>1</v>
      </c>
      <c r="AB480" s="45">
        <f t="shared" si="80"/>
        <v>1</v>
      </c>
      <c r="AC480" s="45">
        <f t="shared" si="81"/>
        <v>1</v>
      </c>
      <c r="AD480" s="45">
        <f t="shared" si="82"/>
        <v>0.94358867505360611</v>
      </c>
      <c r="AE480" s="45">
        <f t="shared" si="83"/>
        <v>0.98933782819032801</v>
      </c>
      <c r="AF480" s="45">
        <f t="shared" si="84"/>
        <v>1</v>
      </c>
      <c r="AG480" s="45">
        <f t="shared" si="85"/>
        <v>1</v>
      </c>
      <c r="AH480" s="45">
        <f t="shared" si="86"/>
        <v>1</v>
      </c>
      <c r="AI480" s="45">
        <f t="shared" si="87"/>
        <v>1</v>
      </c>
      <c r="AJ480" s="45">
        <f t="shared" si="88"/>
        <v>0.92033255242285905</v>
      </c>
      <c r="AK480" s="45">
        <f t="shared" si="89"/>
        <v>1</v>
      </c>
      <c r="AL480" s="45">
        <f t="shared" si="90"/>
        <v>1</v>
      </c>
      <c r="AM480" s="45">
        <f t="shared" si="91"/>
        <v>1</v>
      </c>
      <c r="AN480" s="45">
        <f t="shared" si="92"/>
        <v>1</v>
      </c>
      <c r="AS480" s="50" cm="1">
        <f t="array" ref="AS480">SUMPRODUCT(($V480:$AN480&lt;=$I195)*(1))/COUNT($V480:$AN480)</f>
        <v>0.10526315789473684</v>
      </c>
      <c r="AT480" s="50" cm="1">
        <f t="array" ref="AT480">SUMPRODUCT(($V480:$AN480&lt;=$J195)*(1))/COUNT($V480:$AN480)</f>
        <v>0</v>
      </c>
      <c r="AU480" s="50" cm="1">
        <f t="array" ref="AU480">SUMPRODUCT(($V480:$AN480&lt;=$K195)*(1))/COUNT($V480:$AN480)</f>
        <v>0</v>
      </c>
      <c r="AW480" s="52" cm="1">
        <f t="array" ref="AW480">SUMPRODUCT(($V480:$AN480&lt;=$I195)*(1))</f>
        <v>2</v>
      </c>
      <c r="AX480" s="52" cm="1">
        <f t="array" ref="AX480">SUMPRODUCT(($V480:$AN480&lt;=$J195)*(1))</f>
        <v>0</v>
      </c>
      <c r="AY480" s="52" cm="1">
        <f t="array" ref="AY480">SUMPRODUCT(($V480:$AN480&lt;=$K195)*(1))</f>
        <v>0</v>
      </c>
      <c r="BA480" s="52">
        <f t="shared" si="96"/>
        <v>2</v>
      </c>
      <c r="BB480" s="52">
        <f t="shared" si="97"/>
        <v>0</v>
      </c>
      <c r="BC480" s="52">
        <f t="shared" si="98"/>
        <v>0</v>
      </c>
      <c r="BE480" s="50">
        <f t="shared" si="93"/>
        <v>0.10526315789473684</v>
      </c>
      <c r="BF480" s="50">
        <f t="shared" si="94"/>
        <v>0</v>
      </c>
      <c r="BG480" s="50">
        <f t="shared" si="95"/>
        <v>0</v>
      </c>
    </row>
    <row r="481" spans="4:59" ht="15.6">
      <c r="D481" s="44"/>
      <c r="M481" s="42"/>
      <c r="N481" s="39" t="s">
        <v>27</v>
      </c>
      <c r="O481" s="39" t="s">
        <v>464</v>
      </c>
      <c r="P481" t="s">
        <v>795</v>
      </c>
      <c r="R481" s="41"/>
      <c r="S481" s="42"/>
      <c r="T481" s="42"/>
      <c r="U481" s="42"/>
      <c r="V481" s="45">
        <f t="shared" si="74"/>
        <v>1</v>
      </c>
      <c r="W481" s="45">
        <f t="shared" si="75"/>
        <v>1</v>
      </c>
      <c r="X481" s="45">
        <f t="shared" si="76"/>
        <v>1</v>
      </c>
      <c r="Y481" s="45">
        <f t="shared" si="77"/>
        <v>1</v>
      </c>
      <c r="Z481" s="45">
        <f t="shared" si="78"/>
        <v>1</v>
      </c>
      <c r="AA481" s="45">
        <f t="shared" si="79"/>
        <v>1</v>
      </c>
      <c r="AB481" s="45">
        <f t="shared" si="80"/>
        <v>1</v>
      </c>
      <c r="AC481" s="45">
        <f t="shared" si="81"/>
        <v>1</v>
      </c>
      <c r="AD481" s="45">
        <f t="shared" si="82"/>
        <v>0.93721125829434992</v>
      </c>
      <c r="AE481" s="45">
        <f t="shared" si="83"/>
        <v>0.98615986913401099</v>
      </c>
      <c r="AF481" s="45">
        <f t="shared" si="84"/>
        <v>0.99696263425459308</v>
      </c>
      <c r="AG481" s="45">
        <f t="shared" si="85"/>
        <v>1.0030466194429422</v>
      </c>
      <c r="AH481" s="45">
        <f t="shared" si="86"/>
        <v>1.0030466194429422</v>
      </c>
      <c r="AI481" s="45">
        <f t="shared" si="87"/>
        <v>1.0008427772772419</v>
      </c>
      <c r="AJ481" s="45">
        <f t="shared" si="88"/>
        <v>0.9858650619512449</v>
      </c>
      <c r="AK481" s="45">
        <f t="shared" si="89"/>
        <v>1.0022019863816132</v>
      </c>
      <c r="AL481" s="45">
        <f t="shared" si="90"/>
        <v>1</v>
      </c>
      <c r="AM481" s="45">
        <f t="shared" si="91"/>
        <v>1</v>
      </c>
      <c r="AN481" s="45">
        <f t="shared" si="92"/>
        <v>1</v>
      </c>
      <c r="AS481" s="50" cm="1">
        <f t="array" ref="AS481">SUMPRODUCT(($V481:$AN481&lt;=$I196)*(1))/COUNT($V481:$AN481)</f>
        <v>5.2631578947368418E-2</v>
      </c>
      <c r="AT481" s="50" cm="1">
        <f t="array" ref="AT481">SUMPRODUCT(($V481:$AN481&lt;=$J196)*(1))/COUNT($V481:$AN481)</f>
        <v>0</v>
      </c>
      <c r="AU481" s="50" cm="1">
        <f t="array" ref="AU481">SUMPRODUCT(($V481:$AN481&lt;=$K196)*(1))/COUNT($V481:$AN481)</f>
        <v>0</v>
      </c>
      <c r="AW481" s="52" cm="1">
        <f t="array" ref="AW481">SUMPRODUCT(($V481:$AN481&lt;=$I196)*(1))</f>
        <v>1</v>
      </c>
      <c r="AX481" s="52" cm="1">
        <f t="array" ref="AX481">SUMPRODUCT(($V481:$AN481&lt;=$J196)*(1))</f>
        <v>0</v>
      </c>
      <c r="AY481" s="52" cm="1">
        <f t="array" ref="AY481">SUMPRODUCT(($V481:$AN481&lt;=$K196)*(1))</f>
        <v>0</v>
      </c>
      <c r="BA481" s="52">
        <f t="shared" si="96"/>
        <v>1</v>
      </c>
      <c r="BB481" s="52">
        <f t="shared" si="97"/>
        <v>0</v>
      </c>
      <c r="BC481" s="52">
        <f t="shared" si="98"/>
        <v>0</v>
      </c>
      <c r="BE481" s="50">
        <f t="shared" si="93"/>
        <v>5.2631578947368418E-2</v>
      </c>
      <c r="BF481" s="50">
        <f t="shared" si="94"/>
        <v>0</v>
      </c>
      <c r="BG481" s="50">
        <f t="shared" si="95"/>
        <v>0</v>
      </c>
    </row>
    <row r="482" spans="4:59" ht="15.6">
      <c r="D482" s="44"/>
      <c r="M482" s="42"/>
      <c r="N482" s="39" t="s">
        <v>27</v>
      </c>
      <c r="O482" s="39" t="s">
        <v>448</v>
      </c>
      <c r="P482" t="s">
        <v>796</v>
      </c>
      <c r="R482" s="41"/>
      <c r="S482" s="42"/>
      <c r="T482" s="42"/>
      <c r="U482" s="42"/>
      <c r="V482" s="45">
        <f t="shared" si="74"/>
        <v>0.99965905908136099</v>
      </c>
      <c r="W482" s="45">
        <f t="shared" si="75"/>
        <v>0.98765768785352293</v>
      </c>
      <c r="X482" s="45">
        <f t="shared" si="76"/>
        <v>1.0003410571989937</v>
      </c>
      <c r="Y482" s="45">
        <f t="shared" si="77"/>
        <v>1.0003410571989937</v>
      </c>
      <c r="Z482" s="45">
        <f t="shared" si="78"/>
        <v>0.9979341277648941</v>
      </c>
      <c r="AA482" s="45">
        <f t="shared" si="79"/>
        <v>0.99892674265543002</v>
      </c>
      <c r="AB482" s="45">
        <f t="shared" si="80"/>
        <v>1.001415834097908</v>
      </c>
      <c r="AC482" s="45">
        <f t="shared" si="81"/>
        <v>0.99597576159286405</v>
      </c>
      <c r="AD482" s="45">
        <f t="shared" si="82"/>
        <v>0.94058666621242948</v>
      </c>
      <c r="AE482" s="45">
        <f t="shared" si="83"/>
        <v>0.97087820069812292</v>
      </c>
      <c r="AF482" s="45">
        <f t="shared" si="84"/>
        <v>0.97024713382506345</v>
      </c>
      <c r="AG482" s="45">
        <f t="shared" si="85"/>
        <v>1.0280489565786586</v>
      </c>
      <c r="AH482" s="45">
        <f t="shared" si="86"/>
        <v>1.0320911546985829</v>
      </c>
      <c r="AI482" s="45">
        <f t="shared" si="87"/>
        <v>1.0033955673971235</v>
      </c>
      <c r="AJ482" s="45">
        <f t="shared" si="88"/>
        <v>0.99308637805214739</v>
      </c>
      <c r="AK482" s="45">
        <f t="shared" si="89"/>
        <v>1.028294690180076</v>
      </c>
      <c r="AL482" s="45">
        <f t="shared" si="90"/>
        <v>1.0015917702338204</v>
      </c>
      <c r="AM482" s="45">
        <f t="shared" si="91"/>
        <v>1.0023717791137119</v>
      </c>
      <c r="AN482" s="45">
        <f t="shared" si="92"/>
        <v>0.99948360280526949</v>
      </c>
      <c r="AS482" s="50" cm="1">
        <f t="array" ref="AS482">SUMPRODUCT(($V482:$AN482&lt;=$I197)*(1))/COUNT($V482:$AN482)</f>
        <v>5.2631578947368418E-2</v>
      </c>
      <c r="AT482" s="50" cm="1">
        <f t="array" ref="AT482">SUMPRODUCT(($V482:$AN482&lt;=$J197)*(1))/COUNT($V482:$AN482)</f>
        <v>0</v>
      </c>
      <c r="AU482" s="50" cm="1">
        <f t="array" ref="AU482">SUMPRODUCT(($V482:$AN482&lt;=$K197)*(1))/COUNT($V482:$AN482)</f>
        <v>0</v>
      </c>
      <c r="AW482" s="52" cm="1">
        <f t="array" ref="AW482">SUMPRODUCT(($V482:$AN482&lt;=$I197)*(1))</f>
        <v>1</v>
      </c>
      <c r="AX482" s="52" cm="1">
        <f t="array" ref="AX482">SUMPRODUCT(($V482:$AN482&lt;=$J197)*(1))</f>
        <v>0</v>
      </c>
      <c r="AY482" s="52" cm="1">
        <f t="array" ref="AY482">SUMPRODUCT(($V482:$AN482&lt;=$K197)*(1))</f>
        <v>0</v>
      </c>
      <c r="BA482" s="52">
        <f t="shared" si="96"/>
        <v>1</v>
      </c>
      <c r="BB482" s="52">
        <f t="shared" si="97"/>
        <v>0</v>
      </c>
      <c r="BC482" s="52">
        <f t="shared" si="98"/>
        <v>0</v>
      </c>
      <c r="BE482" s="50">
        <f t="shared" si="93"/>
        <v>5.2631578947368418E-2</v>
      </c>
      <c r="BF482" s="50">
        <f t="shared" si="94"/>
        <v>0</v>
      </c>
      <c r="BG482" s="50">
        <f t="shared" si="95"/>
        <v>0</v>
      </c>
    </row>
    <row r="483" spans="4:59" ht="15.6">
      <c r="D483" s="44"/>
      <c r="M483" s="42"/>
      <c r="N483" s="39" t="s">
        <v>27</v>
      </c>
      <c r="O483" s="39" t="s">
        <v>177</v>
      </c>
      <c r="P483" t="s">
        <v>797</v>
      </c>
      <c r="R483" s="41"/>
      <c r="S483" s="42"/>
      <c r="T483" s="42"/>
      <c r="U483" s="42"/>
      <c r="V483" s="45">
        <f t="shared" si="74"/>
        <v>1</v>
      </c>
      <c r="W483" s="45">
        <f t="shared" si="75"/>
        <v>1</v>
      </c>
      <c r="X483" s="45">
        <f t="shared" si="76"/>
        <v>1</v>
      </c>
      <c r="Y483" s="45">
        <f t="shared" si="77"/>
        <v>1</v>
      </c>
      <c r="Z483" s="45">
        <f t="shared" si="78"/>
        <v>1</v>
      </c>
      <c r="AA483" s="45">
        <f t="shared" si="79"/>
        <v>1</v>
      </c>
      <c r="AB483" s="45">
        <f t="shared" si="80"/>
        <v>1</v>
      </c>
      <c r="AC483" s="45">
        <f t="shared" si="81"/>
        <v>1</v>
      </c>
      <c r="AD483" s="45">
        <f t="shared" si="82"/>
        <v>1</v>
      </c>
      <c r="AE483" s="45">
        <f t="shared" si="83"/>
        <v>1</v>
      </c>
      <c r="AF483" s="45">
        <f t="shared" si="84"/>
        <v>1</v>
      </c>
      <c r="AG483" s="45">
        <f t="shared" si="85"/>
        <v>1</v>
      </c>
      <c r="AH483" s="45">
        <f t="shared" si="86"/>
        <v>1</v>
      </c>
      <c r="AI483" s="45">
        <f t="shared" si="87"/>
        <v>1</v>
      </c>
      <c r="AJ483" s="45">
        <f t="shared" si="88"/>
        <v>1</v>
      </c>
      <c r="AK483" s="45">
        <f t="shared" si="89"/>
        <v>1</v>
      </c>
      <c r="AL483" s="45">
        <f t="shared" si="90"/>
        <v>1</v>
      </c>
      <c r="AM483" s="45">
        <f t="shared" si="91"/>
        <v>1</v>
      </c>
      <c r="AN483" s="45">
        <f t="shared" si="92"/>
        <v>1</v>
      </c>
      <c r="AS483" s="50" cm="1">
        <f t="array" ref="AS483">SUMPRODUCT(($V483:$AN483&lt;=$I198)*(1))/COUNT($V483:$AN483)</f>
        <v>0</v>
      </c>
      <c r="AT483" s="50" cm="1">
        <f t="array" ref="AT483">SUMPRODUCT(($V483:$AN483&lt;=$J198)*(1))/COUNT($V483:$AN483)</f>
        <v>0</v>
      </c>
      <c r="AU483" s="50" cm="1">
        <f t="array" ref="AU483">SUMPRODUCT(($V483:$AN483&lt;=$K198)*(1))/COUNT($V483:$AN483)</f>
        <v>0</v>
      </c>
      <c r="AW483" s="52" cm="1">
        <f t="array" ref="AW483">SUMPRODUCT(($V483:$AN483&lt;=$I198)*(1))</f>
        <v>0</v>
      </c>
      <c r="AX483" s="52" cm="1">
        <f t="array" ref="AX483">SUMPRODUCT(($V483:$AN483&lt;=$J198)*(1))</f>
        <v>0</v>
      </c>
      <c r="AY483" s="52" cm="1">
        <f t="array" ref="AY483">SUMPRODUCT(($V483:$AN483&lt;=$K198)*(1))</f>
        <v>0</v>
      </c>
      <c r="BA483" s="52">
        <f t="shared" si="96"/>
        <v>0</v>
      </c>
      <c r="BB483" s="52">
        <f t="shared" si="97"/>
        <v>0</v>
      </c>
      <c r="BC483" s="52">
        <f t="shared" si="98"/>
        <v>0</v>
      </c>
      <c r="BE483" s="50">
        <f t="shared" si="93"/>
        <v>0</v>
      </c>
      <c r="BF483" s="50">
        <f t="shared" si="94"/>
        <v>0</v>
      </c>
      <c r="BG483" s="50">
        <f t="shared" si="95"/>
        <v>0</v>
      </c>
    </row>
    <row r="484" spans="4:59" ht="15.6">
      <c r="D484" s="44"/>
      <c r="M484" s="42"/>
      <c r="N484" s="39" t="s">
        <v>27</v>
      </c>
      <c r="O484" s="39" t="s">
        <v>184</v>
      </c>
      <c r="P484" t="s">
        <v>798</v>
      </c>
      <c r="R484" s="41"/>
      <c r="S484" s="42"/>
      <c r="T484" s="42"/>
      <c r="U484" s="42"/>
      <c r="V484" s="45">
        <f t="shared" si="74"/>
        <v>1</v>
      </c>
      <c r="W484" s="45">
        <f t="shared" si="75"/>
        <v>1</v>
      </c>
      <c r="X484" s="45">
        <f t="shared" si="76"/>
        <v>1</v>
      </c>
      <c r="Y484" s="45">
        <f t="shared" si="77"/>
        <v>1</v>
      </c>
      <c r="Z484" s="45">
        <f t="shared" si="78"/>
        <v>1</v>
      </c>
      <c r="AA484" s="45">
        <f t="shared" si="79"/>
        <v>1</v>
      </c>
      <c r="AB484" s="45">
        <f t="shared" si="80"/>
        <v>1</v>
      </c>
      <c r="AC484" s="45">
        <f t="shared" si="81"/>
        <v>1</v>
      </c>
      <c r="AD484" s="45">
        <f t="shared" si="82"/>
        <v>1</v>
      </c>
      <c r="AE484" s="45">
        <f t="shared" si="83"/>
        <v>1</v>
      </c>
      <c r="AF484" s="45">
        <f t="shared" si="84"/>
        <v>1</v>
      </c>
      <c r="AG484" s="45">
        <f t="shared" si="85"/>
        <v>1</v>
      </c>
      <c r="AH484" s="45">
        <f t="shared" si="86"/>
        <v>1</v>
      </c>
      <c r="AI484" s="45">
        <f t="shared" si="87"/>
        <v>1</v>
      </c>
      <c r="AJ484" s="45">
        <f t="shared" si="88"/>
        <v>1</v>
      </c>
      <c r="AK484" s="45">
        <f t="shared" si="89"/>
        <v>1</v>
      </c>
      <c r="AL484" s="45">
        <f t="shared" si="90"/>
        <v>1</v>
      </c>
      <c r="AM484" s="45">
        <f t="shared" si="91"/>
        <v>1</v>
      </c>
      <c r="AN484" s="45">
        <f t="shared" si="92"/>
        <v>1</v>
      </c>
      <c r="AS484" s="50" cm="1">
        <f t="array" ref="AS484">SUMPRODUCT(($V484:$AN484&lt;=$I199)*(1))/COUNT($V484:$AN484)</f>
        <v>0</v>
      </c>
      <c r="AT484" s="50" cm="1">
        <f t="array" ref="AT484">SUMPRODUCT(($V484:$AN484&lt;=$J199)*(1))/COUNT($V484:$AN484)</f>
        <v>0</v>
      </c>
      <c r="AU484" s="50" cm="1">
        <f t="array" ref="AU484">SUMPRODUCT(($V484:$AN484&lt;=$K199)*(1))/COUNT($V484:$AN484)</f>
        <v>0</v>
      </c>
      <c r="AW484" s="52" cm="1">
        <f t="array" ref="AW484">SUMPRODUCT(($V484:$AN484&lt;=$I199)*(1))</f>
        <v>0</v>
      </c>
      <c r="AX484" s="52" cm="1">
        <f t="array" ref="AX484">SUMPRODUCT(($V484:$AN484&lt;=$J199)*(1))</f>
        <v>0</v>
      </c>
      <c r="AY484" s="52" cm="1">
        <f t="array" ref="AY484">SUMPRODUCT(($V484:$AN484&lt;=$K199)*(1))</f>
        <v>0</v>
      </c>
      <c r="BA484" s="52">
        <f t="shared" si="96"/>
        <v>0</v>
      </c>
      <c r="BB484" s="52">
        <f t="shared" si="97"/>
        <v>0</v>
      </c>
      <c r="BC484" s="52">
        <f t="shared" si="98"/>
        <v>0</v>
      </c>
      <c r="BE484" s="50">
        <f t="shared" si="93"/>
        <v>0</v>
      </c>
      <c r="BF484" s="50">
        <f t="shared" si="94"/>
        <v>0</v>
      </c>
      <c r="BG484" s="50">
        <f t="shared" si="95"/>
        <v>0</v>
      </c>
    </row>
    <row r="485" spans="4:59" ht="15.6">
      <c r="D485" s="44"/>
      <c r="M485" s="42"/>
      <c r="N485" s="39" t="s">
        <v>27</v>
      </c>
      <c r="O485" s="39" t="s">
        <v>489</v>
      </c>
      <c r="P485" t="s">
        <v>799</v>
      </c>
      <c r="R485" s="41"/>
      <c r="S485" s="42"/>
      <c r="T485" s="42"/>
      <c r="U485" s="42"/>
      <c r="V485" s="45">
        <f t="shared" ref="V485:V548" si="99">V200/MEDIAN(Q200:U200)</f>
        <v>1</v>
      </c>
      <c r="W485" s="45">
        <f t="shared" ref="W485:W548" si="100">W200/MEDIAN(R200:V200)</f>
        <v>1</v>
      </c>
      <c r="X485" s="45">
        <f t="shared" ref="X485:X548" si="101">X200/MEDIAN(S200:W200)</f>
        <v>1</v>
      </c>
      <c r="Y485" s="45">
        <f t="shared" ref="Y485:Y548" si="102">Y200/MEDIAN(T200:X200)</f>
        <v>1</v>
      </c>
      <c r="Z485" s="45">
        <f t="shared" ref="Z485:Z548" si="103">Z200/MEDIAN(U200:Y200)</f>
        <v>1</v>
      </c>
      <c r="AA485" s="45">
        <f t="shared" ref="AA485:AA548" si="104">AA200/MEDIAN(V200:Z200)</f>
        <v>1</v>
      </c>
      <c r="AB485" s="45">
        <f t="shared" ref="AB485:AB548" si="105">AB200/MEDIAN(W200:AA200)</f>
        <v>1</v>
      </c>
      <c r="AC485" s="45">
        <f t="shared" ref="AC485:AC548" si="106">AC200/MEDIAN(X200:AB200)</f>
        <v>1</v>
      </c>
      <c r="AD485" s="45">
        <f t="shared" ref="AD485:AD548" si="107">AD200/MEDIAN(Y200:AC200)</f>
        <v>0.96990237666325196</v>
      </c>
      <c r="AE485" s="45">
        <f t="shared" ref="AE485:AE548" si="108">AE200/MEDIAN(Z200:AD200)</f>
        <v>0.993780035509504</v>
      </c>
      <c r="AF485" s="45">
        <f t="shared" ref="AF485:AF548" si="109">AF200/MEDIAN(AA200:AE200)</f>
        <v>1</v>
      </c>
      <c r="AG485" s="45">
        <f t="shared" ref="AG485:AG548" si="110">AG200/MEDIAN(AB200:AF200)</f>
        <v>1</v>
      </c>
      <c r="AH485" s="45">
        <f t="shared" ref="AH485:AH548" si="111">AH200/MEDIAN(AC200:AG200)</f>
        <v>1</v>
      </c>
      <c r="AI485" s="45">
        <f t="shared" ref="AI485:AI548" si="112">AI200/MEDIAN(AD200:AH200)</f>
        <v>0.99998468011695807</v>
      </c>
      <c r="AJ485" s="45">
        <f t="shared" ref="AJ485:AJ548" si="113">AJ200/MEDIAN(AE200:AI200)</f>
        <v>0.99996995180657811</v>
      </c>
      <c r="AK485" s="45">
        <f t="shared" si="89"/>
        <v>1</v>
      </c>
      <c r="AL485" s="45">
        <f t="shared" si="90"/>
        <v>1</v>
      </c>
      <c r="AM485" s="45">
        <f t="shared" si="91"/>
        <v>1</v>
      </c>
      <c r="AN485" s="45">
        <f t="shared" si="92"/>
        <v>1</v>
      </c>
      <c r="AS485" s="50" cm="1">
        <f t="array" ref="AS485">SUMPRODUCT(($V485:$AN485&lt;=$I200)*(1))/COUNT($V485:$AN485)</f>
        <v>0</v>
      </c>
      <c r="AT485" s="50" cm="1">
        <f t="array" ref="AT485">SUMPRODUCT(($V485:$AN485&lt;=$J200)*(1))/COUNT($V485:$AN485)</f>
        <v>0</v>
      </c>
      <c r="AU485" s="50" cm="1">
        <f t="array" ref="AU485">SUMPRODUCT(($V485:$AN485&lt;=$K200)*(1))/COUNT($V485:$AN485)</f>
        <v>0</v>
      </c>
      <c r="AW485" s="52" cm="1">
        <f t="array" ref="AW485">SUMPRODUCT(($V485:$AN485&lt;=$I200)*(1))</f>
        <v>0</v>
      </c>
      <c r="AX485" s="52" cm="1">
        <f t="array" ref="AX485">SUMPRODUCT(($V485:$AN485&lt;=$J200)*(1))</f>
        <v>0</v>
      </c>
      <c r="AY485" s="52" cm="1">
        <f t="array" ref="AY485">SUMPRODUCT(($V485:$AN485&lt;=$K200)*(1))</f>
        <v>0</v>
      </c>
      <c r="BA485" s="52">
        <f t="shared" si="96"/>
        <v>0</v>
      </c>
      <c r="BB485" s="52">
        <f t="shared" si="97"/>
        <v>0</v>
      </c>
      <c r="BC485" s="52">
        <f t="shared" si="98"/>
        <v>0</v>
      </c>
      <c r="BE485" s="50">
        <f t="shared" si="93"/>
        <v>0</v>
      </c>
      <c r="BF485" s="50">
        <f t="shared" si="94"/>
        <v>0</v>
      </c>
      <c r="BG485" s="50">
        <f t="shared" si="95"/>
        <v>0</v>
      </c>
    </row>
    <row r="486" spans="4:59" ht="15.6">
      <c r="D486" s="44"/>
      <c r="M486" s="42"/>
      <c r="N486" s="39" t="s">
        <v>27</v>
      </c>
      <c r="O486" s="39" t="s">
        <v>448</v>
      </c>
      <c r="P486" t="s">
        <v>800</v>
      </c>
      <c r="R486" s="41"/>
      <c r="S486" s="42"/>
      <c r="T486" s="42"/>
      <c r="U486" s="42"/>
      <c r="V486" s="45">
        <f t="shared" si="99"/>
        <v>1</v>
      </c>
      <c r="W486" s="45">
        <f t="shared" si="100"/>
        <v>1</v>
      </c>
      <c r="X486" s="45">
        <f t="shared" si="101"/>
        <v>1</v>
      </c>
      <c r="Y486" s="45">
        <f t="shared" si="102"/>
        <v>1</v>
      </c>
      <c r="Z486" s="45">
        <f t="shared" si="103"/>
        <v>1</v>
      </c>
      <c r="AA486" s="45">
        <f t="shared" si="104"/>
        <v>1</v>
      </c>
      <c r="AB486" s="45">
        <f t="shared" si="105"/>
        <v>1</v>
      </c>
      <c r="AC486" s="45">
        <f t="shared" si="106"/>
        <v>1</v>
      </c>
      <c r="AD486" s="45">
        <f t="shared" si="107"/>
        <v>0.99919958572268397</v>
      </c>
      <c r="AE486" s="45">
        <f t="shared" si="108"/>
        <v>1</v>
      </c>
      <c r="AF486" s="45">
        <f t="shared" si="109"/>
        <v>1</v>
      </c>
      <c r="AG486" s="45">
        <f t="shared" si="110"/>
        <v>1</v>
      </c>
      <c r="AH486" s="45">
        <f t="shared" si="111"/>
        <v>1</v>
      </c>
      <c r="AI486" s="45">
        <f t="shared" si="112"/>
        <v>1</v>
      </c>
      <c r="AJ486" s="45">
        <f t="shared" si="113"/>
        <v>1</v>
      </c>
      <c r="AK486" s="45">
        <f t="shared" ref="AK486:AK549" si="114">AK201/MEDIAN(AF201:AJ201)</f>
        <v>1</v>
      </c>
      <c r="AL486" s="45">
        <f t="shared" ref="AL486:AL549" si="115">AL201/MEDIAN(AG201:AK201)</f>
        <v>1</v>
      </c>
      <c r="AM486" s="45">
        <f t="shared" ref="AM486:AM549" si="116">AM201/MEDIAN(AH201:AL201)</f>
        <v>1</v>
      </c>
      <c r="AN486" s="45">
        <f t="shared" ref="AN486:AN549" si="117">AN201/MEDIAN(AI201:AM201)</f>
        <v>1</v>
      </c>
      <c r="AS486" s="50" cm="1">
        <f t="array" ref="AS486">SUMPRODUCT(($V486:$AN486&lt;=$I201)*(1))/COUNT($V486:$AN486)</f>
        <v>0</v>
      </c>
      <c r="AT486" s="50" cm="1">
        <f t="array" ref="AT486">SUMPRODUCT(($V486:$AN486&lt;=$J201)*(1))/COUNT($V486:$AN486)</f>
        <v>0</v>
      </c>
      <c r="AU486" s="50" cm="1">
        <f t="array" ref="AU486">SUMPRODUCT(($V486:$AN486&lt;=$K201)*(1))/COUNT($V486:$AN486)</f>
        <v>0</v>
      </c>
      <c r="AW486" s="52" cm="1">
        <f t="array" ref="AW486">SUMPRODUCT(($V486:$AN486&lt;=$I201)*(1))</f>
        <v>0</v>
      </c>
      <c r="AX486" s="52" cm="1">
        <f t="array" ref="AX486">SUMPRODUCT(($V486:$AN486&lt;=$J201)*(1))</f>
        <v>0</v>
      </c>
      <c r="AY486" s="52" cm="1">
        <f t="array" ref="AY486">SUMPRODUCT(($V486:$AN486&lt;=$K201)*(1))</f>
        <v>0</v>
      </c>
      <c r="BA486" s="52">
        <f t="shared" si="96"/>
        <v>0</v>
      </c>
      <c r="BB486" s="52">
        <f t="shared" si="97"/>
        <v>0</v>
      </c>
      <c r="BC486" s="52">
        <f t="shared" si="98"/>
        <v>0</v>
      </c>
      <c r="BE486" s="50">
        <f t="shared" ref="BE486:BE549" si="118">BA486/COUNT($V486:$AN486)</f>
        <v>0</v>
      </c>
      <c r="BF486" s="50">
        <f t="shared" ref="BF486:BF549" si="119">BB486/COUNT($V486:$AN486)</f>
        <v>0</v>
      </c>
      <c r="BG486" s="50">
        <f t="shared" ref="BG486:BG549" si="120">BC486/COUNT($V486:$AN486)</f>
        <v>0</v>
      </c>
    </row>
    <row r="487" spans="4:59" ht="15.6">
      <c r="D487" s="44"/>
      <c r="M487" s="42"/>
      <c r="N487" s="39" t="s">
        <v>27</v>
      </c>
      <c r="O487" s="39" t="s">
        <v>448</v>
      </c>
      <c r="P487" t="s">
        <v>801</v>
      </c>
      <c r="R487" s="41"/>
      <c r="S487" s="42"/>
      <c r="T487" s="42"/>
      <c r="U487" s="42"/>
      <c r="V487" s="45">
        <f t="shared" si="99"/>
        <v>1.006048400876989</v>
      </c>
      <c r="W487" s="45">
        <f t="shared" si="100"/>
        <v>0.99432469864529294</v>
      </c>
      <c r="X487" s="45">
        <f t="shared" si="101"/>
        <v>1.0065631213274036</v>
      </c>
      <c r="Y487" s="45">
        <f t="shared" si="102"/>
        <v>1.0065631213274036</v>
      </c>
      <c r="Z487" s="45">
        <f t="shared" si="103"/>
        <v>0.98455240313850989</v>
      </c>
      <c r="AA487" s="45">
        <f t="shared" si="104"/>
        <v>1</v>
      </c>
      <c r="AB487" s="45">
        <f t="shared" si="105"/>
        <v>1</v>
      </c>
      <c r="AC487" s="45">
        <f t="shared" si="106"/>
        <v>1</v>
      </c>
      <c r="AD487" s="45">
        <f t="shared" si="107"/>
        <v>0.94589942392099902</v>
      </c>
      <c r="AE487" s="45">
        <f t="shared" si="108"/>
        <v>0.97966422229674099</v>
      </c>
      <c r="AF487" s="45">
        <f t="shared" si="109"/>
        <v>0.99310014701291605</v>
      </c>
      <c r="AG487" s="45">
        <f t="shared" si="110"/>
        <v>0.98563982795537486</v>
      </c>
      <c r="AH487" s="45">
        <f t="shared" si="111"/>
        <v>1.0130604868566022</v>
      </c>
      <c r="AI487" s="45">
        <f t="shared" si="112"/>
        <v>1.0017317854046865</v>
      </c>
      <c r="AJ487" s="45">
        <f t="shared" si="113"/>
        <v>0.99615474716936725</v>
      </c>
      <c r="AK487" s="45">
        <f t="shared" si="114"/>
        <v>1.0189932282622842</v>
      </c>
      <c r="AL487" s="45">
        <f t="shared" si="115"/>
        <v>1.0107150003766112</v>
      </c>
      <c r="AM487" s="45">
        <f t="shared" si="116"/>
        <v>1.0081904670283792</v>
      </c>
      <c r="AN487" s="45">
        <f t="shared" si="117"/>
        <v>1.005211797193017</v>
      </c>
      <c r="AS487" s="50" cm="1">
        <f t="array" ref="AS487">SUMPRODUCT(($V487:$AN487&lt;=$I202)*(1))/COUNT($V487:$AN487)</f>
        <v>5.2631578947368418E-2</v>
      </c>
      <c r="AT487" s="50" cm="1">
        <f t="array" ref="AT487">SUMPRODUCT(($V487:$AN487&lt;=$J202)*(1))/COUNT($V487:$AN487)</f>
        <v>0</v>
      </c>
      <c r="AU487" s="50" cm="1">
        <f t="array" ref="AU487">SUMPRODUCT(($V487:$AN487&lt;=$K202)*(1))/COUNT($V487:$AN487)</f>
        <v>0</v>
      </c>
      <c r="AW487" s="52" cm="1">
        <f t="array" ref="AW487">SUMPRODUCT(($V487:$AN487&lt;=$I202)*(1))</f>
        <v>1</v>
      </c>
      <c r="AX487" s="52" cm="1">
        <f t="array" ref="AX487">SUMPRODUCT(($V487:$AN487&lt;=$J202)*(1))</f>
        <v>0</v>
      </c>
      <c r="AY487" s="52" cm="1">
        <f t="array" ref="AY487">SUMPRODUCT(($V487:$AN487&lt;=$K202)*(1))</f>
        <v>0</v>
      </c>
      <c r="BA487" s="52">
        <f t="shared" si="96"/>
        <v>1</v>
      </c>
      <c r="BB487" s="52">
        <f t="shared" si="97"/>
        <v>0</v>
      </c>
      <c r="BC487" s="52">
        <f t="shared" si="98"/>
        <v>0</v>
      </c>
      <c r="BE487" s="50">
        <f t="shared" si="118"/>
        <v>5.2631578947368418E-2</v>
      </c>
      <c r="BF487" s="50">
        <f t="shared" si="119"/>
        <v>0</v>
      </c>
      <c r="BG487" s="50">
        <f t="shared" si="120"/>
        <v>0</v>
      </c>
    </row>
    <row r="488" spans="4:59" ht="15.6">
      <c r="D488" s="44"/>
      <c r="M488" s="42"/>
      <c r="N488" s="39" t="s">
        <v>27</v>
      </c>
      <c r="O488" s="39" t="s">
        <v>475</v>
      </c>
      <c r="P488" t="s">
        <v>802</v>
      </c>
      <c r="R488" s="41"/>
      <c r="S488" s="42"/>
      <c r="T488" s="42"/>
      <c r="U488" s="42"/>
      <c r="V488" s="45">
        <f t="shared" si="99"/>
        <v>1.0055664551924837</v>
      </c>
      <c r="W488" s="45">
        <f t="shared" si="100"/>
        <v>0.98571962483947084</v>
      </c>
      <c r="X488" s="45">
        <f t="shared" si="101"/>
        <v>1.0069623441978017</v>
      </c>
      <c r="Y488" s="45">
        <f t="shared" si="102"/>
        <v>1.0069623441978017</v>
      </c>
      <c r="Z488" s="45">
        <f t="shared" si="103"/>
        <v>0.99965101583532712</v>
      </c>
      <c r="AA488" s="45">
        <f t="shared" si="104"/>
        <v>1.0013881618644995</v>
      </c>
      <c r="AB488" s="45">
        <f t="shared" si="105"/>
        <v>1</v>
      </c>
      <c r="AC488" s="45">
        <f t="shared" si="106"/>
        <v>0.99545605169915807</v>
      </c>
      <c r="AD488" s="45">
        <f t="shared" si="107"/>
        <v>0.94074281633079804</v>
      </c>
      <c r="AE488" s="45">
        <f t="shared" si="108"/>
        <v>1.0010107438677591</v>
      </c>
      <c r="AF488" s="45">
        <f t="shared" si="109"/>
        <v>0.99222050716752952</v>
      </c>
      <c r="AG488" s="45">
        <f t="shared" si="110"/>
        <v>0.99138666794845776</v>
      </c>
      <c r="AH488" s="45">
        <f t="shared" si="111"/>
        <v>1.0085724567301397</v>
      </c>
      <c r="AI488" s="45">
        <f t="shared" si="112"/>
        <v>1.0065761264235951</v>
      </c>
      <c r="AJ488" s="45">
        <f t="shared" si="113"/>
        <v>0.98875082244097667</v>
      </c>
      <c r="AK488" s="45">
        <f t="shared" si="114"/>
        <v>1.0085724567301397</v>
      </c>
      <c r="AL488" s="45">
        <f t="shared" si="115"/>
        <v>1.0019832879542232</v>
      </c>
      <c r="AM488" s="45">
        <f t="shared" si="116"/>
        <v>1</v>
      </c>
      <c r="AN488" s="45">
        <f t="shared" si="117"/>
        <v>0.9961618632593191</v>
      </c>
      <c r="AS488" s="50" cm="1">
        <f t="array" ref="AS488">SUMPRODUCT(($V488:$AN488&lt;=$I203)*(1))/COUNT($V488:$AN488)</f>
        <v>5.2631578947368418E-2</v>
      </c>
      <c r="AT488" s="50" cm="1">
        <f t="array" ref="AT488">SUMPRODUCT(($V488:$AN488&lt;=$J203)*(1))/COUNT($V488:$AN488)</f>
        <v>0</v>
      </c>
      <c r="AU488" s="50" cm="1">
        <f t="array" ref="AU488">SUMPRODUCT(($V488:$AN488&lt;=$K203)*(1))/COUNT($V488:$AN488)</f>
        <v>0</v>
      </c>
      <c r="AW488" s="52" cm="1">
        <f t="array" ref="AW488">SUMPRODUCT(($V488:$AN488&lt;=$I203)*(1))</f>
        <v>1</v>
      </c>
      <c r="AX488" s="52" cm="1">
        <f t="array" ref="AX488">SUMPRODUCT(($V488:$AN488&lt;=$J203)*(1))</f>
        <v>0</v>
      </c>
      <c r="AY488" s="52" cm="1">
        <f t="array" ref="AY488">SUMPRODUCT(($V488:$AN488&lt;=$K203)*(1))</f>
        <v>0</v>
      </c>
      <c r="BA488" s="52">
        <f t="shared" si="96"/>
        <v>1</v>
      </c>
      <c r="BB488" s="52">
        <f t="shared" si="97"/>
        <v>0</v>
      </c>
      <c r="BC488" s="52">
        <f t="shared" si="98"/>
        <v>0</v>
      </c>
      <c r="BE488" s="50">
        <f t="shared" si="118"/>
        <v>5.2631578947368418E-2</v>
      </c>
      <c r="BF488" s="50">
        <f t="shared" si="119"/>
        <v>0</v>
      </c>
      <c r="BG488" s="50">
        <f t="shared" si="120"/>
        <v>0</v>
      </c>
    </row>
    <row r="489" spans="4:59" ht="15.6">
      <c r="D489" s="44"/>
      <c r="M489" s="42"/>
      <c r="N489" s="39" t="s">
        <v>27</v>
      </c>
      <c r="O489" s="39" t="s">
        <v>553</v>
      </c>
      <c r="P489" t="s">
        <v>803</v>
      </c>
      <c r="R489" s="41"/>
      <c r="S489" s="42"/>
      <c r="T489" s="42"/>
      <c r="U489" s="42"/>
      <c r="V489" s="45">
        <f t="shared" si="99"/>
        <v>1.1450563663952913</v>
      </c>
      <c r="W489" s="45">
        <f t="shared" si="100"/>
        <v>0.98126993536412754</v>
      </c>
      <c r="X489" s="45">
        <f t="shared" si="101"/>
        <v>1.130867249301807</v>
      </c>
      <c r="Y489" s="45">
        <f t="shared" si="102"/>
        <v>1.043939426182432</v>
      </c>
      <c r="Z489" s="45">
        <f t="shared" si="103"/>
        <v>0.92500858037683442</v>
      </c>
      <c r="AA489" s="45">
        <f t="shared" si="104"/>
        <v>0.94437109924505669</v>
      </c>
      <c r="AB489" s="45">
        <f t="shared" si="105"/>
        <v>1.1297430209429409</v>
      </c>
      <c r="AC489" s="45">
        <f t="shared" si="106"/>
        <v>1.0832690297340912</v>
      </c>
      <c r="AD489" s="45">
        <f t="shared" si="107"/>
        <v>0.88212139413456869</v>
      </c>
      <c r="AE489" s="45">
        <f t="shared" si="108"/>
        <v>0.97451476930823089</v>
      </c>
      <c r="AF489" s="45">
        <f t="shared" si="109"/>
        <v>0.90185805384720019</v>
      </c>
      <c r="AG489" s="45">
        <f t="shared" si="110"/>
        <v>1.147378945826411</v>
      </c>
      <c r="AH489" s="45">
        <f t="shared" si="111"/>
        <v>1.1295784216714164</v>
      </c>
      <c r="AI489" s="45">
        <f t="shared" si="112"/>
        <v>1.0306548159706501</v>
      </c>
      <c r="AJ489" s="45">
        <f t="shared" si="113"/>
        <v>1.0758227623536589</v>
      </c>
      <c r="AK489" s="45">
        <f t="shared" si="114"/>
        <v>1.0420734937267475</v>
      </c>
      <c r="AL489" s="45">
        <f t="shared" si="115"/>
        <v>1.0411676245040364</v>
      </c>
      <c r="AM489" s="45">
        <f t="shared" si="116"/>
        <v>1.0420506437987744</v>
      </c>
      <c r="AN489" s="45">
        <f t="shared" si="117"/>
        <v>0.97508411339986667</v>
      </c>
      <c r="AS489" s="50" cm="1">
        <f t="array" ref="AS489">SUMPRODUCT(($V489:$AN489&lt;=$I204)*(1))/COUNT($V489:$AN489)</f>
        <v>0.21052631578947367</v>
      </c>
      <c r="AT489" s="50" cm="1">
        <f t="array" ref="AT489">SUMPRODUCT(($V489:$AN489&lt;=$J204)*(1))/COUNT($V489:$AN489)</f>
        <v>0</v>
      </c>
      <c r="AU489" s="50" cm="1">
        <f t="array" ref="AU489">SUMPRODUCT(($V489:$AN489&lt;=$K204)*(1))/COUNT($V489:$AN489)</f>
        <v>0</v>
      </c>
      <c r="AW489" s="52" cm="1">
        <f t="array" ref="AW489">SUMPRODUCT(($V489:$AN489&lt;=$I204)*(1))</f>
        <v>4</v>
      </c>
      <c r="AX489" s="52" cm="1">
        <f t="array" ref="AX489">SUMPRODUCT(($V489:$AN489&lt;=$J204)*(1))</f>
        <v>0</v>
      </c>
      <c r="AY489" s="52" cm="1">
        <f t="array" ref="AY489">SUMPRODUCT(($V489:$AN489&lt;=$K204)*(1))</f>
        <v>0</v>
      </c>
      <c r="BA489" s="52">
        <f t="shared" si="96"/>
        <v>4</v>
      </c>
      <c r="BB489" s="52">
        <f t="shared" si="97"/>
        <v>0</v>
      </c>
      <c r="BC489" s="52">
        <f t="shared" si="98"/>
        <v>0</v>
      </c>
      <c r="BE489" s="50">
        <f t="shared" si="118"/>
        <v>0.21052631578947367</v>
      </c>
      <c r="BF489" s="50">
        <f t="shared" si="119"/>
        <v>0</v>
      </c>
      <c r="BG489" s="50">
        <f t="shared" si="120"/>
        <v>0</v>
      </c>
    </row>
    <row r="490" spans="4:59" ht="15.6">
      <c r="D490" s="44"/>
      <c r="M490" s="42"/>
      <c r="N490" s="39" t="s">
        <v>27</v>
      </c>
      <c r="O490" s="39" t="s">
        <v>448</v>
      </c>
      <c r="P490" t="s">
        <v>804</v>
      </c>
      <c r="R490" s="41"/>
      <c r="S490" s="42"/>
      <c r="T490" s="42"/>
      <c r="U490" s="42"/>
      <c r="V490" s="45">
        <f t="shared" si="99"/>
        <v>1</v>
      </c>
      <c r="W490" s="45">
        <f t="shared" si="100"/>
        <v>1</v>
      </c>
      <c r="X490" s="45">
        <f t="shared" si="101"/>
        <v>1</v>
      </c>
      <c r="Y490" s="45">
        <f t="shared" si="102"/>
        <v>1</v>
      </c>
      <c r="Z490" s="45">
        <f t="shared" si="103"/>
        <v>1</v>
      </c>
      <c r="AA490" s="45">
        <f t="shared" si="104"/>
        <v>1</v>
      </c>
      <c r="AB490" s="45">
        <f t="shared" si="105"/>
        <v>1</v>
      </c>
      <c r="AC490" s="45">
        <f t="shared" si="106"/>
        <v>1</v>
      </c>
      <c r="AD490" s="45">
        <f t="shared" si="107"/>
        <v>0.93631040516918307</v>
      </c>
      <c r="AE490" s="45">
        <f t="shared" si="108"/>
        <v>1</v>
      </c>
      <c r="AF490" s="45">
        <f t="shared" si="109"/>
        <v>0.99760808085028208</v>
      </c>
      <c r="AG490" s="45">
        <f t="shared" si="110"/>
        <v>1</v>
      </c>
      <c r="AH490" s="45">
        <f t="shared" si="111"/>
        <v>1</v>
      </c>
      <c r="AI490" s="45">
        <f t="shared" si="112"/>
        <v>0.99976408724050103</v>
      </c>
      <c r="AJ490" s="45">
        <f t="shared" si="113"/>
        <v>0.93605178879858197</v>
      </c>
      <c r="AK490" s="45">
        <f t="shared" si="114"/>
        <v>1.0002359684274618</v>
      </c>
      <c r="AL490" s="45">
        <f t="shared" si="115"/>
        <v>1</v>
      </c>
      <c r="AM490" s="45">
        <f t="shared" si="116"/>
        <v>1</v>
      </c>
      <c r="AN490" s="45">
        <f t="shared" si="117"/>
        <v>1</v>
      </c>
      <c r="AS490" s="50" cm="1">
        <f t="array" ref="AS490">SUMPRODUCT(($V490:$AN490&lt;=$I205)*(1))/COUNT($V490:$AN490)</f>
        <v>0.10526315789473684</v>
      </c>
      <c r="AT490" s="50" cm="1">
        <f t="array" ref="AT490">SUMPRODUCT(($V490:$AN490&lt;=$J205)*(1))/COUNT($V490:$AN490)</f>
        <v>0</v>
      </c>
      <c r="AU490" s="50" cm="1">
        <f t="array" ref="AU490">SUMPRODUCT(($V490:$AN490&lt;=$K205)*(1))/COUNT($V490:$AN490)</f>
        <v>0</v>
      </c>
      <c r="AW490" s="52" cm="1">
        <f t="array" ref="AW490">SUMPRODUCT(($V490:$AN490&lt;=$I205)*(1))</f>
        <v>2</v>
      </c>
      <c r="AX490" s="52" cm="1">
        <f t="array" ref="AX490">SUMPRODUCT(($V490:$AN490&lt;=$J205)*(1))</f>
        <v>0</v>
      </c>
      <c r="AY490" s="52" cm="1">
        <f t="array" ref="AY490">SUMPRODUCT(($V490:$AN490&lt;=$K205)*(1))</f>
        <v>0</v>
      </c>
      <c r="BA490" s="52">
        <f t="shared" si="96"/>
        <v>2</v>
      </c>
      <c r="BB490" s="52">
        <f t="shared" si="97"/>
        <v>0</v>
      </c>
      <c r="BC490" s="52">
        <f t="shared" si="98"/>
        <v>0</v>
      </c>
      <c r="BE490" s="50">
        <f t="shared" si="118"/>
        <v>0.10526315789473684</v>
      </c>
      <c r="BF490" s="50">
        <f t="shared" si="119"/>
        <v>0</v>
      </c>
      <c r="BG490" s="50">
        <f t="shared" si="120"/>
        <v>0</v>
      </c>
    </row>
    <row r="491" spans="4:59" ht="15.6">
      <c r="D491" s="44"/>
      <c r="M491" s="42"/>
      <c r="N491" s="39" t="s">
        <v>27</v>
      </c>
      <c r="O491" s="39" t="s">
        <v>566</v>
      </c>
      <c r="P491" t="s">
        <v>805</v>
      </c>
      <c r="R491" s="41"/>
      <c r="S491" s="42"/>
      <c r="T491" s="42"/>
      <c r="U491" s="42"/>
      <c r="V491" s="45">
        <f t="shared" si="99"/>
        <v>1</v>
      </c>
      <c r="W491" s="45">
        <f t="shared" si="100"/>
        <v>1</v>
      </c>
      <c r="X491" s="45">
        <f t="shared" si="101"/>
        <v>1</v>
      </c>
      <c r="Y491" s="45">
        <f t="shared" si="102"/>
        <v>1</v>
      </c>
      <c r="Z491" s="45">
        <f t="shared" si="103"/>
        <v>1</v>
      </c>
      <c r="AA491" s="45">
        <f t="shared" si="104"/>
        <v>1</v>
      </c>
      <c r="AB491" s="45">
        <f t="shared" si="105"/>
        <v>1</v>
      </c>
      <c r="AC491" s="45">
        <f t="shared" si="106"/>
        <v>1</v>
      </c>
      <c r="AD491" s="45">
        <f t="shared" si="107"/>
        <v>1</v>
      </c>
      <c r="AE491" s="45">
        <f t="shared" si="108"/>
        <v>1</v>
      </c>
      <c r="AF491" s="45">
        <f t="shared" si="109"/>
        <v>1</v>
      </c>
      <c r="AG491" s="45">
        <f t="shared" si="110"/>
        <v>1</v>
      </c>
      <c r="AH491" s="45">
        <f t="shared" si="111"/>
        <v>1</v>
      </c>
      <c r="AI491" s="45">
        <f t="shared" si="112"/>
        <v>1</v>
      </c>
      <c r="AJ491" s="45">
        <f t="shared" si="113"/>
        <v>1</v>
      </c>
      <c r="AK491" s="45">
        <f t="shared" si="114"/>
        <v>1</v>
      </c>
      <c r="AL491" s="45">
        <f t="shared" si="115"/>
        <v>1</v>
      </c>
      <c r="AM491" s="45">
        <f t="shared" si="116"/>
        <v>1</v>
      </c>
      <c r="AN491" s="45">
        <f t="shared" si="117"/>
        <v>1</v>
      </c>
      <c r="AS491" s="50" cm="1">
        <f t="array" ref="AS491">SUMPRODUCT(($V491:$AN491&lt;=$I206)*(1))/COUNT($V491:$AN491)</f>
        <v>0</v>
      </c>
      <c r="AT491" s="50" cm="1">
        <f t="array" ref="AT491">SUMPRODUCT(($V491:$AN491&lt;=$J206)*(1))/COUNT($V491:$AN491)</f>
        <v>0</v>
      </c>
      <c r="AU491" s="50" cm="1">
        <f t="array" ref="AU491">SUMPRODUCT(($V491:$AN491&lt;=$K206)*(1))/COUNT($V491:$AN491)</f>
        <v>0</v>
      </c>
      <c r="AW491" s="52" cm="1">
        <f t="array" ref="AW491">SUMPRODUCT(($V491:$AN491&lt;=$I206)*(1))</f>
        <v>0</v>
      </c>
      <c r="AX491" s="52" cm="1">
        <f t="array" ref="AX491">SUMPRODUCT(($V491:$AN491&lt;=$J206)*(1))</f>
        <v>0</v>
      </c>
      <c r="AY491" s="52" cm="1">
        <f t="array" ref="AY491">SUMPRODUCT(($V491:$AN491&lt;=$K206)*(1))</f>
        <v>0</v>
      </c>
      <c r="BA491" s="52">
        <f t="shared" si="96"/>
        <v>0</v>
      </c>
      <c r="BB491" s="52">
        <f t="shared" si="97"/>
        <v>0</v>
      </c>
      <c r="BC491" s="52">
        <f t="shared" si="98"/>
        <v>0</v>
      </c>
      <c r="BE491" s="50">
        <f t="shared" si="118"/>
        <v>0</v>
      </c>
      <c r="BF491" s="50">
        <f t="shared" si="119"/>
        <v>0</v>
      </c>
      <c r="BG491" s="50">
        <f t="shared" si="120"/>
        <v>0</v>
      </c>
    </row>
    <row r="492" spans="4:59" ht="15.6">
      <c r="D492" s="44"/>
      <c r="M492" s="42"/>
      <c r="N492" s="39" t="s">
        <v>27</v>
      </c>
      <c r="O492" s="39" t="s">
        <v>448</v>
      </c>
      <c r="P492" t="s">
        <v>806</v>
      </c>
      <c r="R492" s="41"/>
      <c r="S492" s="42"/>
      <c r="T492" s="42"/>
      <c r="U492" s="42"/>
      <c r="V492" s="45">
        <f t="shared" si="99"/>
        <v>1</v>
      </c>
      <c r="W492" s="45">
        <f t="shared" si="100"/>
        <v>1</v>
      </c>
      <c r="X492" s="45">
        <f t="shared" si="101"/>
        <v>1</v>
      </c>
      <c r="Y492" s="45">
        <f t="shared" si="102"/>
        <v>1</v>
      </c>
      <c r="Z492" s="45">
        <f t="shared" si="103"/>
        <v>1</v>
      </c>
      <c r="AA492" s="45">
        <f t="shared" si="104"/>
        <v>1</v>
      </c>
      <c r="AB492" s="45">
        <f t="shared" si="105"/>
        <v>1</v>
      </c>
      <c r="AC492" s="45">
        <f t="shared" si="106"/>
        <v>1</v>
      </c>
      <c r="AD492" s="45">
        <f t="shared" si="107"/>
        <v>0.9804822075732269</v>
      </c>
      <c r="AE492" s="45">
        <f t="shared" si="108"/>
        <v>1</v>
      </c>
      <c r="AF492" s="45">
        <f t="shared" si="109"/>
        <v>1</v>
      </c>
      <c r="AG492" s="45">
        <f t="shared" si="110"/>
        <v>1</v>
      </c>
      <c r="AH492" s="45">
        <f t="shared" si="111"/>
        <v>1</v>
      </c>
      <c r="AI492" s="45">
        <f t="shared" si="112"/>
        <v>1</v>
      </c>
      <c r="AJ492" s="45">
        <f t="shared" si="113"/>
        <v>0.98842986713540693</v>
      </c>
      <c r="AK492" s="45">
        <f t="shared" si="114"/>
        <v>1</v>
      </c>
      <c r="AL492" s="45">
        <f t="shared" si="115"/>
        <v>1</v>
      </c>
      <c r="AM492" s="45">
        <f t="shared" si="116"/>
        <v>1</v>
      </c>
      <c r="AN492" s="45">
        <f t="shared" si="117"/>
        <v>1</v>
      </c>
      <c r="AS492" s="50" cm="1">
        <f t="array" ref="AS492">SUMPRODUCT(($V492:$AN492&lt;=$I207)*(1))/COUNT($V492:$AN492)</f>
        <v>0</v>
      </c>
      <c r="AT492" s="50" cm="1">
        <f t="array" ref="AT492">SUMPRODUCT(($V492:$AN492&lt;=$J207)*(1))/COUNT($V492:$AN492)</f>
        <v>0</v>
      </c>
      <c r="AU492" s="50" cm="1">
        <f t="array" ref="AU492">SUMPRODUCT(($V492:$AN492&lt;=$K207)*(1))/COUNT($V492:$AN492)</f>
        <v>0</v>
      </c>
      <c r="AW492" s="52" cm="1">
        <f t="array" ref="AW492">SUMPRODUCT(($V492:$AN492&lt;=$I207)*(1))</f>
        <v>0</v>
      </c>
      <c r="AX492" s="52" cm="1">
        <f t="array" ref="AX492">SUMPRODUCT(($V492:$AN492&lt;=$J207)*(1))</f>
        <v>0</v>
      </c>
      <c r="AY492" s="52" cm="1">
        <f t="array" ref="AY492">SUMPRODUCT(($V492:$AN492&lt;=$K207)*(1))</f>
        <v>0</v>
      </c>
      <c r="BA492" s="52">
        <f t="shared" si="96"/>
        <v>0</v>
      </c>
      <c r="BB492" s="52">
        <f t="shared" si="97"/>
        <v>0</v>
      </c>
      <c r="BC492" s="52">
        <f t="shared" si="98"/>
        <v>0</v>
      </c>
      <c r="BE492" s="50">
        <f t="shared" si="118"/>
        <v>0</v>
      </c>
      <c r="BF492" s="50">
        <f t="shared" si="119"/>
        <v>0</v>
      </c>
      <c r="BG492" s="50">
        <f t="shared" si="120"/>
        <v>0</v>
      </c>
    </row>
    <row r="493" spans="4:59" ht="15.6">
      <c r="D493" s="44"/>
      <c r="M493" s="42"/>
      <c r="N493" s="39" t="s">
        <v>27</v>
      </c>
      <c r="O493" s="39" t="s">
        <v>561</v>
      </c>
      <c r="P493" t="s">
        <v>807</v>
      </c>
      <c r="R493" s="41"/>
      <c r="S493" s="42"/>
      <c r="T493" s="42"/>
      <c r="U493" s="42"/>
      <c r="V493" s="45">
        <f t="shared" si="99"/>
        <v>1</v>
      </c>
      <c r="W493" s="45">
        <f t="shared" si="100"/>
        <v>0.98481357509932588</v>
      </c>
      <c r="X493" s="45">
        <f t="shared" si="101"/>
        <v>1</v>
      </c>
      <c r="Y493" s="45">
        <f t="shared" si="102"/>
        <v>0.99572658029717798</v>
      </c>
      <c r="Z493" s="45">
        <f t="shared" si="103"/>
        <v>1</v>
      </c>
      <c r="AA493" s="45">
        <f t="shared" si="104"/>
        <v>1</v>
      </c>
      <c r="AB493" s="45">
        <f t="shared" si="105"/>
        <v>1</v>
      </c>
      <c r="AC493" s="45">
        <f t="shared" si="106"/>
        <v>1</v>
      </c>
      <c r="AD493" s="45">
        <f t="shared" si="107"/>
        <v>0.94495540655163002</v>
      </c>
      <c r="AE493" s="45">
        <f t="shared" si="108"/>
        <v>0.99905233366426993</v>
      </c>
      <c r="AF493" s="45">
        <f t="shared" si="109"/>
        <v>0.99499903150867397</v>
      </c>
      <c r="AG493" s="45">
        <f t="shared" si="110"/>
        <v>1.0009485652590933</v>
      </c>
      <c r="AH493" s="45">
        <f t="shared" si="111"/>
        <v>1.0009485652590933</v>
      </c>
      <c r="AI493" s="45">
        <f t="shared" si="112"/>
        <v>1.0009485652590933</v>
      </c>
      <c r="AJ493" s="45">
        <f t="shared" si="113"/>
        <v>0.99377243172716601</v>
      </c>
      <c r="AK493" s="45">
        <f t="shared" si="114"/>
        <v>1</v>
      </c>
      <c r="AL493" s="45">
        <f t="shared" si="115"/>
        <v>1</v>
      </c>
      <c r="AM493" s="45">
        <f t="shared" si="116"/>
        <v>1</v>
      </c>
      <c r="AN493" s="45">
        <f t="shared" si="117"/>
        <v>1</v>
      </c>
      <c r="AS493" s="50" cm="1">
        <f t="array" ref="AS493">SUMPRODUCT(($V493:$AN493&lt;=$I208)*(1))/COUNT($V493:$AN493)</f>
        <v>5.2631578947368418E-2</v>
      </c>
      <c r="AT493" s="50" cm="1">
        <f t="array" ref="AT493">SUMPRODUCT(($V493:$AN493&lt;=$J208)*(1))/COUNT($V493:$AN493)</f>
        <v>0</v>
      </c>
      <c r="AU493" s="50" cm="1">
        <f t="array" ref="AU493">SUMPRODUCT(($V493:$AN493&lt;=$K208)*(1))/COUNT($V493:$AN493)</f>
        <v>0</v>
      </c>
      <c r="AW493" s="52" cm="1">
        <f t="array" ref="AW493">SUMPRODUCT(($V493:$AN493&lt;=$I208)*(1))</f>
        <v>1</v>
      </c>
      <c r="AX493" s="52" cm="1">
        <f t="array" ref="AX493">SUMPRODUCT(($V493:$AN493&lt;=$J208)*(1))</f>
        <v>0</v>
      </c>
      <c r="AY493" s="52" cm="1">
        <f t="array" ref="AY493">SUMPRODUCT(($V493:$AN493&lt;=$K208)*(1))</f>
        <v>0</v>
      </c>
      <c r="BA493" s="52">
        <f t="shared" si="96"/>
        <v>1</v>
      </c>
      <c r="BB493" s="52">
        <f t="shared" si="97"/>
        <v>0</v>
      </c>
      <c r="BC493" s="52">
        <f t="shared" si="98"/>
        <v>0</v>
      </c>
      <c r="BE493" s="50">
        <f t="shared" si="118"/>
        <v>5.2631578947368418E-2</v>
      </c>
      <c r="BF493" s="50">
        <f t="shared" si="119"/>
        <v>0</v>
      </c>
      <c r="BG493" s="50">
        <f t="shared" si="120"/>
        <v>0</v>
      </c>
    </row>
    <row r="494" spans="4:59" ht="15.6">
      <c r="D494" s="44"/>
      <c r="M494" s="42"/>
      <c r="N494" s="39" t="s">
        <v>27</v>
      </c>
      <c r="O494" s="39" t="s">
        <v>472</v>
      </c>
      <c r="P494" t="s">
        <v>808</v>
      </c>
      <c r="R494" s="41"/>
      <c r="S494" s="42"/>
      <c r="T494" s="42"/>
      <c r="U494" s="42"/>
      <c r="V494" s="45">
        <f t="shared" si="99"/>
        <v>1.0036536411252346</v>
      </c>
      <c r="W494" s="45">
        <f t="shared" si="100"/>
        <v>1.0002497095085598</v>
      </c>
      <c r="X494" s="45">
        <f t="shared" si="101"/>
        <v>1.0036536411252346</v>
      </c>
      <c r="Y494" s="45">
        <f t="shared" si="102"/>
        <v>1.0034030818347823</v>
      </c>
      <c r="Z494" s="45">
        <f t="shared" si="103"/>
        <v>0.97894433735254194</v>
      </c>
      <c r="AA494" s="45">
        <f t="shared" si="104"/>
        <v>1</v>
      </c>
      <c r="AB494" s="45">
        <f t="shared" si="105"/>
        <v>1</v>
      </c>
      <c r="AC494" s="45">
        <f t="shared" si="106"/>
        <v>1</v>
      </c>
      <c r="AD494" s="45">
        <f t="shared" si="107"/>
        <v>0.95057453259173896</v>
      </c>
      <c r="AE494" s="45">
        <f t="shared" si="108"/>
        <v>0.97590668461888097</v>
      </c>
      <c r="AF494" s="45">
        <f t="shared" si="109"/>
        <v>0.99677488046470097</v>
      </c>
      <c r="AG494" s="45">
        <f t="shared" si="110"/>
        <v>0.97476614754022206</v>
      </c>
      <c r="AH494" s="45">
        <f t="shared" si="111"/>
        <v>1.0168576447421003</v>
      </c>
      <c r="AI494" s="45">
        <f t="shared" si="112"/>
        <v>1.0060315658523526</v>
      </c>
      <c r="AJ494" s="45">
        <f t="shared" si="113"/>
        <v>0.98831331577578718</v>
      </c>
      <c r="AK494" s="45">
        <f t="shared" si="114"/>
        <v>1.0089453857255304</v>
      </c>
      <c r="AL494" s="45">
        <f t="shared" si="115"/>
        <v>1.0175412378947533</v>
      </c>
      <c r="AM494" s="45">
        <f t="shared" si="116"/>
        <v>1.0095142207676615</v>
      </c>
      <c r="AN494" s="45">
        <f t="shared" si="117"/>
        <v>1.0093153803011883</v>
      </c>
      <c r="AS494" s="50" cm="1">
        <f t="array" ref="AS494">SUMPRODUCT(($V494:$AN494&lt;=$I209)*(1))/COUNT($V494:$AN494)</f>
        <v>0</v>
      </c>
      <c r="AT494" s="50" cm="1">
        <f t="array" ref="AT494">SUMPRODUCT(($V494:$AN494&lt;=$J209)*(1))/COUNT($V494:$AN494)</f>
        <v>0</v>
      </c>
      <c r="AU494" s="50" cm="1">
        <f t="array" ref="AU494">SUMPRODUCT(($V494:$AN494&lt;=$K209)*(1))/COUNT($V494:$AN494)</f>
        <v>0</v>
      </c>
      <c r="AW494" s="52" cm="1">
        <f t="array" ref="AW494">SUMPRODUCT(($V494:$AN494&lt;=$I209)*(1))</f>
        <v>0</v>
      </c>
      <c r="AX494" s="52" cm="1">
        <f t="array" ref="AX494">SUMPRODUCT(($V494:$AN494&lt;=$J209)*(1))</f>
        <v>0</v>
      </c>
      <c r="AY494" s="52" cm="1">
        <f t="array" ref="AY494">SUMPRODUCT(($V494:$AN494&lt;=$K209)*(1))</f>
        <v>0</v>
      </c>
      <c r="BA494" s="52">
        <f t="shared" si="96"/>
        <v>0</v>
      </c>
      <c r="BB494" s="52">
        <f t="shared" si="97"/>
        <v>0</v>
      </c>
      <c r="BC494" s="52">
        <f t="shared" si="98"/>
        <v>0</v>
      </c>
      <c r="BE494" s="50">
        <f t="shared" si="118"/>
        <v>0</v>
      </c>
      <c r="BF494" s="50">
        <f t="shared" si="119"/>
        <v>0</v>
      </c>
      <c r="BG494" s="50">
        <f t="shared" si="120"/>
        <v>0</v>
      </c>
    </row>
    <row r="495" spans="4:59" ht="15.6">
      <c r="D495" s="44"/>
      <c r="M495" s="42"/>
      <c r="N495" s="39" t="s">
        <v>27</v>
      </c>
      <c r="O495" s="39" t="s">
        <v>553</v>
      </c>
      <c r="P495" t="s">
        <v>809</v>
      </c>
      <c r="R495" s="41"/>
      <c r="S495" s="42"/>
      <c r="T495" s="42"/>
      <c r="U495" s="42"/>
      <c r="V495" s="45">
        <f t="shared" si="99"/>
        <v>1.1611352468423246</v>
      </c>
      <c r="W495" s="45">
        <f t="shared" si="100"/>
        <v>0.98863702527612529</v>
      </c>
      <c r="X495" s="45">
        <f t="shared" si="101"/>
        <v>1.1136873566973862</v>
      </c>
      <c r="Y495" s="45">
        <f t="shared" si="102"/>
        <v>1.0539925448192948</v>
      </c>
      <c r="Z495" s="45">
        <f t="shared" si="103"/>
        <v>0.90388835132513767</v>
      </c>
      <c r="AA495" s="45">
        <f t="shared" si="104"/>
        <v>0.98156535238634735</v>
      </c>
      <c r="AB495" s="45">
        <f t="shared" si="105"/>
        <v>1.0698788967486343</v>
      </c>
      <c r="AC495" s="45">
        <f t="shared" si="106"/>
        <v>1.0500747141186562</v>
      </c>
      <c r="AD495" s="45">
        <f t="shared" si="107"/>
        <v>0.87715193173013106</v>
      </c>
      <c r="AE495" s="45">
        <f t="shared" si="108"/>
        <v>0.92522163309822281</v>
      </c>
      <c r="AF495" s="45">
        <f t="shared" si="109"/>
        <v>0.82715055659834658</v>
      </c>
      <c r="AG495" s="45">
        <f t="shared" si="110"/>
        <v>1.1544892181557063</v>
      </c>
      <c r="AH495" s="45">
        <f t="shared" si="111"/>
        <v>1.1169259133561467</v>
      </c>
      <c r="AI495" s="45">
        <f t="shared" si="112"/>
        <v>1.0187351865777146</v>
      </c>
      <c r="AJ495" s="45">
        <f t="shared" si="113"/>
        <v>1.034905371749977</v>
      </c>
      <c r="AK495" s="45">
        <f t="shared" si="114"/>
        <v>1.066485382213608</v>
      </c>
      <c r="AL495" s="45">
        <f t="shared" si="115"/>
        <v>1.041684937779382</v>
      </c>
      <c r="AM495" s="45">
        <f t="shared" si="116"/>
        <v>1.041684937779382</v>
      </c>
      <c r="AN495" s="45">
        <f t="shared" si="117"/>
        <v>0.98771108187034395</v>
      </c>
      <c r="AS495" s="50" cm="1">
        <f t="array" ref="AS495">SUMPRODUCT(($V495:$AN495&lt;=$I210)*(1))/COUNT($V495:$AN495)</f>
        <v>0.21052631578947367</v>
      </c>
      <c r="AT495" s="50" cm="1">
        <f t="array" ref="AT495">SUMPRODUCT(($V495:$AN495&lt;=$J210)*(1))/COUNT($V495:$AN495)</f>
        <v>5.2631578947368418E-2</v>
      </c>
      <c r="AU495" s="50" cm="1">
        <f t="array" ref="AU495">SUMPRODUCT(($V495:$AN495&lt;=$K210)*(1))/COUNT($V495:$AN495)</f>
        <v>0</v>
      </c>
      <c r="AW495" s="52" cm="1">
        <f t="array" ref="AW495">SUMPRODUCT(($V495:$AN495&lt;=$I210)*(1))</f>
        <v>4</v>
      </c>
      <c r="AX495" s="52" cm="1">
        <f t="array" ref="AX495">SUMPRODUCT(($V495:$AN495&lt;=$J210)*(1))</f>
        <v>1</v>
      </c>
      <c r="AY495" s="52" cm="1">
        <f t="array" ref="AY495">SUMPRODUCT(($V495:$AN495&lt;=$K210)*(1))</f>
        <v>0</v>
      </c>
      <c r="BA495" s="52">
        <f t="shared" si="96"/>
        <v>3</v>
      </c>
      <c r="BB495" s="52">
        <f t="shared" si="97"/>
        <v>1</v>
      </c>
      <c r="BC495" s="52">
        <f t="shared" si="98"/>
        <v>0</v>
      </c>
      <c r="BE495" s="50">
        <f t="shared" si="118"/>
        <v>0.15789473684210525</v>
      </c>
      <c r="BF495" s="50">
        <f t="shared" si="119"/>
        <v>5.2631578947368418E-2</v>
      </c>
      <c r="BG495" s="50">
        <f t="shared" si="120"/>
        <v>0</v>
      </c>
    </row>
    <row r="496" spans="4:59" ht="15.6">
      <c r="D496" s="44"/>
      <c r="M496" s="42"/>
      <c r="N496" s="39" t="s">
        <v>27</v>
      </c>
      <c r="O496" s="39" t="s">
        <v>489</v>
      </c>
      <c r="P496" t="s">
        <v>810</v>
      </c>
      <c r="R496" s="41"/>
      <c r="S496" s="42"/>
      <c r="T496" s="42"/>
      <c r="U496" s="42"/>
      <c r="V496" s="45">
        <f t="shared" si="99"/>
        <v>1</v>
      </c>
      <c r="W496" s="45">
        <f t="shared" si="100"/>
        <v>1</v>
      </c>
      <c r="X496" s="45">
        <f t="shared" si="101"/>
        <v>1</v>
      </c>
      <c r="Y496" s="45">
        <f t="shared" si="102"/>
        <v>1</v>
      </c>
      <c r="Z496" s="45">
        <f t="shared" si="103"/>
        <v>1</v>
      </c>
      <c r="AA496" s="45">
        <f t="shared" si="104"/>
        <v>1</v>
      </c>
      <c r="AB496" s="45">
        <f t="shared" si="105"/>
        <v>1</v>
      </c>
      <c r="AC496" s="45">
        <f t="shared" si="106"/>
        <v>1</v>
      </c>
      <c r="AD496" s="45">
        <f t="shared" si="107"/>
        <v>0.94405672926111195</v>
      </c>
      <c r="AE496" s="45">
        <f t="shared" si="108"/>
        <v>0.992916814348208</v>
      </c>
      <c r="AF496" s="45">
        <f t="shared" si="109"/>
        <v>1</v>
      </c>
      <c r="AG496" s="45">
        <f t="shared" si="110"/>
        <v>1</v>
      </c>
      <c r="AH496" s="45">
        <f t="shared" si="111"/>
        <v>1</v>
      </c>
      <c r="AI496" s="45">
        <f t="shared" si="112"/>
        <v>0.99958167256642394</v>
      </c>
      <c r="AJ496" s="45">
        <f t="shared" si="113"/>
        <v>0.99917105230483794</v>
      </c>
      <c r="AK496" s="45">
        <f t="shared" si="114"/>
        <v>1</v>
      </c>
      <c r="AL496" s="45">
        <f t="shared" si="115"/>
        <v>1</v>
      </c>
      <c r="AM496" s="45">
        <f t="shared" si="116"/>
        <v>1</v>
      </c>
      <c r="AN496" s="45">
        <f t="shared" si="117"/>
        <v>1</v>
      </c>
      <c r="AS496" s="50" cm="1">
        <f t="array" ref="AS496">SUMPRODUCT(($V496:$AN496&lt;=$I211)*(1))/COUNT($V496:$AN496)</f>
        <v>5.2631578947368418E-2</v>
      </c>
      <c r="AT496" s="50" cm="1">
        <f t="array" ref="AT496">SUMPRODUCT(($V496:$AN496&lt;=$J211)*(1))/COUNT($V496:$AN496)</f>
        <v>0</v>
      </c>
      <c r="AU496" s="50" cm="1">
        <f t="array" ref="AU496">SUMPRODUCT(($V496:$AN496&lt;=$K211)*(1))/COUNT($V496:$AN496)</f>
        <v>0</v>
      </c>
      <c r="AW496" s="52" cm="1">
        <f t="array" ref="AW496">SUMPRODUCT(($V496:$AN496&lt;=$I211)*(1))</f>
        <v>1</v>
      </c>
      <c r="AX496" s="52" cm="1">
        <f t="array" ref="AX496">SUMPRODUCT(($V496:$AN496&lt;=$J211)*(1))</f>
        <v>0</v>
      </c>
      <c r="AY496" s="52" cm="1">
        <f t="array" ref="AY496">SUMPRODUCT(($V496:$AN496&lt;=$K211)*(1))</f>
        <v>0</v>
      </c>
      <c r="BA496" s="52">
        <f t="shared" si="96"/>
        <v>1</v>
      </c>
      <c r="BB496" s="52">
        <f t="shared" si="97"/>
        <v>0</v>
      </c>
      <c r="BC496" s="52">
        <f t="shared" si="98"/>
        <v>0</v>
      </c>
      <c r="BE496" s="50">
        <f t="shared" si="118"/>
        <v>5.2631578947368418E-2</v>
      </c>
      <c r="BF496" s="50">
        <f t="shared" si="119"/>
        <v>0</v>
      </c>
      <c r="BG496" s="50">
        <f t="shared" si="120"/>
        <v>0</v>
      </c>
    </row>
    <row r="497" spans="4:59" ht="15.6">
      <c r="D497" s="44"/>
      <c r="M497" s="42"/>
      <c r="N497" s="39" t="s">
        <v>27</v>
      </c>
      <c r="O497" s="39" t="s">
        <v>613</v>
      </c>
      <c r="P497" t="s">
        <v>811</v>
      </c>
      <c r="R497" s="41"/>
      <c r="S497" s="42"/>
      <c r="T497" s="42"/>
      <c r="U497" s="42"/>
      <c r="V497" s="45">
        <f t="shared" si="99"/>
        <v>1.1488998961643702</v>
      </c>
      <c r="W497" s="45">
        <f t="shared" si="100"/>
        <v>1.0016426664743356</v>
      </c>
      <c r="X497" s="45">
        <f t="shared" si="101"/>
        <v>1.1723544877181742</v>
      </c>
      <c r="Y497" s="45">
        <f t="shared" si="102"/>
        <v>1.0837321007310523</v>
      </c>
      <c r="Z497" s="45">
        <f t="shared" si="103"/>
        <v>1.0782816263066541</v>
      </c>
      <c r="AA497" s="45">
        <f t="shared" si="104"/>
        <v>1.0277685879574443</v>
      </c>
      <c r="AB497" s="45">
        <f t="shared" si="105"/>
        <v>1.0040401401383681</v>
      </c>
      <c r="AC497" s="45">
        <f t="shared" si="106"/>
        <v>0.74514919008912639</v>
      </c>
      <c r="AD497" s="45">
        <f t="shared" si="107"/>
        <v>0.86978526739373496</v>
      </c>
      <c r="AE497" s="45">
        <f t="shared" si="108"/>
        <v>0.72997229782527762</v>
      </c>
      <c r="AF497" s="45">
        <f t="shared" si="109"/>
        <v>0.98241656837350411</v>
      </c>
      <c r="AG497" s="45">
        <f t="shared" si="110"/>
        <v>0.98529326909328518</v>
      </c>
      <c r="AH497" s="45">
        <f t="shared" si="111"/>
        <v>0.92277385882373308</v>
      </c>
      <c r="AI497" s="45">
        <f t="shared" si="112"/>
        <v>1.1877795953540473</v>
      </c>
      <c r="AJ497" s="45">
        <f t="shared" si="113"/>
        <v>0.92943671227744085</v>
      </c>
      <c r="AK497" s="45">
        <f t="shared" si="114"/>
        <v>1.1925533981593839</v>
      </c>
      <c r="AL497" s="45">
        <f t="shared" si="115"/>
        <v>1.160909592104328</v>
      </c>
      <c r="AM497" s="45">
        <f t="shared" si="116"/>
        <v>1.0272577694854743</v>
      </c>
      <c r="AN497" s="45">
        <f t="shared" si="117"/>
        <v>0.71005675109252386</v>
      </c>
      <c r="AS497" s="50" cm="1">
        <f t="array" ref="AS497">SUMPRODUCT(($V497:$AN497&lt;=$I212)*(1))/COUNT($V497:$AN497)</f>
        <v>0.31578947368421051</v>
      </c>
      <c r="AT497" s="50" cm="1">
        <f t="array" ref="AT497">SUMPRODUCT(($V497:$AN497&lt;=$J212)*(1))/COUNT($V497:$AN497)</f>
        <v>0.15789473684210525</v>
      </c>
      <c r="AU497" s="50" cm="1">
        <f t="array" ref="AU497">SUMPRODUCT(($V497:$AN497&lt;=$K212)*(1))/COUNT($V497:$AN497)</f>
        <v>0.15789473684210525</v>
      </c>
      <c r="AW497" s="52" cm="1">
        <f t="array" ref="AW497">SUMPRODUCT(($V497:$AN497&lt;=$I212)*(1))</f>
        <v>6</v>
      </c>
      <c r="AX497" s="52" cm="1">
        <f t="array" ref="AX497">SUMPRODUCT(($V497:$AN497&lt;=$J212)*(1))</f>
        <v>3</v>
      </c>
      <c r="AY497" s="52" cm="1">
        <f t="array" ref="AY497">SUMPRODUCT(($V497:$AN497&lt;=$K212)*(1))</f>
        <v>3</v>
      </c>
      <c r="BA497" s="52">
        <f t="shared" si="96"/>
        <v>3</v>
      </c>
      <c r="BB497" s="52">
        <f t="shared" si="97"/>
        <v>0</v>
      </c>
      <c r="BC497" s="52">
        <f t="shared" si="98"/>
        <v>3</v>
      </c>
      <c r="BE497" s="50">
        <f t="shared" si="118"/>
        <v>0.15789473684210525</v>
      </c>
      <c r="BF497" s="50">
        <f t="shared" si="119"/>
        <v>0</v>
      </c>
      <c r="BG497" s="50">
        <f t="shared" si="120"/>
        <v>0.15789473684210525</v>
      </c>
    </row>
    <row r="498" spans="4:59" ht="15.6">
      <c r="D498" s="44"/>
      <c r="M498" s="42"/>
      <c r="N498" s="39" t="s">
        <v>26</v>
      </c>
      <c r="O498" s="39" t="s">
        <v>576</v>
      </c>
      <c r="P498" t="s">
        <v>688</v>
      </c>
      <c r="R498" s="41"/>
      <c r="S498" s="42"/>
      <c r="T498" s="42"/>
      <c r="U498" s="42"/>
      <c r="V498" s="45">
        <f t="shared" si="99"/>
        <v>1.0851179963400885</v>
      </c>
      <c r="W498" s="45">
        <f t="shared" si="100"/>
        <v>0.98739385878113384</v>
      </c>
      <c r="X498" s="45">
        <f t="shared" si="101"/>
        <v>1.0912054188661073</v>
      </c>
      <c r="Y498" s="45">
        <f t="shared" si="102"/>
        <v>1.0912054188661073</v>
      </c>
      <c r="Z498" s="45">
        <f t="shared" si="103"/>
        <v>1</v>
      </c>
      <c r="AA498" s="45">
        <f t="shared" si="104"/>
        <v>1</v>
      </c>
      <c r="AB498" s="45">
        <f t="shared" si="105"/>
        <v>1</v>
      </c>
      <c r="AC498" s="45">
        <f t="shared" si="106"/>
        <v>0.83451469313774795</v>
      </c>
      <c r="AD498" s="45">
        <f t="shared" si="107"/>
        <v>0.93679938131501206</v>
      </c>
      <c r="AE498" s="45">
        <f t="shared" si="108"/>
        <v>0.78966713594120297</v>
      </c>
      <c r="AF498" s="45">
        <f t="shared" si="109"/>
        <v>1.0243424947524136</v>
      </c>
      <c r="AG498" s="45">
        <f t="shared" si="110"/>
        <v>1.0002544224932721</v>
      </c>
      <c r="AH498" s="45">
        <f t="shared" si="111"/>
        <v>0.89580402019754635</v>
      </c>
      <c r="AI498" s="45">
        <f t="shared" si="112"/>
        <v>1.0674644112128591</v>
      </c>
      <c r="AJ498" s="45">
        <f t="shared" si="113"/>
        <v>0.95491010964632639</v>
      </c>
      <c r="AK498" s="45">
        <f t="shared" si="114"/>
        <v>1.0671928933361343</v>
      </c>
      <c r="AL498" s="45">
        <f t="shared" si="115"/>
        <v>1.0671928933361343</v>
      </c>
      <c r="AM498" s="45">
        <f t="shared" si="116"/>
        <v>1</v>
      </c>
      <c r="AN498" s="45">
        <f t="shared" si="117"/>
        <v>0.73945892628160392</v>
      </c>
      <c r="AS498" s="50" cm="1">
        <f t="array" ref="AS498">SUMPRODUCT(($V498:$AN498&lt;=$I213)*(1))/COUNT($V498:$AN498)</f>
        <v>0.26315789473684209</v>
      </c>
      <c r="AT498" s="50" cm="1">
        <f t="array" ref="AT498">SUMPRODUCT(($V498:$AN498&lt;=$J213)*(1))/COUNT($V498:$AN498)</f>
        <v>0.15789473684210525</v>
      </c>
      <c r="AU498" s="50" cm="1">
        <f t="array" ref="AU498">SUMPRODUCT(($V498:$AN498&lt;=$K213)*(1))/COUNT($V498:$AN498)</f>
        <v>5.2631578947368418E-2</v>
      </c>
      <c r="AW498" s="52" cm="1">
        <f t="array" ref="AW498">SUMPRODUCT(($V498:$AN498&lt;=$I213)*(1))</f>
        <v>5</v>
      </c>
      <c r="AX498" s="52" cm="1">
        <f t="array" ref="AX498">SUMPRODUCT(($V498:$AN498&lt;=$J213)*(1))</f>
        <v>3</v>
      </c>
      <c r="AY498" s="52" cm="1">
        <f t="array" ref="AY498">SUMPRODUCT(($V498:$AN498&lt;=$K213)*(1))</f>
        <v>1</v>
      </c>
      <c r="BA498" s="52">
        <f t="shared" si="96"/>
        <v>2</v>
      </c>
      <c r="BB498" s="52">
        <f t="shared" si="97"/>
        <v>2</v>
      </c>
      <c r="BC498" s="52">
        <f t="shared" si="98"/>
        <v>1</v>
      </c>
      <c r="BE498" s="50">
        <f t="shared" si="118"/>
        <v>0.10526315789473684</v>
      </c>
      <c r="BF498" s="50">
        <f t="shared" si="119"/>
        <v>0.10526315789473684</v>
      </c>
      <c r="BG498" s="50">
        <f t="shared" si="120"/>
        <v>5.2631578947368418E-2</v>
      </c>
    </row>
    <row r="499" spans="4:59" ht="15.6">
      <c r="D499" s="44"/>
      <c r="M499" s="42"/>
      <c r="N499" s="39" t="s">
        <v>27</v>
      </c>
      <c r="O499" s="39" t="s">
        <v>448</v>
      </c>
      <c r="P499" t="s">
        <v>812</v>
      </c>
      <c r="R499" s="41"/>
      <c r="S499" s="42"/>
      <c r="T499" s="42"/>
      <c r="U499" s="42"/>
      <c r="V499" s="45">
        <f t="shared" si="99"/>
        <v>1</v>
      </c>
      <c r="W499" s="45">
        <f t="shared" si="100"/>
        <v>1</v>
      </c>
      <c r="X499" s="45">
        <f t="shared" si="101"/>
        <v>1</v>
      </c>
      <c r="Y499" s="45">
        <f t="shared" si="102"/>
        <v>1</v>
      </c>
      <c r="Z499" s="45">
        <f t="shared" si="103"/>
        <v>1</v>
      </c>
      <c r="AA499" s="45">
        <f t="shared" si="104"/>
        <v>1</v>
      </c>
      <c r="AB499" s="45">
        <f t="shared" si="105"/>
        <v>1</v>
      </c>
      <c r="AC499" s="45">
        <f t="shared" si="106"/>
        <v>1</v>
      </c>
      <c r="AD499" s="45">
        <f t="shared" si="107"/>
        <v>0.90949052782491402</v>
      </c>
      <c r="AE499" s="45">
        <f t="shared" si="108"/>
        <v>1</v>
      </c>
      <c r="AF499" s="45">
        <f t="shared" si="109"/>
        <v>0.997673789606071</v>
      </c>
      <c r="AG499" s="45">
        <f t="shared" si="110"/>
        <v>0.99897508120804102</v>
      </c>
      <c r="AH499" s="45">
        <f t="shared" si="111"/>
        <v>1.0010259703282283</v>
      </c>
      <c r="AI499" s="45">
        <f t="shared" si="112"/>
        <v>0.98875523277362654</v>
      </c>
      <c r="AJ499" s="45">
        <f t="shared" si="113"/>
        <v>0.9384590122394495</v>
      </c>
      <c r="AK499" s="45">
        <f t="shared" si="114"/>
        <v>1.0023316342657929</v>
      </c>
      <c r="AL499" s="45">
        <f t="shared" si="115"/>
        <v>1.0010259703282283</v>
      </c>
      <c r="AM499" s="45">
        <f t="shared" si="116"/>
        <v>1</v>
      </c>
      <c r="AN499" s="45">
        <f t="shared" si="117"/>
        <v>1</v>
      </c>
      <c r="AS499" s="50" cm="1">
        <f t="array" ref="AS499">SUMPRODUCT(($V499:$AN499&lt;=$I214)*(1))/COUNT($V499:$AN499)</f>
        <v>0.10526315789473684</v>
      </c>
      <c r="AT499" s="50" cm="1">
        <f t="array" ref="AT499">SUMPRODUCT(($V499:$AN499&lt;=$J214)*(1))/COUNT($V499:$AN499)</f>
        <v>0</v>
      </c>
      <c r="AU499" s="50" cm="1">
        <f t="array" ref="AU499">SUMPRODUCT(($V499:$AN499&lt;=$K214)*(1))/COUNT($V499:$AN499)</f>
        <v>0</v>
      </c>
      <c r="AW499" s="52" cm="1">
        <f t="array" ref="AW499">SUMPRODUCT(($V499:$AN499&lt;=$I214)*(1))</f>
        <v>2</v>
      </c>
      <c r="AX499" s="52" cm="1">
        <f t="array" ref="AX499">SUMPRODUCT(($V499:$AN499&lt;=$J214)*(1))</f>
        <v>0</v>
      </c>
      <c r="AY499" s="52" cm="1">
        <f t="array" ref="AY499">SUMPRODUCT(($V499:$AN499&lt;=$K214)*(1))</f>
        <v>0</v>
      </c>
      <c r="BA499" s="52">
        <f t="shared" ref="BA499:BA562" si="121">AW499-AX499</f>
        <v>2</v>
      </c>
      <c r="BB499" s="52">
        <f t="shared" ref="BB499:BB562" si="122">AX499-AY499</f>
        <v>0</v>
      </c>
      <c r="BC499" s="52">
        <f t="shared" ref="BC499:BC562" si="123">AY499</f>
        <v>0</v>
      </c>
      <c r="BE499" s="50">
        <f t="shared" si="118"/>
        <v>0.10526315789473684</v>
      </c>
      <c r="BF499" s="50">
        <f t="shared" si="119"/>
        <v>0</v>
      </c>
      <c r="BG499" s="50">
        <f t="shared" si="120"/>
        <v>0</v>
      </c>
    </row>
    <row r="500" spans="4:59" ht="15.6">
      <c r="D500" s="44"/>
      <c r="M500" s="42"/>
      <c r="N500" s="39" t="s">
        <v>27</v>
      </c>
      <c r="O500" s="39" t="s">
        <v>169</v>
      </c>
      <c r="P500" t="s">
        <v>813</v>
      </c>
      <c r="R500" s="41"/>
      <c r="S500" s="42"/>
      <c r="T500" s="42"/>
      <c r="U500" s="42"/>
      <c r="V500" s="45">
        <f t="shared" si="99"/>
        <v>1</v>
      </c>
      <c r="W500" s="45">
        <f t="shared" si="100"/>
        <v>1</v>
      </c>
      <c r="X500" s="45">
        <f t="shared" si="101"/>
        <v>1</v>
      </c>
      <c r="Y500" s="45">
        <f t="shared" si="102"/>
        <v>1</v>
      </c>
      <c r="Z500" s="45">
        <f t="shared" si="103"/>
        <v>1</v>
      </c>
      <c r="AA500" s="45">
        <f t="shared" si="104"/>
        <v>1</v>
      </c>
      <c r="AB500" s="45">
        <f t="shared" si="105"/>
        <v>1</v>
      </c>
      <c r="AC500" s="45">
        <f t="shared" si="106"/>
        <v>1</v>
      </c>
      <c r="AD500" s="45">
        <f t="shared" si="107"/>
        <v>0.99505899621722305</v>
      </c>
      <c r="AE500" s="45">
        <f t="shared" si="108"/>
        <v>0.99337591908119094</v>
      </c>
      <c r="AF500" s="45">
        <f t="shared" si="109"/>
        <v>1</v>
      </c>
      <c r="AG500" s="45">
        <f t="shared" si="110"/>
        <v>1</v>
      </c>
      <c r="AH500" s="45">
        <f t="shared" si="111"/>
        <v>1</v>
      </c>
      <c r="AI500" s="45">
        <f t="shared" si="112"/>
        <v>1</v>
      </c>
      <c r="AJ500" s="45">
        <f t="shared" si="113"/>
        <v>1</v>
      </c>
      <c r="AK500" s="45">
        <f t="shared" si="114"/>
        <v>1</v>
      </c>
      <c r="AL500" s="45">
        <f t="shared" si="115"/>
        <v>1</v>
      </c>
      <c r="AM500" s="45">
        <f t="shared" si="116"/>
        <v>0.9995638187233401</v>
      </c>
      <c r="AN500" s="45">
        <f t="shared" si="117"/>
        <v>1</v>
      </c>
      <c r="AS500" s="50" cm="1">
        <f t="array" ref="AS500">SUMPRODUCT(($V500:$AN500&lt;=$I215)*(1))/COUNT($V500:$AN500)</f>
        <v>0</v>
      </c>
      <c r="AT500" s="50" cm="1">
        <f t="array" ref="AT500">SUMPRODUCT(($V500:$AN500&lt;=$J215)*(1))/COUNT($V500:$AN500)</f>
        <v>0</v>
      </c>
      <c r="AU500" s="50" cm="1">
        <f t="array" ref="AU500">SUMPRODUCT(($V500:$AN500&lt;=$K215)*(1))/COUNT($V500:$AN500)</f>
        <v>0</v>
      </c>
      <c r="AW500" s="52" cm="1">
        <f t="array" ref="AW500">SUMPRODUCT(($V500:$AN500&lt;=$I215)*(1))</f>
        <v>0</v>
      </c>
      <c r="AX500" s="52" cm="1">
        <f t="array" ref="AX500">SUMPRODUCT(($V500:$AN500&lt;=$J215)*(1))</f>
        <v>0</v>
      </c>
      <c r="AY500" s="52" cm="1">
        <f t="array" ref="AY500">SUMPRODUCT(($V500:$AN500&lt;=$K215)*(1))</f>
        <v>0</v>
      </c>
      <c r="BA500" s="52">
        <f t="shared" si="121"/>
        <v>0</v>
      </c>
      <c r="BB500" s="52">
        <f t="shared" si="122"/>
        <v>0</v>
      </c>
      <c r="BC500" s="52">
        <f t="shared" si="123"/>
        <v>0</v>
      </c>
      <c r="BE500" s="50">
        <f t="shared" si="118"/>
        <v>0</v>
      </c>
      <c r="BF500" s="50">
        <f t="shared" si="119"/>
        <v>0</v>
      </c>
      <c r="BG500" s="50">
        <f t="shared" si="120"/>
        <v>0</v>
      </c>
    </row>
    <row r="501" spans="4:59" ht="15.6">
      <c r="D501" s="44"/>
      <c r="M501" s="42"/>
      <c r="N501" s="39" t="s">
        <v>27</v>
      </c>
      <c r="O501" s="39" t="s">
        <v>181</v>
      </c>
      <c r="P501" t="s">
        <v>814</v>
      </c>
      <c r="R501" s="41"/>
      <c r="S501" s="42"/>
      <c r="T501" s="42"/>
      <c r="U501" s="42"/>
      <c r="V501" s="45">
        <f t="shared" si="99"/>
        <v>1</v>
      </c>
      <c r="W501" s="45">
        <f t="shared" si="100"/>
        <v>1</v>
      </c>
      <c r="X501" s="45">
        <f t="shared" si="101"/>
        <v>1</v>
      </c>
      <c r="Y501" s="45">
        <f t="shared" si="102"/>
        <v>1</v>
      </c>
      <c r="Z501" s="45">
        <f t="shared" si="103"/>
        <v>1</v>
      </c>
      <c r="AA501" s="45">
        <f t="shared" si="104"/>
        <v>1</v>
      </c>
      <c r="AB501" s="45">
        <f t="shared" si="105"/>
        <v>1</v>
      </c>
      <c r="AC501" s="45">
        <f t="shared" si="106"/>
        <v>1</v>
      </c>
      <c r="AD501" s="45">
        <f t="shared" si="107"/>
        <v>1</v>
      </c>
      <c r="AE501" s="45">
        <f t="shared" si="108"/>
        <v>1</v>
      </c>
      <c r="AF501" s="45">
        <f t="shared" si="109"/>
        <v>1</v>
      </c>
      <c r="AG501" s="45">
        <f t="shared" si="110"/>
        <v>1</v>
      </c>
      <c r="AH501" s="45">
        <f t="shared" si="111"/>
        <v>1</v>
      </c>
      <c r="AI501" s="45">
        <f t="shared" si="112"/>
        <v>1</v>
      </c>
      <c r="AJ501" s="45">
        <f t="shared" si="113"/>
        <v>1</v>
      </c>
      <c r="AK501" s="45">
        <f t="shared" si="114"/>
        <v>1</v>
      </c>
      <c r="AL501" s="45">
        <f t="shared" si="115"/>
        <v>1</v>
      </c>
      <c r="AM501" s="45">
        <f t="shared" si="116"/>
        <v>1</v>
      </c>
      <c r="AN501" s="45">
        <f t="shared" si="117"/>
        <v>1</v>
      </c>
      <c r="AS501" s="50" cm="1">
        <f t="array" ref="AS501">SUMPRODUCT(($V501:$AN501&lt;=$I216)*(1))/COUNT($V501:$AN501)</f>
        <v>0</v>
      </c>
      <c r="AT501" s="50" cm="1">
        <f t="array" ref="AT501">SUMPRODUCT(($V501:$AN501&lt;=$J216)*(1))/COUNT($V501:$AN501)</f>
        <v>0</v>
      </c>
      <c r="AU501" s="50" cm="1">
        <f t="array" ref="AU501">SUMPRODUCT(($V501:$AN501&lt;=$K216)*(1))/COUNT($V501:$AN501)</f>
        <v>0</v>
      </c>
      <c r="AW501" s="52" cm="1">
        <f t="array" ref="AW501">SUMPRODUCT(($V501:$AN501&lt;=$I216)*(1))</f>
        <v>0</v>
      </c>
      <c r="AX501" s="52" cm="1">
        <f t="array" ref="AX501">SUMPRODUCT(($V501:$AN501&lt;=$J216)*(1))</f>
        <v>0</v>
      </c>
      <c r="AY501" s="52" cm="1">
        <f t="array" ref="AY501">SUMPRODUCT(($V501:$AN501&lt;=$K216)*(1))</f>
        <v>0</v>
      </c>
      <c r="BA501" s="52">
        <f t="shared" si="121"/>
        <v>0</v>
      </c>
      <c r="BB501" s="52">
        <f t="shared" si="122"/>
        <v>0</v>
      </c>
      <c r="BC501" s="52">
        <f t="shared" si="123"/>
        <v>0</v>
      </c>
      <c r="BE501" s="50">
        <f t="shared" si="118"/>
        <v>0</v>
      </c>
      <c r="BF501" s="50">
        <f t="shared" si="119"/>
        <v>0</v>
      </c>
      <c r="BG501" s="50">
        <f t="shared" si="120"/>
        <v>0</v>
      </c>
    </row>
    <row r="502" spans="4:59" ht="15.6">
      <c r="D502" s="44"/>
      <c r="M502" s="42"/>
      <c r="N502" s="39" t="s">
        <v>27</v>
      </c>
      <c r="O502" s="39" t="s">
        <v>561</v>
      </c>
      <c r="P502" t="s">
        <v>815</v>
      </c>
      <c r="R502" s="41"/>
      <c r="S502" s="42"/>
      <c r="T502" s="42"/>
      <c r="U502" s="42"/>
      <c r="V502" s="45">
        <f t="shared" si="99"/>
        <v>1</v>
      </c>
      <c r="W502" s="45">
        <f t="shared" si="100"/>
        <v>1</v>
      </c>
      <c r="X502" s="45">
        <f t="shared" si="101"/>
        <v>1</v>
      </c>
      <c r="Y502" s="45">
        <f t="shared" si="102"/>
        <v>1</v>
      </c>
      <c r="Z502" s="45">
        <f t="shared" si="103"/>
        <v>1</v>
      </c>
      <c r="AA502" s="45">
        <f t="shared" si="104"/>
        <v>1</v>
      </c>
      <c r="AB502" s="45">
        <f t="shared" si="105"/>
        <v>1</v>
      </c>
      <c r="AC502" s="45">
        <f t="shared" si="106"/>
        <v>1</v>
      </c>
      <c r="AD502" s="45">
        <f t="shared" si="107"/>
        <v>1</v>
      </c>
      <c r="AE502" s="45">
        <f t="shared" si="108"/>
        <v>1</v>
      </c>
      <c r="AF502" s="45">
        <f t="shared" si="109"/>
        <v>1</v>
      </c>
      <c r="AG502" s="45">
        <f t="shared" si="110"/>
        <v>1</v>
      </c>
      <c r="AH502" s="45">
        <f t="shared" si="111"/>
        <v>1</v>
      </c>
      <c r="AI502" s="45">
        <f t="shared" si="112"/>
        <v>1</v>
      </c>
      <c r="AJ502" s="45">
        <f t="shared" si="113"/>
        <v>1</v>
      </c>
      <c r="AK502" s="45">
        <f t="shared" si="114"/>
        <v>1</v>
      </c>
      <c r="AL502" s="45">
        <f t="shared" si="115"/>
        <v>1</v>
      </c>
      <c r="AM502" s="45">
        <f t="shared" si="116"/>
        <v>1</v>
      </c>
      <c r="AN502" s="45">
        <f t="shared" si="117"/>
        <v>1</v>
      </c>
      <c r="AS502" s="50" cm="1">
        <f t="array" ref="AS502">SUMPRODUCT(($V502:$AN502&lt;=$I217)*(1))/COUNT($V502:$AN502)</f>
        <v>0</v>
      </c>
      <c r="AT502" s="50" cm="1">
        <f t="array" ref="AT502">SUMPRODUCT(($V502:$AN502&lt;=$J217)*(1))/COUNT($V502:$AN502)</f>
        <v>0</v>
      </c>
      <c r="AU502" s="50" cm="1">
        <f t="array" ref="AU502">SUMPRODUCT(($V502:$AN502&lt;=$K217)*(1))/COUNT($V502:$AN502)</f>
        <v>0</v>
      </c>
      <c r="AW502" s="52" cm="1">
        <f t="array" ref="AW502">SUMPRODUCT(($V502:$AN502&lt;=$I217)*(1))</f>
        <v>0</v>
      </c>
      <c r="AX502" s="52" cm="1">
        <f t="array" ref="AX502">SUMPRODUCT(($V502:$AN502&lt;=$J217)*(1))</f>
        <v>0</v>
      </c>
      <c r="AY502" s="52" cm="1">
        <f t="array" ref="AY502">SUMPRODUCT(($V502:$AN502&lt;=$K217)*(1))</f>
        <v>0</v>
      </c>
      <c r="BA502" s="52">
        <f t="shared" si="121"/>
        <v>0</v>
      </c>
      <c r="BB502" s="52">
        <f t="shared" si="122"/>
        <v>0</v>
      </c>
      <c r="BC502" s="52">
        <f t="shared" si="123"/>
        <v>0</v>
      </c>
      <c r="BE502" s="50">
        <f t="shared" si="118"/>
        <v>0</v>
      </c>
      <c r="BF502" s="50">
        <f t="shared" si="119"/>
        <v>0</v>
      </c>
      <c r="BG502" s="50">
        <f t="shared" si="120"/>
        <v>0</v>
      </c>
    </row>
    <row r="503" spans="4:59" ht="15.6">
      <c r="D503" s="44"/>
      <c r="M503" s="42"/>
      <c r="N503" s="39" t="s">
        <v>26</v>
      </c>
      <c r="O503" s="39" t="s">
        <v>508</v>
      </c>
      <c r="P503" t="s">
        <v>691</v>
      </c>
      <c r="R503" s="41"/>
      <c r="S503" s="42"/>
      <c r="T503" s="42"/>
      <c r="U503" s="42"/>
      <c r="V503" s="45">
        <f t="shared" si="99"/>
        <v>1.160390102884753</v>
      </c>
      <c r="W503" s="45">
        <f t="shared" si="100"/>
        <v>1.0643754845521676</v>
      </c>
      <c r="X503" s="45">
        <f t="shared" si="101"/>
        <v>1.1805972483099596</v>
      </c>
      <c r="Y503" s="45">
        <f t="shared" si="102"/>
        <v>0.92551270108231154</v>
      </c>
      <c r="Z503" s="45">
        <f t="shared" si="103"/>
        <v>1.0052141525954867</v>
      </c>
      <c r="AA503" s="45">
        <f t="shared" si="104"/>
        <v>0.94895526499143401</v>
      </c>
      <c r="AB503" s="45">
        <f t="shared" si="105"/>
        <v>0.97404587529930853</v>
      </c>
      <c r="AC503" s="45">
        <f t="shared" si="106"/>
        <v>0.82792751676643128</v>
      </c>
      <c r="AD503" s="45">
        <f t="shared" si="107"/>
        <v>0.81644454379005149</v>
      </c>
      <c r="AE503" s="45">
        <f t="shared" si="108"/>
        <v>0.79981642731871694</v>
      </c>
      <c r="AF503" s="45">
        <f t="shared" si="109"/>
        <v>0.91831489069433359</v>
      </c>
      <c r="AG503" s="45">
        <f t="shared" si="110"/>
        <v>1.3105835774340533</v>
      </c>
      <c r="AH503" s="45">
        <f t="shared" si="111"/>
        <v>1.3578579581795112</v>
      </c>
      <c r="AI503" s="45">
        <f t="shared" si="112"/>
        <v>1.1998125838389495</v>
      </c>
      <c r="AJ503" s="45">
        <f t="shared" si="113"/>
        <v>0.82233147945764162</v>
      </c>
      <c r="AK503" s="45">
        <f t="shared" si="114"/>
        <v>1.1870321066637555</v>
      </c>
      <c r="AL503" s="45">
        <f t="shared" si="115"/>
        <v>1.0867037276512008</v>
      </c>
      <c r="AM503" s="45">
        <f t="shared" si="116"/>
        <v>1.0014957463283733</v>
      </c>
      <c r="AN503" s="45">
        <f t="shared" si="117"/>
        <v>0.88924627895287789</v>
      </c>
      <c r="AS503" s="50" cm="1">
        <f t="array" ref="AS503">SUMPRODUCT(($V503:$AN503&lt;=$I218)*(1))/COUNT($V503:$AN503)</f>
        <v>0.42105263157894735</v>
      </c>
      <c r="AT503" s="50" cm="1">
        <f t="array" ref="AT503">SUMPRODUCT(($V503:$AN503&lt;=$J218)*(1))/COUNT($V503:$AN503)</f>
        <v>0.21052631578947367</v>
      </c>
      <c r="AU503" s="50" cm="1">
        <f t="array" ref="AU503">SUMPRODUCT(($V503:$AN503&lt;=$K218)*(1))/COUNT($V503:$AN503)</f>
        <v>0</v>
      </c>
      <c r="AW503" s="52" cm="1">
        <f t="array" ref="AW503">SUMPRODUCT(($V503:$AN503&lt;=$I218)*(1))</f>
        <v>8</v>
      </c>
      <c r="AX503" s="52" cm="1">
        <f t="array" ref="AX503">SUMPRODUCT(($V503:$AN503&lt;=$J218)*(1))</f>
        <v>4</v>
      </c>
      <c r="AY503" s="52" cm="1">
        <f t="array" ref="AY503">SUMPRODUCT(($V503:$AN503&lt;=$K218)*(1))</f>
        <v>0</v>
      </c>
      <c r="BA503" s="52">
        <f t="shared" si="121"/>
        <v>4</v>
      </c>
      <c r="BB503" s="52">
        <f t="shared" si="122"/>
        <v>4</v>
      </c>
      <c r="BC503" s="52">
        <f t="shared" si="123"/>
        <v>0</v>
      </c>
      <c r="BE503" s="50">
        <f t="shared" si="118"/>
        <v>0.21052631578947367</v>
      </c>
      <c r="BF503" s="50">
        <f t="shared" si="119"/>
        <v>0.21052631578947367</v>
      </c>
      <c r="BG503" s="50">
        <f t="shared" si="120"/>
        <v>0</v>
      </c>
    </row>
    <row r="504" spans="4:59" ht="15.6">
      <c r="D504" s="44"/>
      <c r="M504" s="42"/>
      <c r="N504" s="39" t="s">
        <v>27</v>
      </c>
      <c r="O504" s="39" t="s">
        <v>555</v>
      </c>
      <c r="P504" t="s">
        <v>816</v>
      </c>
      <c r="R504" s="41"/>
      <c r="S504" s="42"/>
      <c r="T504" s="42"/>
      <c r="U504" s="42"/>
      <c r="V504" s="45">
        <f t="shared" si="99"/>
        <v>1.0780407689784084</v>
      </c>
      <c r="W504" s="45">
        <f t="shared" si="100"/>
        <v>0.95073590041102995</v>
      </c>
      <c r="X504" s="45">
        <f t="shared" si="101"/>
        <v>1.1577855287245851</v>
      </c>
      <c r="Y504" s="45">
        <f t="shared" si="102"/>
        <v>1.0280666205619697</v>
      </c>
      <c r="Z504" s="45">
        <f t="shared" si="103"/>
        <v>0.85511618958055968</v>
      </c>
      <c r="AA504" s="45">
        <f t="shared" si="104"/>
        <v>0.94197668245838484</v>
      </c>
      <c r="AB504" s="45">
        <f t="shared" si="105"/>
        <v>1.1869105882003554</v>
      </c>
      <c r="AC504" s="45">
        <f t="shared" si="106"/>
        <v>1.1185934505543171</v>
      </c>
      <c r="AD504" s="45">
        <f t="shared" si="107"/>
        <v>0.9073843147740619</v>
      </c>
      <c r="AE504" s="45">
        <f t="shared" si="108"/>
        <v>0.96824504917436116</v>
      </c>
      <c r="AF504" s="45">
        <f t="shared" si="109"/>
        <v>0.90082650040146339</v>
      </c>
      <c r="AG504" s="45">
        <f t="shared" si="110"/>
        <v>1.0752072123363046</v>
      </c>
      <c r="AH504" s="45">
        <f t="shared" si="111"/>
        <v>1.1441644153081525</v>
      </c>
      <c r="AI504" s="45">
        <f t="shared" si="112"/>
        <v>1.1003384410880217</v>
      </c>
      <c r="AJ504" s="45">
        <f t="shared" si="113"/>
        <v>1.0592723487240625</v>
      </c>
      <c r="AK504" s="45">
        <f t="shared" si="114"/>
        <v>1.0731774623872981</v>
      </c>
      <c r="AL504" s="45">
        <f t="shared" si="115"/>
        <v>1.0758971353272528</v>
      </c>
      <c r="AM504" s="45">
        <f t="shared" si="116"/>
        <v>1.0722862190664695</v>
      </c>
      <c r="AN504" s="45">
        <f t="shared" si="117"/>
        <v>0.91988608881105116</v>
      </c>
      <c r="AS504" s="50" cm="1">
        <f t="array" ref="AS504">SUMPRODUCT(($V504:$AN504&lt;=$I219)*(1))/COUNT($V504:$AN504)</f>
        <v>0.26315789473684209</v>
      </c>
      <c r="AT504" s="50" cm="1">
        <f t="array" ref="AT504">SUMPRODUCT(($V504:$AN504&lt;=$J219)*(1))/COUNT($V504:$AN504)</f>
        <v>0</v>
      </c>
      <c r="AU504" s="50" cm="1">
        <f t="array" ref="AU504">SUMPRODUCT(($V504:$AN504&lt;=$K219)*(1))/COUNT($V504:$AN504)</f>
        <v>0</v>
      </c>
      <c r="AW504" s="52" cm="1">
        <f t="array" ref="AW504">SUMPRODUCT(($V504:$AN504&lt;=$I219)*(1))</f>
        <v>5</v>
      </c>
      <c r="AX504" s="52" cm="1">
        <f t="array" ref="AX504">SUMPRODUCT(($V504:$AN504&lt;=$J219)*(1))</f>
        <v>0</v>
      </c>
      <c r="AY504" s="52" cm="1">
        <f t="array" ref="AY504">SUMPRODUCT(($V504:$AN504&lt;=$K219)*(1))</f>
        <v>0</v>
      </c>
      <c r="BA504" s="52">
        <f t="shared" si="121"/>
        <v>5</v>
      </c>
      <c r="BB504" s="52">
        <f t="shared" si="122"/>
        <v>0</v>
      </c>
      <c r="BC504" s="52">
        <f t="shared" si="123"/>
        <v>0</v>
      </c>
      <c r="BE504" s="50">
        <f t="shared" si="118"/>
        <v>0.26315789473684209</v>
      </c>
      <c r="BF504" s="50">
        <f t="shared" si="119"/>
        <v>0</v>
      </c>
      <c r="BG504" s="50">
        <f t="shared" si="120"/>
        <v>0</v>
      </c>
    </row>
    <row r="505" spans="4:59" ht="15.6">
      <c r="D505" s="44"/>
      <c r="M505" s="42"/>
      <c r="N505" s="39" t="s">
        <v>27</v>
      </c>
      <c r="O505" s="39" t="s">
        <v>555</v>
      </c>
      <c r="P505" t="s">
        <v>817</v>
      </c>
      <c r="R505" s="41"/>
      <c r="S505" s="42"/>
      <c r="T505" s="42"/>
      <c r="U505" s="42"/>
      <c r="V505" s="45">
        <f t="shared" si="99"/>
        <v>1.0495509294203997</v>
      </c>
      <c r="W505" s="45">
        <f t="shared" si="100"/>
        <v>0.89119518351255456</v>
      </c>
      <c r="X505" s="45">
        <f t="shared" si="101"/>
        <v>1.2526529393661527</v>
      </c>
      <c r="Y505" s="45">
        <f t="shared" si="102"/>
        <v>1.0413907865014147</v>
      </c>
      <c r="Z505" s="45">
        <f t="shared" si="103"/>
        <v>0.81939596350330446</v>
      </c>
      <c r="AA505" s="45">
        <f t="shared" si="104"/>
        <v>0.98682239266871763</v>
      </c>
      <c r="AB505" s="45">
        <f t="shared" si="105"/>
        <v>1.1065479027666485</v>
      </c>
      <c r="AC505" s="45">
        <f t="shared" si="106"/>
        <v>1.0891004668258648</v>
      </c>
      <c r="AD505" s="45">
        <f t="shared" si="107"/>
        <v>0.90228777845684904</v>
      </c>
      <c r="AE505" s="45">
        <f t="shared" si="108"/>
        <v>0.8389590472887325</v>
      </c>
      <c r="AF505" s="45">
        <f t="shared" si="109"/>
        <v>0.87153189116181495</v>
      </c>
      <c r="AG505" s="45">
        <f t="shared" si="110"/>
        <v>1.0080712149273356</v>
      </c>
      <c r="AH505" s="45">
        <f t="shared" si="111"/>
        <v>1.0846892219696918</v>
      </c>
      <c r="AI505" s="45">
        <f t="shared" si="112"/>
        <v>0.9686627764384671</v>
      </c>
      <c r="AJ505" s="45">
        <f t="shared" si="113"/>
        <v>1.0496854792822212</v>
      </c>
      <c r="AK505" s="45">
        <f t="shared" si="114"/>
        <v>1.0458036133779602</v>
      </c>
      <c r="AL505" s="45">
        <f t="shared" si="115"/>
        <v>1.185759568755147</v>
      </c>
      <c r="AM505" s="45">
        <f t="shared" si="116"/>
        <v>1.1388280083541771</v>
      </c>
      <c r="AN505" s="45">
        <f t="shared" si="117"/>
        <v>1.0010603358754848</v>
      </c>
      <c r="AS505" s="50" cm="1">
        <f t="array" ref="AS505">SUMPRODUCT(($V505:$AN505&lt;=$I220)*(1))/COUNT($V505:$AN505)</f>
        <v>0.26315789473684209</v>
      </c>
      <c r="AT505" s="50" cm="1">
        <f t="array" ref="AT505">SUMPRODUCT(($V505:$AN505&lt;=$J220)*(1))/COUNT($V505:$AN505)</f>
        <v>0.10526315789473684</v>
      </c>
      <c r="AU505" s="50" cm="1">
        <f t="array" ref="AU505">SUMPRODUCT(($V505:$AN505&lt;=$K220)*(1))/COUNT($V505:$AN505)</f>
        <v>0</v>
      </c>
      <c r="AW505" s="52" cm="1">
        <f t="array" ref="AW505">SUMPRODUCT(($V505:$AN505&lt;=$I220)*(1))</f>
        <v>5</v>
      </c>
      <c r="AX505" s="52" cm="1">
        <f t="array" ref="AX505">SUMPRODUCT(($V505:$AN505&lt;=$J220)*(1))</f>
        <v>2</v>
      </c>
      <c r="AY505" s="52" cm="1">
        <f t="array" ref="AY505">SUMPRODUCT(($V505:$AN505&lt;=$K220)*(1))</f>
        <v>0</v>
      </c>
      <c r="BA505" s="52">
        <f t="shared" si="121"/>
        <v>3</v>
      </c>
      <c r="BB505" s="52">
        <f t="shared" si="122"/>
        <v>2</v>
      </c>
      <c r="BC505" s="52">
        <f t="shared" si="123"/>
        <v>0</v>
      </c>
      <c r="BE505" s="50">
        <f t="shared" si="118"/>
        <v>0.15789473684210525</v>
      </c>
      <c r="BF505" s="50">
        <f t="shared" si="119"/>
        <v>0.10526315789473684</v>
      </c>
      <c r="BG505" s="50">
        <f t="shared" si="120"/>
        <v>0</v>
      </c>
    </row>
    <row r="506" spans="4:59" ht="15.6">
      <c r="D506" s="44"/>
      <c r="M506" s="42"/>
      <c r="N506" s="39" t="s">
        <v>27</v>
      </c>
      <c r="O506" s="39" t="s">
        <v>542</v>
      </c>
      <c r="P506" t="s">
        <v>818</v>
      </c>
      <c r="R506" s="41"/>
      <c r="S506" s="42"/>
      <c r="T506" s="42"/>
      <c r="U506" s="42"/>
      <c r="V506" s="45">
        <f t="shared" si="99"/>
        <v>1.0865416612418679</v>
      </c>
      <c r="W506" s="45">
        <f t="shared" si="100"/>
        <v>0.89849295082010583</v>
      </c>
      <c r="X506" s="45">
        <f t="shared" si="101"/>
        <v>1.0929185164673707</v>
      </c>
      <c r="Y506" s="45">
        <f t="shared" si="102"/>
        <v>1.0162958811474931</v>
      </c>
      <c r="Z506" s="45">
        <f t="shared" si="103"/>
        <v>0.93271748429353096</v>
      </c>
      <c r="AA506" s="45">
        <f t="shared" si="104"/>
        <v>0.94894807608673992</v>
      </c>
      <c r="AB506" s="45">
        <f t="shared" si="105"/>
        <v>1.1148357088708889</v>
      </c>
      <c r="AC506" s="45">
        <f t="shared" si="106"/>
        <v>1.022252810619398</v>
      </c>
      <c r="AD506" s="45">
        <f t="shared" si="107"/>
        <v>0.92431030012993165</v>
      </c>
      <c r="AE506" s="45">
        <f t="shared" si="108"/>
        <v>1.0453928079776056</v>
      </c>
      <c r="AF506" s="45">
        <f t="shared" si="109"/>
        <v>0.81794647282034694</v>
      </c>
      <c r="AG506" s="45">
        <f t="shared" si="110"/>
        <v>0.95849717768952858</v>
      </c>
      <c r="AH506" s="45">
        <f t="shared" si="111"/>
        <v>1.1259398290791733</v>
      </c>
      <c r="AI506" s="45">
        <f t="shared" si="112"/>
        <v>1.0965088509894176</v>
      </c>
      <c r="AJ506" s="45">
        <f t="shared" si="113"/>
        <v>0.92550102102423171</v>
      </c>
      <c r="AK506" s="45">
        <f t="shared" si="114"/>
        <v>1.1304069498640745</v>
      </c>
      <c r="AL506" s="45">
        <f t="shared" si="115"/>
        <v>1.0006796468835033</v>
      </c>
      <c r="AM506" s="45">
        <f t="shared" si="116"/>
        <v>1.0307364022541261</v>
      </c>
      <c r="AN506" s="45">
        <f t="shared" si="117"/>
        <v>0.99053015769739827</v>
      </c>
      <c r="AS506" s="50" cm="1">
        <f t="array" ref="AS506">SUMPRODUCT(($V506:$AN506&lt;=$I221)*(1))/COUNT($V506:$AN506)</f>
        <v>0.31578947368421051</v>
      </c>
      <c r="AT506" s="50" cm="1">
        <f t="array" ref="AT506">SUMPRODUCT(($V506:$AN506&lt;=$J221)*(1))/COUNT($V506:$AN506)</f>
        <v>5.2631578947368418E-2</v>
      </c>
      <c r="AU506" s="50" cm="1">
        <f t="array" ref="AU506">SUMPRODUCT(($V506:$AN506&lt;=$K221)*(1))/COUNT($V506:$AN506)</f>
        <v>0</v>
      </c>
      <c r="AW506" s="52" cm="1">
        <f t="array" ref="AW506">SUMPRODUCT(($V506:$AN506&lt;=$I221)*(1))</f>
        <v>6</v>
      </c>
      <c r="AX506" s="52" cm="1">
        <f t="array" ref="AX506">SUMPRODUCT(($V506:$AN506&lt;=$J221)*(1))</f>
        <v>1</v>
      </c>
      <c r="AY506" s="52" cm="1">
        <f t="array" ref="AY506">SUMPRODUCT(($V506:$AN506&lt;=$K221)*(1))</f>
        <v>0</v>
      </c>
      <c r="BA506" s="52">
        <f t="shared" si="121"/>
        <v>5</v>
      </c>
      <c r="BB506" s="52">
        <f t="shared" si="122"/>
        <v>1</v>
      </c>
      <c r="BC506" s="52">
        <f t="shared" si="123"/>
        <v>0</v>
      </c>
      <c r="BE506" s="50">
        <f t="shared" si="118"/>
        <v>0.26315789473684209</v>
      </c>
      <c r="BF506" s="50">
        <f t="shared" si="119"/>
        <v>5.2631578947368418E-2</v>
      </c>
      <c r="BG506" s="50">
        <f t="shared" si="120"/>
        <v>0</v>
      </c>
    </row>
    <row r="507" spans="4:59" ht="15.6">
      <c r="D507" s="44"/>
      <c r="M507" s="42"/>
      <c r="N507" s="39" t="s">
        <v>27</v>
      </c>
      <c r="O507" s="39" t="s">
        <v>464</v>
      </c>
      <c r="P507" t="s">
        <v>819</v>
      </c>
      <c r="R507" s="41"/>
      <c r="S507" s="42"/>
      <c r="T507" s="42"/>
      <c r="U507" s="42"/>
      <c r="V507" s="45">
        <f t="shared" si="99"/>
        <v>1</v>
      </c>
      <c r="W507" s="45">
        <f t="shared" si="100"/>
        <v>1</v>
      </c>
      <c r="X507" s="45">
        <f t="shared" si="101"/>
        <v>1</v>
      </c>
      <c r="Y507" s="45">
        <f t="shared" si="102"/>
        <v>1</v>
      </c>
      <c r="Z507" s="45">
        <f t="shared" si="103"/>
        <v>1</v>
      </c>
      <c r="AA507" s="45">
        <f t="shared" si="104"/>
        <v>1</v>
      </c>
      <c r="AB507" s="45">
        <f t="shared" si="105"/>
        <v>1</v>
      </c>
      <c r="AC507" s="45">
        <f t="shared" si="106"/>
        <v>1</v>
      </c>
      <c r="AD507" s="45">
        <f t="shared" si="107"/>
        <v>0.94438465555579199</v>
      </c>
      <c r="AE507" s="45">
        <f t="shared" si="108"/>
        <v>0.99102768491796989</v>
      </c>
      <c r="AF507" s="45">
        <f t="shared" si="109"/>
        <v>0.99912324337713099</v>
      </c>
      <c r="AG507" s="45">
        <f t="shared" si="110"/>
        <v>1.0008775259996008</v>
      </c>
      <c r="AH507" s="45">
        <f t="shared" si="111"/>
        <v>1.0008775259996008</v>
      </c>
      <c r="AI507" s="45">
        <f t="shared" si="112"/>
        <v>1.0008660260046232</v>
      </c>
      <c r="AJ507" s="45">
        <f t="shared" si="113"/>
        <v>0.92941270883036231</v>
      </c>
      <c r="AK507" s="45">
        <f t="shared" si="114"/>
        <v>1.0000114900443007</v>
      </c>
      <c r="AL507" s="45">
        <f t="shared" si="115"/>
        <v>1</v>
      </c>
      <c r="AM507" s="45">
        <f t="shared" si="116"/>
        <v>1</v>
      </c>
      <c r="AN507" s="45">
        <f t="shared" si="117"/>
        <v>1</v>
      </c>
      <c r="AS507" s="50" cm="1">
        <f t="array" ref="AS507">SUMPRODUCT(($V507:$AN507&lt;=$I222)*(1))/COUNT($V507:$AN507)</f>
        <v>0.10526315789473684</v>
      </c>
      <c r="AT507" s="50" cm="1">
        <f t="array" ref="AT507">SUMPRODUCT(($V507:$AN507&lt;=$J222)*(1))/COUNT($V507:$AN507)</f>
        <v>0</v>
      </c>
      <c r="AU507" s="50" cm="1">
        <f t="array" ref="AU507">SUMPRODUCT(($V507:$AN507&lt;=$K222)*(1))/COUNT($V507:$AN507)</f>
        <v>0</v>
      </c>
      <c r="AW507" s="52" cm="1">
        <f t="array" ref="AW507">SUMPRODUCT(($V507:$AN507&lt;=$I222)*(1))</f>
        <v>2</v>
      </c>
      <c r="AX507" s="52" cm="1">
        <f t="array" ref="AX507">SUMPRODUCT(($V507:$AN507&lt;=$J222)*(1))</f>
        <v>0</v>
      </c>
      <c r="AY507" s="52" cm="1">
        <f t="array" ref="AY507">SUMPRODUCT(($V507:$AN507&lt;=$K222)*(1))</f>
        <v>0</v>
      </c>
      <c r="BA507" s="52">
        <f t="shared" si="121"/>
        <v>2</v>
      </c>
      <c r="BB507" s="52">
        <f t="shared" si="122"/>
        <v>0</v>
      </c>
      <c r="BC507" s="52">
        <f t="shared" si="123"/>
        <v>0</v>
      </c>
      <c r="BE507" s="50">
        <f t="shared" si="118"/>
        <v>0.10526315789473684</v>
      </c>
      <c r="BF507" s="50">
        <f t="shared" si="119"/>
        <v>0</v>
      </c>
      <c r="BG507" s="50">
        <f t="shared" si="120"/>
        <v>0</v>
      </c>
    </row>
    <row r="508" spans="4:59" ht="15.6">
      <c r="D508" s="44"/>
      <c r="M508" s="42"/>
      <c r="N508" s="39" t="s">
        <v>27</v>
      </c>
      <c r="O508" s="39" t="s">
        <v>184</v>
      </c>
      <c r="P508" t="s">
        <v>820</v>
      </c>
      <c r="R508" s="41"/>
      <c r="S508" s="42"/>
      <c r="T508" s="42"/>
      <c r="U508" s="42"/>
      <c r="V508" s="45">
        <f t="shared" si="99"/>
        <v>1</v>
      </c>
      <c r="W508" s="45">
        <f t="shared" si="100"/>
        <v>1</v>
      </c>
      <c r="X508" s="45">
        <f t="shared" si="101"/>
        <v>1</v>
      </c>
      <c r="Y508" s="45">
        <f t="shared" si="102"/>
        <v>1</v>
      </c>
      <c r="Z508" s="45">
        <f t="shared" si="103"/>
        <v>1</v>
      </c>
      <c r="AA508" s="45">
        <f t="shared" si="104"/>
        <v>1</v>
      </c>
      <c r="AB508" s="45">
        <f t="shared" si="105"/>
        <v>1</v>
      </c>
      <c r="AC508" s="45">
        <f t="shared" si="106"/>
        <v>1</v>
      </c>
      <c r="AD508" s="45">
        <f t="shared" si="107"/>
        <v>1</v>
      </c>
      <c r="AE508" s="45">
        <f t="shared" si="108"/>
        <v>1</v>
      </c>
      <c r="AF508" s="45">
        <f t="shared" si="109"/>
        <v>1</v>
      </c>
      <c r="AG508" s="45">
        <f t="shared" si="110"/>
        <v>1</v>
      </c>
      <c r="AH508" s="45">
        <f t="shared" si="111"/>
        <v>1</v>
      </c>
      <c r="AI508" s="45">
        <f t="shared" si="112"/>
        <v>1</v>
      </c>
      <c r="AJ508" s="45">
        <f t="shared" si="113"/>
        <v>1</v>
      </c>
      <c r="AK508" s="45">
        <f t="shared" si="114"/>
        <v>1</v>
      </c>
      <c r="AL508" s="45">
        <f t="shared" si="115"/>
        <v>1</v>
      </c>
      <c r="AM508" s="45">
        <f t="shared" si="116"/>
        <v>1</v>
      </c>
      <c r="AN508" s="45">
        <f t="shared" si="117"/>
        <v>1</v>
      </c>
      <c r="AS508" s="50" cm="1">
        <f t="array" ref="AS508">SUMPRODUCT(($V508:$AN508&lt;=$I223)*(1))/COUNT($V508:$AN508)</f>
        <v>0</v>
      </c>
      <c r="AT508" s="50" cm="1">
        <f t="array" ref="AT508">SUMPRODUCT(($V508:$AN508&lt;=$J223)*(1))/COUNT($V508:$AN508)</f>
        <v>0</v>
      </c>
      <c r="AU508" s="50" cm="1">
        <f t="array" ref="AU508">SUMPRODUCT(($V508:$AN508&lt;=$K223)*(1))/COUNT($V508:$AN508)</f>
        <v>0</v>
      </c>
      <c r="AW508" s="52" cm="1">
        <f t="array" ref="AW508">SUMPRODUCT(($V508:$AN508&lt;=$I223)*(1))</f>
        <v>0</v>
      </c>
      <c r="AX508" s="52" cm="1">
        <f t="array" ref="AX508">SUMPRODUCT(($V508:$AN508&lt;=$J223)*(1))</f>
        <v>0</v>
      </c>
      <c r="AY508" s="52" cm="1">
        <f t="array" ref="AY508">SUMPRODUCT(($V508:$AN508&lt;=$K223)*(1))</f>
        <v>0</v>
      </c>
      <c r="BA508" s="52">
        <f t="shared" si="121"/>
        <v>0</v>
      </c>
      <c r="BB508" s="52">
        <f t="shared" si="122"/>
        <v>0</v>
      </c>
      <c r="BC508" s="52">
        <f t="shared" si="123"/>
        <v>0</v>
      </c>
      <c r="BE508" s="50">
        <f t="shared" si="118"/>
        <v>0</v>
      </c>
      <c r="BF508" s="50">
        <f t="shared" si="119"/>
        <v>0</v>
      </c>
      <c r="BG508" s="50">
        <f t="shared" si="120"/>
        <v>0</v>
      </c>
    </row>
    <row r="509" spans="4:59" ht="15.6">
      <c r="D509" s="44"/>
      <c r="M509" s="42"/>
      <c r="N509" s="39" t="s">
        <v>27</v>
      </c>
      <c r="O509" s="39" t="s">
        <v>537</v>
      </c>
      <c r="P509" t="s">
        <v>821</v>
      </c>
      <c r="R509" s="41"/>
      <c r="S509" s="42"/>
      <c r="T509" s="42"/>
      <c r="U509" s="42"/>
      <c r="V509" s="45">
        <f t="shared" si="99"/>
        <v>1.0050331303942772</v>
      </c>
      <c r="W509" s="45">
        <f t="shared" si="100"/>
        <v>0.97789797263811418</v>
      </c>
      <c r="X509" s="45">
        <f t="shared" si="101"/>
        <v>1.0062436829350205</v>
      </c>
      <c r="Y509" s="45">
        <f t="shared" si="102"/>
        <v>0.98803258437911112</v>
      </c>
      <c r="Z509" s="45">
        <f t="shared" si="103"/>
        <v>0.99276741639579968</v>
      </c>
      <c r="AA509" s="45">
        <f t="shared" si="104"/>
        <v>1.0038034222135457</v>
      </c>
      <c r="AB509" s="45">
        <f t="shared" si="105"/>
        <v>1.0084985401912328</v>
      </c>
      <c r="AC509" s="45">
        <f t="shared" si="106"/>
        <v>1.0046773281240002</v>
      </c>
      <c r="AD509" s="45">
        <f t="shared" si="107"/>
        <v>0.9583218410037303</v>
      </c>
      <c r="AE509" s="45">
        <f t="shared" si="108"/>
        <v>0.93512309116119874</v>
      </c>
      <c r="AF509" s="45">
        <f t="shared" si="109"/>
        <v>0.99103308239338173</v>
      </c>
      <c r="AG509" s="45">
        <f t="shared" si="110"/>
        <v>1.0086877801995053</v>
      </c>
      <c r="AH509" s="45">
        <f t="shared" si="111"/>
        <v>1.0135083169337991</v>
      </c>
      <c r="AI509" s="45">
        <f t="shared" si="112"/>
        <v>1.0033646259525242</v>
      </c>
      <c r="AJ509" s="45">
        <f t="shared" si="113"/>
        <v>0.99448712379617088</v>
      </c>
      <c r="AK509" s="45">
        <f t="shared" si="114"/>
        <v>0.99603796689204094</v>
      </c>
      <c r="AL509" s="45">
        <f t="shared" si="115"/>
        <v>1.0103681885294584</v>
      </c>
      <c r="AM509" s="45">
        <f t="shared" si="116"/>
        <v>1.0046422416514387</v>
      </c>
      <c r="AN509" s="45">
        <f t="shared" si="117"/>
        <v>1.0017372634820001</v>
      </c>
      <c r="AS509" s="50" cm="1">
        <f t="array" ref="AS509">SUMPRODUCT(($V509:$AN509&lt;=$I224)*(1))/COUNT($V509:$AN509)</f>
        <v>5.2631578947368418E-2</v>
      </c>
      <c r="AT509" s="50" cm="1">
        <f t="array" ref="AT509">SUMPRODUCT(($V509:$AN509&lt;=$J224)*(1))/COUNT($V509:$AN509)</f>
        <v>0</v>
      </c>
      <c r="AU509" s="50" cm="1">
        <f t="array" ref="AU509">SUMPRODUCT(($V509:$AN509&lt;=$K224)*(1))/COUNT($V509:$AN509)</f>
        <v>0</v>
      </c>
      <c r="AW509" s="52" cm="1">
        <f t="array" ref="AW509">SUMPRODUCT(($V509:$AN509&lt;=$I224)*(1))</f>
        <v>1</v>
      </c>
      <c r="AX509" s="52" cm="1">
        <f t="array" ref="AX509">SUMPRODUCT(($V509:$AN509&lt;=$J224)*(1))</f>
        <v>0</v>
      </c>
      <c r="AY509" s="52" cm="1">
        <f t="array" ref="AY509">SUMPRODUCT(($V509:$AN509&lt;=$K224)*(1))</f>
        <v>0</v>
      </c>
      <c r="BA509" s="52">
        <f t="shared" si="121"/>
        <v>1</v>
      </c>
      <c r="BB509" s="52">
        <f t="shared" si="122"/>
        <v>0</v>
      </c>
      <c r="BC509" s="52">
        <f t="shared" si="123"/>
        <v>0</v>
      </c>
      <c r="BE509" s="50">
        <f t="shared" si="118"/>
        <v>5.2631578947368418E-2</v>
      </c>
      <c r="BF509" s="50">
        <f t="shared" si="119"/>
        <v>0</v>
      </c>
      <c r="BG509" s="50">
        <f t="shared" si="120"/>
        <v>0</v>
      </c>
    </row>
    <row r="510" spans="4:59" ht="15.6">
      <c r="D510" s="44"/>
      <c r="M510" s="42"/>
      <c r="N510" s="39" t="s">
        <v>27</v>
      </c>
      <c r="O510" s="39" t="s">
        <v>251</v>
      </c>
      <c r="P510" s="89" t="s">
        <v>255</v>
      </c>
      <c r="R510" s="41"/>
      <c r="S510" s="42"/>
      <c r="T510" s="42"/>
      <c r="U510" s="42"/>
      <c r="V510" s="45">
        <f t="shared" si="99"/>
        <v>1.0040650125447019</v>
      </c>
      <c r="W510" s="45">
        <f t="shared" si="100"/>
        <v>0.9799868356684408</v>
      </c>
      <c r="X510" s="45">
        <f t="shared" si="101"/>
        <v>1.0145060373880437</v>
      </c>
      <c r="Y510" s="45">
        <f t="shared" si="102"/>
        <v>1.0145060373880437</v>
      </c>
      <c r="Z510" s="45">
        <f t="shared" si="103"/>
        <v>0.97985804152252498</v>
      </c>
      <c r="AA510" s="45">
        <f t="shared" si="104"/>
        <v>1</v>
      </c>
      <c r="AB510" s="45">
        <f t="shared" si="105"/>
        <v>1</v>
      </c>
      <c r="AC510" s="45">
        <f t="shared" si="106"/>
        <v>1</v>
      </c>
      <c r="AD510" s="45">
        <f t="shared" si="107"/>
        <v>0.971544174117703</v>
      </c>
      <c r="AE510" s="45">
        <f t="shared" si="108"/>
        <v>0.98135508583512499</v>
      </c>
      <c r="AF510" s="45">
        <f t="shared" si="109"/>
        <v>0.98802318181852899</v>
      </c>
      <c r="AG510" s="45">
        <f t="shared" si="110"/>
        <v>0.98936059642032292</v>
      </c>
      <c r="AH510" s="45">
        <f t="shared" si="111"/>
        <v>1.0095417284054318</v>
      </c>
      <c r="AI510" s="45">
        <f t="shared" si="112"/>
        <v>1.0006547958745839</v>
      </c>
      <c r="AJ510" s="45">
        <f t="shared" si="113"/>
        <v>0.99909347048838448</v>
      </c>
      <c r="AK510" s="45">
        <f t="shared" si="114"/>
        <v>1.0119381093724802</v>
      </c>
      <c r="AL510" s="45">
        <f t="shared" si="115"/>
        <v>1.0178503495557045</v>
      </c>
      <c r="AM510" s="45">
        <f t="shared" si="116"/>
        <v>1.009368036056683</v>
      </c>
      <c r="AN510" s="45">
        <f t="shared" si="117"/>
        <v>1.0063188079025589</v>
      </c>
      <c r="AS510" s="50" cm="1">
        <f t="array" ref="AS510">SUMPRODUCT(($V510:$AN510&lt;=$I225)*(1))/COUNT($V510:$AN510)</f>
        <v>0</v>
      </c>
      <c r="AT510" s="50" cm="1">
        <f t="array" ref="AT510">SUMPRODUCT(($V510:$AN510&lt;=$J225)*(1))/COUNT($V510:$AN510)</f>
        <v>0</v>
      </c>
      <c r="AU510" s="50" cm="1">
        <f t="array" ref="AU510">SUMPRODUCT(($V510:$AN510&lt;=$K225)*(1))/COUNT($V510:$AN510)</f>
        <v>0</v>
      </c>
      <c r="AW510" s="52" cm="1">
        <f t="array" ref="AW510">SUMPRODUCT(($V510:$AN510&lt;=$I225)*(1))</f>
        <v>0</v>
      </c>
      <c r="AX510" s="52" cm="1">
        <f t="array" ref="AX510">SUMPRODUCT(($V510:$AN510&lt;=$J225)*(1))</f>
        <v>0</v>
      </c>
      <c r="AY510" s="52" cm="1">
        <f t="array" ref="AY510">SUMPRODUCT(($V510:$AN510&lt;=$K225)*(1))</f>
        <v>0</v>
      </c>
      <c r="BA510" s="52">
        <f t="shared" si="121"/>
        <v>0</v>
      </c>
      <c r="BB510" s="52">
        <f t="shared" si="122"/>
        <v>0</v>
      </c>
      <c r="BC510" s="52">
        <f t="shared" si="123"/>
        <v>0</v>
      </c>
      <c r="BE510" s="50">
        <f t="shared" si="118"/>
        <v>0</v>
      </c>
      <c r="BF510" s="50">
        <f t="shared" si="119"/>
        <v>0</v>
      </c>
      <c r="BG510" s="50">
        <f t="shared" si="120"/>
        <v>0</v>
      </c>
    </row>
    <row r="511" spans="4:59" ht="15.6">
      <c r="D511" s="44"/>
      <c r="M511" s="42"/>
      <c r="N511" s="39" t="s">
        <v>27</v>
      </c>
      <c r="O511" s="39" t="s">
        <v>448</v>
      </c>
      <c r="P511" t="s">
        <v>822</v>
      </c>
      <c r="R511" s="41"/>
      <c r="S511" s="42"/>
      <c r="T511" s="42"/>
      <c r="U511" s="42"/>
      <c r="V511" s="45">
        <f t="shared" si="99"/>
        <v>1</v>
      </c>
      <c r="W511" s="45">
        <f t="shared" si="100"/>
        <v>0.99874570850808697</v>
      </c>
      <c r="X511" s="45">
        <f t="shared" si="101"/>
        <v>1</v>
      </c>
      <c r="Y511" s="45">
        <f t="shared" si="102"/>
        <v>1</v>
      </c>
      <c r="Z511" s="45">
        <f t="shared" si="103"/>
        <v>1</v>
      </c>
      <c r="AA511" s="45">
        <f t="shared" si="104"/>
        <v>1</v>
      </c>
      <c r="AB511" s="45">
        <f t="shared" si="105"/>
        <v>1</v>
      </c>
      <c r="AC511" s="45">
        <f t="shared" si="106"/>
        <v>1</v>
      </c>
      <c r="AD511" s="45">
        <f t="shared" si="107"/>
        <v>0.962569561116003</v>
      </c>
      <c r="AE511" s="45">
        <f t="shared" si="108"/>
        <v>0.997987534596395</v>
      </c>
      <c r="AF511" s="45">
        <f t="shared" si="109"/>
        <v>1</v>
      </c>
      <c r="AG511" s="45">
        <f t="shared" si="110"/>
        <v>1</v>
      </c>
      <c r="AH511" s="45">
        <f t="shared" si="111"/>
        <v>1</v>
      </c>
      <c r="AI511" s="45">
        <f t="shared" si="112"/>
        <v>1</v>
      </c>
      <c r="AJ511" s="45">
        <f t="shared" si="113"/>
        <v>1</v>
      </c>
      <c r="AK511" s="45">
        <f t="shared" si="114"/>
        <v>1</v>
      </c>
      <c r="AL511" s="45">
        <f t="shared" si="115"/>
        <v>1</v>
      </c>
      <c r="AM511" s="45">
        <f t="shared" si="116"/>
        <v>1</v>
      </c>
      <c r="AN511" s="45">
        <f t="shared" si="117"/>
        <v>1</v>
      </c>
      <c r="AS511" s="50" cm="1">
        <f t="array" ref="AS511">SUMPRODUCT(($V511:$AN511&lt;=$I226)*(1))/COUNT($V511:$AN511)</f>
        <v>0</v>
      </c>
      <c r="AT511" s="50" cm="1">
        <f t="array" ref="AT511">SUMPRODUCT(($V511:$AN511&lt;=$J226)*(1))/COUNT($V511:$AN511)</f>
        <v>0</v>
      </c>
      <c r="AU511" s="50" cm="1">
        <f t="array" ref="AU511">SUMPRODUCT(($V511:$AN511&lt;=$K226)*(1))/COUNT($V511:$AN511)</f>
        <v>0</v>
      </c>
      <c r="AW511" s="52" cm="1">
        <f t="array" ref="AW511">SUMPRODUCT(($V511:$AN511&lt;=$I226)*(1))</f>
        <v>0</v>
      </c>
      <c r="AX511" s="52" cm="1">
        <f t="array" ref="AX511">SUMPRODUCT(($V511:$AN511&lt;=$J226)*(1))</f>
        <v>0</v>
      </c>
      <c r="AY511" s="52" cm="1">
        <f t="array" ref="AY511">SUMPRODUCT(($V511:$AN511&lt;=$K226)*(1))</f>
        <v>0</v>
      </c>
      <c r="BA511" s="52">
        <f t="shared" si="121"/>
        <v>0</v>
      </c>
      <c r="BB511" s="52">
        <f t="shared" si="122"/>
        <v>0</v>
      </c>
      <c r="BC511" s="52">
        <f t="shared" si="123"/>
        <v>0</v>
      </c>
      <c r="BE511" s="50">
        <f t="shared" si="118"/>
        <v>0</v>
      </c>
      <c r="BF511" s="50">
        <f t="shared" si="119"/>
        <v>0</v>
      </c>
      <c r="BG511" s="50">
        <f t="shared" si="120"/>
        <v>0</v>
      </c>
    </row>
    <row r="512" spans="4:59" ht="15.6">
      <c r="D512" s="44"/>
      <c r="M512" s="42"/>
      <c r="N512" s="39" t="s">
        <v>27</v>
      </c>
      <c r="O512" s="39" t="s">
        <v>448</v>
      </c>
      <c r="P512" t="s">
        <v>823</v>
      </c>
      <c r="R512" s="41"/>
      <c r="S512" s="42"/>
      <c r="T512" s="42"/>
      <c r="U512" s="42"/>
      <c r="V512" s="45">
        <f t="shared" si="99"/>
        <v>1</v>
      </c>
      <c r="W512" s="45">
        <f t="shared" si="100"/>
        <v>1</v>
      </c>
      <c r="X512" s="45">
        <f t="shared" si="101"/>
        <v>1</v>
      </c>
      <c r="Y512" s="45">
        <f t="shared" si="102"/>
        <v>1</v>
      </c>
      <c r="Z512" s="45">
        <f t="shared" si="103"/>
        <v>1</v>
      </c>
      <c r="AA512" s="45">
        <f t="shared" si="104"/>
        <v>1</v>
      </c>
      <c r="AB512" s="45">
        <f t="shared" si="105"/>
        <v>1</v>
      </c>
      <c r="AC512" s="45">
        <f t="shared" si="106"/>
        <v>1</v>
      </c>
      <c r="AD512" s="45">
        <f t="shared" si="107"/>
        <v>0.96666387576033697</v>
      </c>
      <c r="AE512" s="45">
        <f t="shared" si="108"/>
        <v>1</v>
      </c>
      <c r="AF512" s="45">
        <f t="shared" si="109"/>
        <v>1</v>
      </c>
      <c r="AG512" s="45">
        <f t="shared" si="110"/>
        <v>1</v>
      </c>
      <c r="AH512" s="45">
        <f t="shared" si="111"/>
        <v>1</v>
      </c>
      <c r="AI512" s="45">
        <f t="shared" si="112"/>
        <v>1</v>
      </c>
      <c r="AJ512" s="45">
        <f t="shared" si="113"/>
        <v>0.99731094484378602</v>
      </c>
      <c r="AK512" s="45">
        <f t="shared" si="114"/>
        <v>1</v>
      </c>
      <c r="AL512" s="45">
        <f t="shared" si="115"/>
        <v>1</v>
      </c>
      <c r="AM512" s="45">
        <f t="shared" si="116"/>
        <v>1</v>
      </c>
      <c r="AN512" s="45">
        <f t="shared" si="117"/>
        <v>1</v>
      </c>
      <c r="AS512" s="50" cm="1">
        <f t="array" ref="AS512">SUMPRODUCT(($V512:$AN512&lt;=$I227)*(1))/COUNT($V512:$AN512)</f>
        <v>0</v>
      </c>
      <c r="AT512" s="50" cm="1">
        <f t="array" ref="AT512">SUMPRODUCT(($V512:$AN512&lt;=$J227)*(1))/COUNT($V512:$AN512)</f>
        <v>0</v>
      </c>
      <c r="AU512" s="50" cm="1">
        <f t="array" ref="AU512">SUMPRODUCT(($V512:$AN512&lt;=$K227)*(1))/COUNT($V512:$AN512)</f>
        <v>0</v>
      </c>
      <c r="AW512" s="52" cm="1">
        <f t="array" ref="AW512">SUMPRODUCT(($V512:$AN512&lt;=$I227)*(1))</f>
        <v>0</v>
      </c>
      <c r="AX512" s="52" cm="1">
        <f t="array" ref="AX512">SUMPRODUCT(($V512:$AN512&lt;=$J227)*(1))</f>
        <v>0</v>
      </c>
      <c r="AY512" s="52" cm="1">
        <f t="array" ref="AY512">SUMPRODUCT(($V512:$AN512&lt;=$K227)*(1))</f>
        <v>0</v>
      </c>
      <c r="BA512" s="52">
        <f t="shared" si="121"/>
        <v>0</v>
      </c>
      <c r="BB512" s="52">
        <f t="shared" si="122"/>
        <v>0</v>
      </c>
      <c r="BC512" s="52">
        <f t="shared" si="123"/>
        <v>0</v>
      </c>
      <c r="BE512" s="50">
        <f t="shared" si="118"/>
        <v>0</v>
      </c>
      <c r="BF512" s="50">
        <f t="shared" si="119"/>
        <v>0</v>
      </c>
      <c r="BG512" s="50">
        <f t="shared" si="120"/>
        <v>0</v>
      </c>
    </row>
    <row r="513" spans="4:59" ht="15.6">
      <c r="D513" s="44"/>
      <c r="M513" s="42"/>
      <c r="N513" s="39" t="s">
        <v>27</v>
      </c>
      <c r="O513" s="39" t="s">
        <v>613</v>
      </c>
      <c r="P513" t="s">
        <v>824</v>
      </c>
      <c r="R513" s="41"/>
      <c r="S513" s="42"/>
      <c r="T513" s="42"/>
      <c r="U513" s="42"/>
      <c r="V513" s="45">
        <f t="shared" si="99"/>
        <v>1.1300847039442177</v>
      </c>
      <c r="W513" s="45">
        <f t="shared" si="100"/>
        <v>0.97315116292633463</v>
      </c>
      <c r="X513" s="45">
        <f t="shared" si="101"/>
        <v>1.1899339746730231</v>
      </c>
      <c r="Y513" s="45">
        <f t="shared" si="102"/>
        <v>1.0710916529761454</v>
      </c>
      <c r="Z513" s="45">
        <f t="shared" si="103"/>
        <v>1.1071444325287509</v>
      </c>
      <c r="AA513" s="45">
        <f t="shared" si="104"/>
        <v>1.0408392271749287</v>
      </c>
      <c r="AB513" s="45">
        <f t="shared" si="105"/>
        <v>1.0034412476089061</v>
      </c>
      <c r="AC513" s="45">
        <f t="shared" si="106"/>
        <v>0.79252250576468852</v>
      </c>
      <c r="AD513" s="45">
        <f t="shared" si="107"/>
        <v>0.81809753829801934</v>
      </c>
      <c r="AE513" s="45">
        <f t="shared" si="108"/>
        <v>0.7288330076062578</v>
      </c>
      <c r="AF513" s="45">
        <f t="shared" si="109"/>
        <v>0.99054792139044567</v>
      </c>
      <c r="AG513" s="45">
        <f t="shared" si="110"/>
        <v>1.1260494243941024</v>
      </c>
      <c r="AH513" s="45">
        <f t="shared" si="111"/>
        <v>0.96219922155453941</v>
      </c>
      <c r="AI513" s="45">
        <f t="shared" si="112"/>
        <v>1.2328328211927715</v>
      </c>
      <c r="AJ513" s="45">
        <f t="shared" si="113"/>
        <v>1.0218927830488689</v>
      </c>
      <c r="AK513" s="45">
        <f t="shared" si="114"/>
        <v>1.2026218427238005</v>
      </c>
      <c r="AL513" s="45">
        <f t="shared" si="115"/>
        <v>1.0393356132023686</v>
      </c>
      <c r="AM513" s="45">
        <f t="shared" si="116"/>
        <v>1.0484943717029453</v>
      </c>
      <c r="AN513" s="45">
        <f t="shared" si="117"/>
        <v>0.7352130121647461</v>
      </c>
      <c r="AS513" s="50" cm="1">
        <f t="array" ref="AS513">SUMPRODUCT(($V513:$AN513&lt;=$I228)*(1))/COUNT($V513:$AN513)</f>
        <v>0.21052631578947367</v>
      </c>
      <c r="AT513" s="50" cm="1">
        <f t="array" ref="AT513">SUMPRODUCT(($V513:$AN513&lt;=$J228)*(1))/COUNT($V513:$AN513)</f>
        <v>0.21052631578947367</v>
      </c>
      <c r="AU513" s="50" cm="1">
        <f t="array" ref="AU513">SUMPRODUCT(($V513:$AN513&lt;=$K228)*(1))/COUNT($V513:$AN513)</f>
        <v>0.10526315789473684</v>
      </c>
      <c r="AW513" s="52" cm="1">
        <f t="array" ref="AW513">SUMPRODUCT(($V513:$AN513&lt;=$I228)*(1))</f>
        <v>4</v>
      </c>
      <c r="AX513" s="52" cm="1">
        <f t="array" ref="AX513">SUMPRODUCT(($V513:$AN513&lt;=$J228)*(1))</f>
        <v>4</v>
      </c>
      <c r="AY513" s="52" cm="1">
        <f t="array" ref="AY513">SUMPRODUCT(($V513:$AN513&lt;=$K228)*(1))</f>
        <v>2</v>
      </c>
      <c r="BA513" s="52">
        <f t="shared" si="121"/>
        <v>0</v>
      </c>
      <c r="BB513" s="52">
        <f t="shared" si="122"/>
        <v>2</v>
      </c>
      <c r="BC513" s="52">
        <f t="shared" si="123"/>
        <v>2</v>
      </c>
      <c r="BE513" s="50">
        <f t="shared" si="118"/>
        <v>0</v>
      </c>
      <c r="BF513" s="50">
        <f t="shared" si="119"/>
        <v>0.10526315789473684</v>
      </c>
      <c r="BG513" s="50">
        <f t="shared" si="120"/>
        <v>0.10526315789473684</v>
      </c>
    </row>
    <row r="514" spans="4:59" ht="15.6">
      <c r="D514" s="44"/>
      <c r="M514" s="42"/>
      <c r="N514" s="39" t="s">
        <v>27</v>
      </c>
      <c r="O514" s="39" t="s">
        <v>448</v>
      </c>
      <c r="P514" t="s">
        <v>825</v>
      </c>
      <c r="R514" s="41"/>
      <c r="S514" s="42"/>
      <c r="T514" s="42"/>
      <c r="U514" s="42"/>
      <c r="V514" s="45">
        <f t="shared" si="99"/>
        <v>1</v>
      </c>
      <c r="W514" s="45">
        <f t="shared" si="100"/>
        <v>1</v>
      </c>
      <c r="X514" s="45">
        <f t="shared" si="101"/>
        <v>1</v>
      </c>
      <c r="Y514" s="45">
        <f t="shared" si="102"/>
        <v>1</v>
      </c>
      <c r="Z514" s="45">
        <f t="shared" si="103"/>
        <v>1</v>
      </c>
      <c r="AA514" s="45">
        <f t="shared" si="104"/>
        <v>1</v>
      </c>
      <c r="AB514" s="45">
        <f t="shared" si="105"/>
        <v>1</v>
      </c>
      <c r="AC514" s="45">
        <f t="shared" si="106"/>
        <v>1</v>
      </c>
      <c r="AD514" s="45">
        <f t="shared" si="107"/>
        <v>0.97712331109746497</v>
      </c>
      <c r="AE514" s="45">
        <f t="shared" si="108"/>
        <v>0.99347450744395704</v>
      </c>
      <c r="AF514" s="45">
        <f t="shared" si="109"/>
        <v>0.99857895341889302</v>
      </c>
      <c r="AG514" s="45">
        <f t="shared" si="110"/>
        <v>1.0014230688282</v>
      </c>
      <c r="AH514" s="45">
        <f t="shared" si="111"/>
        <v>1.0014230688282</v>
      </c>
      <c r="AI514" s="45">
        <f t="shared" si="112"/>
        <v>1.0010945587665039</v>
      </c>
      <c r="AJ514" s="45">
        <f t="shared" si="113"/>
        <v>0.93682672328844374</v>
      </c>
      <c r="AK514" s="45">
        <f t="shared" si="114"/>
        <v>1.0003281508812722</v>
      </c>
      <c r="AL514" s="45">
        <f t="shared" si="115"/>
        <v>1</v>
      </c>
      <c r="AM514" s="45">
        <f t="shared" si="116"/>
        <v>1</v>
      </c>
      <c r="AN514" s="45">
        <f t="shared" si="117"/>
        <v>1</v>
      </c>
      <c r="AS514" s="50" cm="1">
        <f t="array" ref="AS514">SUMPRODUCT(($V514:$AN514&lt;=$I229)*(1))/COUNT($V514:$AN514)</f>
        <v>5.2631578947368418E-2</v>
      </c>
      <c r="AT514" s="50" cm="1">
        <f t="array" ref="AT514">SUMPRODUCT(($V514:$AN514&lt;=$J229)*(1))/COUNT($V514:$AN514)</f>
        <v>0</v>
      </c>
      <c r="AU514" s="50" cm="1">
        <f t="array" ref="AU514">SUMPRODUCT(($V514:$AN514&lt;=$K229)*(1))/COUNT($V514:$AN514)</f>
        <v>0</v>
      </c>
      <c r="AW514" s="52" cm="1">
        <f t="array" ref="AW514">SUMPRODUCT(($V514:$AN514&lt;=$I229)*(1))</f>
        <v>1</v>
      </c>
      <c r="AX514" s="52" cm="1">
        <f t="array" ref="AX514">SUMPRODUCT(($V514:$AN514&lt;=$J229)*(1))</f>
        <v>0</v>
      </c>
      <c r="AY514" s="52" cm="1">
        <f t="array" ref="AY514">SUMPRODUCT(($V514:$AN514&lt;=$K229)*(1))</f>
        <v>0</v>
      </c>
      <c r="BA514" s="52">
        <f t="shared" si="121"/>
        <v>1</v>
      </c>
      <c r="BB514" s="52">
        <f t="shared" si="122"/>
        <v>0</v>
      </c>
      <c r="BC514" s="52">
        <f t="shared" si="123"/>
        <v>0</v>
      </c>
      <c r="BE514" s="50">
        <f t="shared" si="118"/>
        <v>5.2631578947368418E-2</v>
      </c>
      <c r="BF514" s="50">
        <f t="shared" si="119"/>
        <v>0</v>
      </c>
      <c r="BG514" s="50">
        <f t="shared" si="120"/>
        <v>0</v>
      </c>
    </row>
    <row r="515" spans="4:59" ht="15.6">
      <c r="D515" s="44"/>
      <c r="M515" s="42"/>
      <c r="N515" s="39" t="s">
        <v>27</v>
      </c>
      <c r="O515" s="39" t="s">
        <v>169</v>
      </c>
      <c r="P515" s="91" t="s">
        <v>171</v>
      </c>
      <c r="R515" s="41"/>
      <c r="S515" s="42"/>
      <c r="T515" s="42"/>
      <c r="U515" s="42"/>
      <c r="V515" s="45">
        <f t="shared" si="99"/>
        <v>1</v>
      </c>
      <c r="W515" s="45">
        <f t="shared" si="100"/>
        <v>1</v>
      </c>
      <c r="X515" s="45">
        <f t="shared" si="101"/>
        <v>1</v>
      </c>
      <c r="Y515" s="45">
        <f t="shared" si="102"/>
        <v>1</v>
      </c>
      <c r="Z515" s="45">
        <f t="shared" si="103"/>
        <v>1</v>
      </c>
      <c r="AA515" s="45">
        <f t="shared" si="104"/>
        <v>1</v>
      </c>
      <c r="AB515" s="45">
        <f t="shared" si="105"/>
        <v>1</v>
      </c>
      <c r="AC515" s="45">
        <f t="shared" si="106"/>
        <v>1</v>
      </c>
      <c r="AD515" s="45">
        <f t="shared" si="107"/>
        <v>1</v>
      </c>
      <c r="AE515" s="45">
        <f t="shared" si="108"/>
        <v>0.99987870419057201</v>
      </c>
      <c r="AF515" s="45">
        <f t="shared" si="109"/>
        <v>1</v>
      </c>
      <c r="AG515" s="45">
        <f t="shared" si="110"/>
        <v>1</v>
      </c>
      <c r="AH515" s="45">
        <f t="shared" si="111"/>
        <v>1</v>
      </c>
      <c r="AI515" s="45">
        <f t="shared" si="112"/>
        <v>1</v>
      </c>
      <c r="AJ515" s="45">
        <f t="shared" si="113"/>
        <v>1</v>
      </c>
      <c r="AK515" s="45">
        <f t="shared" si="114"/>
        <v>1</v>
      </c>
      <c r="AL515" s="45">
        <f t="shared" si="115"/>
        <v>1</v>
      </c>
      <c r="AM515" s="45">
        <f t="shared" si="116"/>
        <v>1</v>
      </c>
      <c r="AN515" s="45">
        <f t="shared" si="117"/>
        <v>1</v>
      </c>
      <c r="AS515" s="50" cm="1">
        <f t="array" ref="AS515">SUMPRODUCT(($V515:$AN515&lt;=$I230)*(1))/COUNT($V515:$AN515)</f>
        <v>0</v>
      </c>
      <c r="AT515" s="50" cm="1">
        <f t="array" ref="AT515">SUMPRODUCT(($V515:$AN515&lt;=$J230)*(1))/COUNT($V515:$AN515)</f>
        <v>0</v>
      </c>
      <c r="AU515" s="50" cm="1">
        <f t="array" ref="AU515">SUMPRODUCT(($V515:$AN515&lt;=$K230)*(1))/COUNT($V515:$AN515)</f>
        <v>0</v>
      </c>
      <c r="AW515" s="52" cm="1">
        <f t="array" ref="AW515">SUMPRODUCT(($V515:$AN515&lt;=$I230)*(1))</f>
        <v>0</v>
      </c>
      <c r="AX515" s="52" cm="1">
        <f t="array" ref="AX515">SUMPRODUCT(($V515:$AN515&lt;=$J230)*(1))</f>
        <v>0</v>
      </c>
      <c r="AY515" s="52" cm="1">
        <f t="array" ref="AY515">SUMPRODUCT(($V515:$AN515&lt;=$K230)*(1))</f>
        <v>0</v>
      </c>
      <c r="BA515" s="52">
        <f t="shared" si="121"/>
        <v>0</v>
      </c>
      <c r="BB515" s="52">
        <f t="shared" si="122"/>
        <v>0</v>
      </c>
      <c r="BC515" s="52">
        <f t="shared" si="123"/>
        <v>0</v>
      </c>
      <c r="BE515" s="50">
        <f t="shared" si="118"/>
        <v>0</v>
      </c>
      <c r="BF515" s="50">
        <f t="shared" si="119"/>
        <v>0</v>
      </c>
      <c r="BG515" s="50">
        <f t="shared" si="120"/>
        <v>0</v>
      </c>
    </row>
    <row r="516" spans="4:59" ht="15.6">
      <c r="D516" s="44"/>
      <c r="M516" s="42"/>
      <c r="N516" s="39" t="s">
        <v>27</v>
      </c>
      <c r="O516" s="39" t="s">
        <v>530</v>
      </c>
      <c r="P516" t="s">
        <v>826</v>
      </c>
      <c r="R516" s="41"/>
      <c r="S516" s="42"/>
      <c r="T516" s="42"/>
      <c r="U516" s="42"/>
      <c r="V516" s="45">
        <f t="shared" si="99"/>
        <v>1.0468286954505293</v>
      </c>
      <c r="W516" s="45">
        <f t="shared" si="100"/>
        <v>0.89210616950178367</v>
      </c>
      <c r="X516" s="45">
        <f t="shared" si="101"/>
        <v>1.1265879898397089</v>
      </c>
      <c r="Y516" s="45">
        <f t="shared" si="102"/>
        <v>1.1243582551959248</v>
      </c>
      <c r="Z516" s="45">
        <f t="shared" si="103"/>
        <v>0.46622359166047039</v>
      </c>
      <c r="AA516" s="45">
        <f t="shared" si="104"/>
        <v>1.001339038826037</v>
      </c>
      <c r="AB516" s="45">
        <f t="shared" si="105"/>
        <v>1.0019831175992882</v>
      </c>
      <c r="AC516" s="45">
        <f t="shared" si="106"/>
        <v>0.9864210832011564</v>
      </c>
      <c r="AD516" s="45">
        <f t="shared" si="107"/>
        <v>0.78399616540843664</v>
      </c>
      <c r="AE516" s="45">
        <f t="shared" si="108"/>
        <v>0.82785530845395183</v>
      </c>
      <c r="AF516" s="45">
        <f t="shared" si="109"/>
        <v>0.79129697826641965</v>
      </c>
      <c r="AG516" s="45">
        <f t="shared" si="110"/>
        <v>1.01387194734577</v>
      </c>
      <c r="AH516" s="45">
        <f t="shared" si="111"/>
        <v>1.098130555176613</v>
      </c>
      <c r="AI516" s="45">
        <f t="shared" si="112"/>
        <v>1.0370960809497083</v>
      </c>
      <c r="AJ516" s="45">
        <f t="shared" si="113"/>
        <v>0.94572325253487122</v>
      </c>
      <c r="AK516" s="45">
        <f t="shared" si="114"/>
        <v>1.2095585221425709</v>
      </c>
      <c r="AL516" s="45">
        <f t="shared" si="115"/>
        <v>1.1629405497687848</v>
      </c>
      <c r="AM516" s="45">
        <f t="shared" si="116"/>
        <v>1.103180130065766</v>
      </c>
      <c r="AN516" s="45">
        <f t="shared" si="117"/>
        <v>0.93870858395689272</v>
      </c>
      <c r="AS516" s="50" cm="1">
        <f t="array" ref="AS516">SUMPRODUCT(($V516:$AN516&lt;=$I231)*(1))/COUNT($V516:$AN516)</f>
        <v>0.36842105263157893</v>
      </c>
      <c r="AT516" s="50" cm="1">
        <f t="array" ref="AT516">SUMPRODUCT(($V516:$AN516&lt;=$J231)*(1))/COUNT($V516:$AN516)</f>
        <v>0.21052631578947367</v>
      </c>
      <c r="AU516" s="50" cm="1">
        <f t="array" ref="AU516">SUMPRODUCT(($V516:$AN516&lt;=$K231)*(1))/COUNT($V516:$AN516)</f>
        <v>5.2631578947368418E-2</v>
      </c>
      <c r="AW516" s="52" cm="1">
        <f t="array" ref="AW516">SUMPRODUCT(($V516:$AN516&lt;=$I231)*(1))</f>
        <v>7</v>
      </c>
      <c r="AX516" s="52" cm="1">
        <f t="array" ref="AX516">SUMPRODUCT(($V516:$AN516&lt;=$J231)*(1))</f>
        <v>4</v>
      </c>
      <c r="AY516" s="52" cm="1">
        <f t="array" ref="AY516">SUMPRODUCT(($V516:$AN516&lt;=$K231)*(1))</f>
        <v>1</v>
      </c>
      <c r="BA516" s="52">
        <f t="shared" si="121"/>
        <v>3</v>
      </c>
      <c r="BB516" s="52">
        <f t="shared" si="122"/>
        <v>3</v>
      </c>
      <c r="BC516" s="52">
        <f t="shared" si="123"/>
        <v>1</v>
      </c>
      <c r="BE516" s="50">
        <f t="shared" si="118"/>
        <v>0.15789473684210525</v>
      </c>
      <c r="BF516" s="50">
        <f t="shared" si="119"/>
        <v>0.15789473684210525</v>
      </c>
      <c r="BG516" s="50">
        <f t="shared" si="120"/>
        <v>5.2631578947368418E-2</v>
      </c>
    </row>
    <row r="517" spans="4:59" ht="15.6">
      <c r="D517" s="44"/>
      <c r="M517" s="42"/>
      <c r="N517" s="39" t="s">
        <v>27</v>
      </c>
      <c r="O517" s="39" t="s">
        <v>517</v>
      </c>
      <c r="P517" t="s">
        <v>827</v>
      </c>
      <c r="R517" s="41"/>
      <c r="S517" s="42"/>
      <c r="T517" s="42"/>
      <c r="U517" s="42"/>
      <c r="V517" s="45">
        <f t="shared" si="99"/>
        <v>1.0448037937057482</v>
      </c>
      <c r="W517" s="45">
        <f t="shared" si="100"/>
        <v>0.94988301155438193</v>
      </c>
      <c r="X517" s="45">
        <f t="shared" si="101"/>
        <v>1.0771311105992569</v>
      </c>
      <c r="Y517" s="45">
        <f t="shared" si="102"/>
        <v>1.076025774307418</v>
      </c>
      <c r="Z517" s="45">
        <f t="shared" si="103"/>
        <v>0.95025501553205605</v>
      </c>
      <c r="AA517" s="45">
        <f t="shared" si="104"/>
        <v>1.0273471000288268</v>
      </c>
      <c r="AB517" s="45">
        <f t="shared" si="105"/>
        <v>1.0034565146392744</v>
      </c>
      <c r="AC517" s="45">
        <f t="shared" si="106"/>
        <v>0.87557307144100505</v>
      </c>
      <c r="AD517" s="45">
        <f t="shared" si="107"/>
        <v>0.83963805453125662</v>
      </c>
      <c r="AE517" s="45">
        <f t="shared" si="108"/>
        <v>0.95718560853671719</v>
      </c>
      <c r="AF517" s="45">
        <f t="shared" si="109"/>
        <v>0.7976487736191068</v>
      </c>
      <c r="AG517" s="45">
        <f t="shared" si="110"/>
        <v>1.0228755013266018</v>
      </c>
      <c r="AH517" s="45">
        <f t="shared" si="111"/>
        <v>1.0897184513254821</v>
      </c>
      <c r="AI517" s="45">
        <f t="shared" si="112"/>
        <v>1.1204697011738198</v>
      </c>
      <c r="AJ517" s="45">
        <f t="shared" si="113"/>
        <v>0.97643123147380328</v>
      </c>
      <c r="AK517" s="45">
        <f t="shared" si="114"/>
        <v>1.1165788933300027</v>
      </c>
      <c r="AL517" s="45">
        <f t="shared" si="115"/>
        <v>1.0473137896081337</v>
      </c>
      <c r="AM517" s="45">
        <f t="shared" si="116"/>
        <v>1.011472454505443</v>
      </c>
      <c r="AN517" s="45">
        <f t="shared" si="117"/>
        <v>0.83981219921222572</v>
      </c>
      <c r="AS517" s="50" cm="1">
        <f t="array" ref="AS517">SUMPRODUCT(($V517:$AN517&lt;=$I232)*(1))/COUNT($V517:$AN517)</f>
        <v>0.26315789473684209</v>
      </c>
      <c r="AT517" s="50" cm="1">
        <f t="array" ref="AT517">SUMPRODUCT(($V517:$AN517&lt;=$J232)*(1))/COUNT($V517:$AN517)</f>
        <v>0.15789473684210525</v>
      </c>
      <c r="AU517" s="50" cm="1">
        <f t="array" ref="AU517">SUMPRODUCT(($V517:$AN517&lt;=$K232)*(1))/COUNT($V517:$AN517)</f>
        <v>0</v>
      </c>
      <c r="AW517" s="52" cm="1">
        <f t="array" ref="AW517">SUMPRODUCT(($V517:$AN517&lt;=$I232)*(1))</f>
        <v>5</v>
      </c>
      <c r="AX517" s="52" cm="1">
        <f t="array" ref="AX517">SUMPRODUCT(($V517:$AN517&lt;=$J232)*(1))</f>
        <v>3</v>
      </c>
      <c r="AY517" s="52" cm="1">
        <f t="array" ref="AY517">SUMPRODUCT(($V517:$AN517&lt;=$K232)*(1))</f>
        <v>0</v>
      </c>
      <c r="BA517" s="52">
        <f t="shared" si="121"/>
        <v>2</v>
      </c>
      <c r="BB517" s="52">
        <f t="shared" si="122"/>
        <v>3</v>
      </c>
      <c r="BC517" s="52">
        <f t="shared" si="123"/>
        <v>0</v>
      </c>
      <c r="BE517" s="50">
        <f t="shared" si="118"/>
        <v>0.10526315789473684</v>
      </c>
      <c r="BF517" s="50">
        <f t="shared" si="119"/>
        <v>0.15789473684210525</v>
      </c>
      <c r="BG517" s="50">
        <f t="shared" si="120"/>
        <v>0</v>
      </c>
    </row>
    <row r="518" spans="4:59" ht="15.6">
      <c r="D518" s="44"/>
      <c r="M518" s="42"/>
      <c r="N518" s="39" t="s">
        <v>27</v>
      </c>
      <c r="O518" s="39" t="s">
        <v>530</v>
      </c>
      <c r="P518" t="s">
        <v>828</v>
      </c>
      <c r="R518" s="41"/>
      <c r="S518" s="42"/>
      <c r="T518" s="42"/>
      <c r="U518" s="42"/>
      <c r="V518" s="45">
        <f t="shared" si="99"/>
        <v>1.1036043897217893</v>
      </c>
      <c r="W518" s="45">
        <f t="shared" si="100"/>
        <v>0.92317108858667551</v>
      </c>
      <c r="X518" s="45">
        <f t="shared" si="101"/>
        <v>1.1476879774170912</v>
      </c>
      <c r="Y518" s="45">
        <f t="shared" si="102"/>
        <v>1.1275380237137975</v>
      </c>
      <c r="Z518" s="45">
        <f t="shared" si="103"/>
        <v>0.68413628556119732</v>
      </c>
      <c r="AA518" s="45">
        <f t="shared" si="104"/>
        <v>1.0241279704476147</v>
      </c>
      <c r="AB518" s="45">
        <f t="shared" si="105"/>
        <v>1.0164665423220163</v>
      </c>
      <c r="AC518" s="45">
        <f t="shared" si="106"/>
        <v>0.93337628559185726</v>
      </c>
      <c r="AD518" s="45">
        <f t="shared" si="107"/>
        <v>0.80461796641957928</v>
      </c>
      <c r="AE518" s="45">
        <f t="shared" si="108"/>
        <v>0.85818804605105758</v>
      </c>
      <c r="AF518" s="45">
        <f t="shared" si="109"/>
        <v>0.80702237902972229</v>
      </c>
      <c r="AG518" s="45">
        <f t="shared" si="110"/>
        <v>1.0168677535673454</v>
      </c>
      <c r="AH518" s="45">
        <f t="shared" si="111"/>
        <v>1.1088369350638088</v>
      </c>
      <c r="AI518" s="45">
        <f t="shared" si="112"/>
        <v>1.0697792367230523</v>
      </c>
      <c r="AJ518" s="45">
        <f t="shared" si="113"/>
        <v>1.0026272971520929</v>
      </c>
      <c r="AK518" s="45">
        <f t="shared" si="114"/>
        <v>1.1069672027827711</v>
      </c>
      <c r="AL518" s="45">
        <f t="shared" si="115"/>
        <v>1.152548212267116</v>
      </c>
      <c r="AM518" s="45">
        <f t="shared" si="116"/>
        <v>1.1160954225470709</v>
      </c>
      <c r="AN518" s="45">
        <f t="shared" si="117"/>
        <v>0.91406509644556277</v>
      </c>
      <c r="AS518" s="50" cm="1">
        <f t="array" ref="AS518">SUMPRODUCT(($V518:$AN518&lt;=$I233)*(1))/COUNT($V518:$AN518)</f>
        <v>0.36842105263157893</v>
      </c>
      <c r="AT518" s="50" cm="1">
        <f t="array" ref="AT518">SUMPRODUCT(($V518:$AN518&lt;=$J233)*(1))/COUNT($V518:$AN518)</f>
        <v>0.15789473684210525</v>
      </c>
      <c r="AU518" s="50" cm="1">
        <f t="array" ref="AU518">SUMPRODUCT(($V518:$AN518&lt;=$K233)*(1))/COUNT($V518:$AN518)</f>
        <v>5.2631578947368418E-2</v>
      </c>
      <c r="AW518" s="52" cm="1">
        <f t="array" ref="AW518">SUMPRODUCT(($V518:$AN518&lt;=$I233)*(1))</f>
        <v>7</v>
      </c>
      <c r="AX518" s="52" cm="1">
        <f t="array" ref="AX518">SUMPRODUCT(($V518:$AN518&lt;=$J233)*(1))</f>
        <v>3</v>
      </c>
      <c r="AY518" s="52" cm="1">
        <f t="array" ref="AY518">SUMPRODUCT(($V518:$AN518&lt;=$K233)*(1))</f>
        <v>1</v>
      </c>
      <c r="BA518" s="52">
        <f t="shared" si="121"/>
        <v>4</v>
      </c>
      <c r="BB518" s="52">
        <f t="shared" si="122"/>
        <v>2</v>
      </c>
      <c r="BC518" s="52">
        <f t="shared" si="123"/>
        <v>1</v>
      </c>
      <c r="BE518" s="50">
        <f t="shared" si="118"/>
        <v>0.21052631578947367</v>
      </c>
      <c r="BF518" s="50">
        <f t="shared" si="119"/>
        <v>0.10526315789473684</v>
      </c>
      <c r="BG518" s="50">
        <f t="shared" si="120"/>
        <v>5.2631578947368418E-2</v>
      </c>
    </row>
    <row r="519" spans="4:59" ht="15.6">
      <c r="D519" s="44"/>
      <c r="M519" s="42"/>
      <c r="N519" s="39" t="s">
        <v>27</v>
      </c>
      <c r="O519" s="39" t="s">
        <v>609</v>
      </c>
      <c r="P519" t="s">
        <v>829</v>
      </c>
      <c r="R519" s="41"/>
      <c r="S519" s="42"/>
      <c r="T519" s="42"/>
      <c r="U519" s="42"/>
      <c r="V519" s="45">
        <f t="shared" si="99"/>
        <v>1.0214469776030468</v>
      </c>
      <c r="W519" s="45">
        <f t="shared" si="100"/>
        <v>0.94173964113473929</v>
      </c>
      <c r="X519" s="45">
        <f t="shared" si="101"/>
        <v>1.0214469776030468</v>
      </c>
      <c r="Y519" s="45">
        <f t="shared" si="102"/>
        <v>1.0213745904208327</v>
      </c>
      <c r="Z519" s="45">
        <f t="shared" si="103"/>
        <v>0.98259818044095315</v>
      </c>
      <c r="AA519" s="45">
        <f t="shared" si="104"/>
        <v>0.99805983423968958</v>
      </c>
      <c r="AB519" s="45">
        <f t="shared" si="105"/>
        <v>1.002014947407778</v>
      </c>
      <c r="AC519" s="45">
        <f t="shared" si="106"/>
        <v>0.86330836067767169</v>
      </c>
      <c r="AD519" s="45">
        <f t="shared" si="107"/>
        <v>0.94097696545474219</v>
      </c>
      <c r="AE519" s="45">
        <f t="shared" si="108"/>
        <v>1.0142382666982805</v>
      </c>
      <c r="AF519" s="45">
        <f t="shared" si="109"/>
        <v>0.98557925377425459</v>
      </c>
      <c r="AG519" s="45">
        <f t="shared" si="110"/>
        <v>0.99686852791828662</v>
      </c>
      <c r="AH519" s="45">
        <f t="shared" si="111"/>
        <v>1.0204485599984787</v>
      </c>
      <c r="AI519" s="45">
        <f t="shared" si="112"/>
        <v>1.0048746642153312</v>
      </c>
      <c r="AJ519" s="45">
        <f t="shared" si="113"/>
        <v>0.98503468398537342</v>
      </c>
      <c r="AK519" s="45">
        <f t="shared" si="114"/>
        <v>1.0181769884531249</v>
      </c>
      <c r="AL519" s="45">
        <f t="shared" si="115"/>
        <v>1.0047017913776966</v>
      </c>
      <c r="AM519" s="45">
        <f t="shared" si="116"/>
        <v>1.0020065529139057</v>
      </c>
      <c r="AN519" s="45">
        <f t="shared" si="117"/>
        <v>0.96080751813074006</v>
      </c>
      <c r="AS519" s="50" cm="1">
        <f t="array" ref="AS519">SUMPRODUCT(($V519:$AN519&lt;=$I234)*(1))/COUNT($V519:$AN519)</f>
        <v>0.15789473684210525</v>
      </c>
      <c r="AT519" s="50" cm="1">
        <f t="array" ref="AT519">SUMPRODUCT(($V519:$AN519&lt;=$J234)*(1))/COUNT($V519:$AN519)</f>
        <v>0</v>
      </c>
      <c r="AU519" s="50" cm="1">
        <f t="array" ref="AU519">SUMPRODUCT(($V519:$AN519&lt;=$K234)*(1))/COUNT($V519:$AN519)</f>
        <v>0</v>
      </c>
      <c r="AW519" s="52" cm="1">
        <f t="array" ref="AW519">SUMPRODUCT(($V519:$AN519&lt;=$I234)*(1))</f>
        <v>3</v>
      </c>
      <c r="AX519" s="52" cm="1">
        <f t="array" ref="AX519">SUMPRODUCT(($V519:$AN519&lt;=$J234)*(1))</f>
        <v>0</v>
      </c>
      <c r="AY519" s="52" cm="1">
        <f t="array" ref="AY519">SUMPRODUCT(($V519:$AN519&lt;=$K234)*(1))</f>
        <v>0</v>
      </c>
      <c r="BA519" s="52">
        <f t="shared" si="121"/>
        <v>3</v>
      </c>
      <c r="BB519" s="52">
        <f t="shared" si="122"/>
        <v>0</v>
      </c>
      <c r="BC519" s="52">
        <f t="shared" si="123"/>
        <v>0</v>
      </c>
      <c r="BE519" s="50">
        <f t="shared" si="118"/>
        <v>0.15789473684210525</v>
      </c>
      <c r="BF519" s="50">
        <f t="shared" si="119"/>
        <v>0</v>
      </c>
      <c r="BG519" s="50">
        <f t="shared" si="120"/>
        <v>0</v>
      </c>
    </row>
    <row r="520" spans="4:59" ht="15.6">
      <c r="D520" s="44"/>
      <c r="M520" s="42"/>
      <c r="N520" s="39" t="s">
        <v>27</v>
      </c>
      <c r="O520" s="39" t="s">
        <v>479</v>
      </c>
      <c r="P520" t="s">
        <v>830</v>
      </c>
      <c r="R520" s="41"/>
      <c r="S520" s="42"/>
      <c r="T520" s="42"/>
      <c r="U520" s="42"/>
      <c r="V520" s="45">
        <f t="shared" si="99"/>
        <v>1</v>
      </c>
      <c r="W520" s="45">
        <f t="shared" si="100"/>
        <v>1</v>
      </c>
      <c r="X520" s="45">
        <f t="shared" si="101"/>
        <v>1</v>
      </c>
      <c r="Y520" s="45">
        <f t="shared" si="102"/>
        <v>1</v>
      </c>
      <c r="Z520" s="45">
        <f t="shared" si="103"/>
        <v>1</v>
      </c>
      <c r="AA520" s="45">
        <f t="shared" si="104"/>
        <v>1</v>
      </c>
      <c r="AB520" s="45">
        <f t="shared" si="105"/>
        <v>1</v>
      </c>
      <c r="AC520" s="45">
        <f t="shared" si="106"/>
        <v>1</v>
      </c>
      <c r="AD520" s="45">
        <f t="shared" si="107"/>
        <v>0.96063191833228001</v>
      </c>
      <c r="AE520" s="45">
        <f t="shared" si="108"/>
        <v>0.97585056337124798</v>
      </c>
      <c r="AF520" s="45">
        <f t="shared" si="109"/>
        <v>0.99950412774002606</v>
      </c>
      <c r="AG520" s="45">
        <f t="shared" si="110"/>
        <v>1.0004961182712624</v>
      </c>
      <c r="AH520" s="45">
        <f t="shared" si="111"/>
        <v>1.0004961182712624</v>
      </c>
      <c r="AI520" s="45">
        <f t="shared" si="112"/>
        <v>1.0004961182712624</v>
      </c>
      <c r="AJ520" s="45">
        <f t="shared" si="113"/>
        <v>0.91824845775711295</v>
      </c>
      <c r="AK520" s="45">
        <f t="shared" si="114"/>
        <v>1</v>
      </c>
      <c r="AL520" s="45">
        <f t="shared" si="115"/>
        <v>1</v>
      </c>
      <c r="AM520" s="45">
        <f t="shared" si="116"/>
        <v>1</v>
      </c>
      <c r="AN520" s="45">
        <f t="shared" si="117"/>
        <v>1</v>
      </c>
      <c r="AS520" s="50" cm="1">
        <f t="array" ref="AS520">SUMPRODUCT(($V520:$AN520&lt;=$I235)*(1))/COUNT($V520:$AN520)</f>
        <v>5.2631578947368418E-2</v>
      </c>
      <c r="AT520" s="50" cm="1">
        <f t="array" ref="AT520">SUMPRODUCT(($V520:$AN520&lt;=$J235)*(1))/COUNT($V520:$AN520)</f>
        <v>0</v>
      </c>
      <c r="AU520" s="50" cm="1">
        <f t="array" ref="AU520">SUMPRODUCT(($V520:$AN520&lt;=$K235)*(1))/COUNT($V520:$AN520)</f>
        <v>0</v>
      </c>
      <c r="AW520" s="52" cm="1">
        <f t="array" ref="AW520">SUMPRODUCT(($V520:$AN520&lt;=$I235)*(1))</f>
        <v>1</v>
      </c>
      <c r="AX520" s="52" cm="1">
        <f t="array" ref="AX520">SUMPRODUCT(($V520:$AN520&lt;=$J235)*(1))</f>
        <v>0</v>
      </c>
      <c r="AY520" s="52" cm="1">
        <f t="array" ref="AY520">SUMPRODUCT(($V520:$AN520&lt;=$K235)*(1))</f>
        <v>0</v>
      </c>
      <c r="BA520" s="52">
        <f t="shared" si="121"/>
        <v>1</v>
      </c>
      <c r="BB520" s="52">
        <f t="shared" si="122"/>
        <v>0</v>
      </c>
      <c r="BC520" s="52">
        <f t="shared" si="123"/>
        <v>0</v>
      </c>
      <c r="BE520" s="50">
        <f t="shared" si="118"/>
        <v>5.2631578947368418E-2</v>
      </c>
      <c r="BF520" s="50">
        <f t="shared" si="119"/>
        <v>0</v>
      </c>
      <c r="BG520" s="50">
        <f t="shared" si="120"/>
        <v>0</v>
      </c>
    </row>
    <row r="521" spans="4:59" ht="15.6">
      <c r="D521" s="44"/>
      <c r="M521" s="42"/>
      <c r="N521" s="39" t="s">
        <v>27</v>
      </c>
      <c r="O521" s="39" t="s">
        <v>448</v>
      </c>
      <c r="P521" t="s">
        <v>831</v>
      </c>
      <c r="R521" s="41"/>
      <c r="S521" s="42"/>
      <c r="T521" s="42"/>
      <c r="U521" s="42"/>
      <c r="V521" s="45">
        <f t="shared" si="99"/>
        <v>1</v>
      </c>
      <c r="W521" s="45">
        <f t="shared" si="100"/>
        <v>1</v>
      </c>
      <c r="X521" s="45">
        <f t="shared" si="101"/>
        <v>1</v>
      </c>
      <c r="Y521" s="45">
        <f t="shared" si="102"/>
        <v>1</v>
      </c>
      <c r="Z521" s="45">
        <f t="shared" si="103"/>
        <v>1</v>
      </c>
      <c r="AA521" s="45">
        <f t="shared" si="104"/>
        <v>1</v>
      </c>
      <c r="AB521" s="45">
        <f t="shared" si="105"/>
        <v>1</v>
      </c>
      <c r="AC521" s="45">
        <f t="shared" si="106"/>
        <v>1</v>
      </c>
      <c r="AD521" s="45">
        <f t="shared" si="107"/>
        <v>0.99072928291253703</v>
      </c>
      <c r="AE521" s="45">
        <f t="shared" si="108"/>
        <v>0.99867590037381904</v>
      </c>
      <c r="AF521" s="45">
        <f t="shared" si="109"/>
        <v>0.99990824986054805</v>
      </c>
      <c r="AG521" s="45">
        <f t="shared" si="110"/>
        <v>1.0000917585583124</v>
      </c>
      <c r="AH521" s="45">
        <f t="shared" si="111"/>
        <v>1.0000917585583124</v>
      </c>
      <c r="AI521" s="45">
        <f t="shared" si="112"/>
        <v>1.0000917585583124</v>
      </c>
      <c r="AJ521" s="45">
        <f t="shared" si="113"/>
        <v>0.99254921290551001</v>
      </c>
      <c r="AK521" s="45">
        <f t="shared" si="114"/>
        <v>1</v>
      </c>
      <c r="AL521" s="45">
        <f t="shared" si="115"/>
        <v>1</v>
      </c>
      <c r="AM521" s="45">
        <f t="shared" si="116"/>
        <v>1</v>
      </c>
      <c r="AN521" s="45">
        <f t="shared" si="117"/>
        <v>1</v>
      </c>
      <c r="AS521" s="50" cm="1">
        <f t="array" ref="AS521">SUMPRODUCT(($V521:$AN521&lt;=$I236)*(1))/COUNT($V521:$AN521)</f>
        <v>0</v>
      </c>
      <c r="AT521" s="50" cm="1">
        <f t="array" ref="AT521">SUMPRODUCT(($V521:$AN521&lt;=$J236)*(1))/COUNT($V521:$AN521)</f>
        <v>0</v>
      </c>
      <c r="AU521" s="50" cm="1">
        <f t="array" ref="AU521">SUMPRODUCT(($V521:$AN521&lt;=$K236)*(1))/COUNT($V521:$AN521)</f>
        <v>0</v>
      </c>
      <c r="AW521" s="52" cm="1">
        <f t="array" ref="AW521">SUMPRODUCT(($V521:$AN521&lt;=$I236)*(1))</f>
        <v>0</v>
      </c>
      <c r="AX521" s="52" cm="1">
        <f t="array" ref="AX521">SUMPRODUCT(($V521:$AN521&lt;=$J236)*(1))</f>
        <v>0</v>
      </c>
      <c r="AY521" s="52" cm="1">
        <f t="array" ref="AY521">SUMPRODUCT(($V521:$AN521&lt;=$K236)*(1))</f>
        <v>0</v>
      </c>
      <c r="BA521" s="52">
        <f t="shared" si="121"/>
        <v>0</v>
      </c>
      <c r="BB521" s="52">
        <f t="shared" si="122"/>
        <v>0</v>
      </c>
      <c r="BC521" s="52">
        <f t="shared" si="123"/>
        <v>0</v>
      </c>
      <c r="BE521" s="50">
        <f t="shared" si="118"/>
        <v>0</v>
      </c>
      <c r="BF521" s="50">
        <f t="shared" si="119"/>
        <v>0</v>
      </c>
      <c r="BG521" s="50">
        <f t="shared" si="120"/>
        <v>0</v>
      </c>
    </row>
    <row r="522" spans="4:59" ht="15.6">
      <c r="D522" s="44"/>
      <c r="M522" s="42"/>
      <c r="N522" s="39" t="s">
        <v>27</v>
      </c>
      <c r="O522" s="39" t="s">
        <v>561</v>
      </c>
      <c r="P522" t="s">
        <v>832</v>
      </c>
      <c r="R522" s="41"/>
      <c r="S522" s="42"/>
      <c r="T522" s="42"/>
      <c r="U522" s="42"/>
      <c r="V522" s="45">
        <f t="shared" si="99"/>
        <v>1</v>
      </c>
      <c r="W522" s="45">
        <f t="shared" si="100"/>
        <v>1</v>
      </c>
      <c r="X522" s="45">
        <f t="shared" si="101"/>
        <v>1</v>
      </c>
      <c r="Y522" s="45">
        <f t="shared" si="102"/>
        <v>1</v>
      </c>
      <c r="Z522" s="45">
        <f t="shared" si="103"/>
        <v>1</v>
      </c>
      <c r="AA522" s="45">
        <f t="shared" si="104"/>
        <v>1</v>
      </c>
      <c r="AB522" s="45">
        <f t="shared" si="105"/>
        <v>1</v>
      </c>
      <c r="AC522" s="45">
        <f t="shared" si="106"/>
        <v>1</v>
      </c>
      <c r="AD522" s="45">
        <f t="shared" si="107"/>
        <v>0.99142275205846897</v>
      </c>
      <c r="AE522" s="45">
        <f t="shared" si="108"/>
        <v>1</v>
      </c>
      <c r="AF522" s="45">
        <f t="shared" si="109"/>
        <v>1</v>
      </c>
      <c r="AG522" s="45">
        <f t="shared" si="110"/>
        <v>1</v>
      </c>
      <c r="AH522" s="45">
        <f t="shared" si="111"/>
        <v>1</v>
      </c>
      <c r="AI522" s="45">
        <f t="shared" si="112"/>
        <v>1</v>
      </c>
      <c r="AJ522" s="45">
        <f t="shared" si="113"/>
        <v>1</v>
      </c>
      <c r="AK522" s="45">
        <f t="shared" si="114"/>
        <v>1</v>
      </c>
      <c r="AL522" s="45">
        <f t="shared" si="115"/>
        <v>1</v>
      </c>
      <c r="AM522" s="45">
        <f t="shared" si="116"/>
        <v>1</v>
      </c>
      <c r="AN522" s="45">
        <f t="shared" si="117"/>
        <v>1</v>
      </c>
      <c r="AS522" s="50" cm="1">
        <f t="array" ref="AS522">SUMPRODUCT(($V522:$AN522&lt;=$I237)*(1))/COUNT($V522:$AN522)</f>
        <v>0</v>
      </c>
      <c r="AT522" s="50" cm="1">
        <f t="array" ref="AT522">SUMPRODUCT(($V522:$AN522&lt;=$J237)*(1))/COUNT($V522:$AN522)</f>
        <v>0</v>
      </c>
      <c r="AU522" s="50" cm="1">
        <f t="array" ref="AU522">SUMPRODUCT(($V522:$AN522&lt;=$K237)*(1))/COUNT($V522:$AN522)</f>
        <v>0</v>
      </c>
      <c r="AW522" s="52" cm="1">
        <f t="array" ref="AW522">SUMPRODUCT(($V522:$AN522&lt;=$I237)*(1))</f>
        <v>0</v>
      </c>
      <c r="AX522" s="52" cm="1">
        <f t="array" ref="AX522">SUMPRODUCT(($V522:$AN522&lt;=$J237)*(1))</f>
        <v>0</v>
      </c>
      <c r="AY522" s="52" cm="1">
        <f t="array" ref="AY522">SUMPRODUCT(($V522:$AN522&lt;=$K237)*(1))</f>
        <v>0</v>
      </c>
      <c r="BA522" s="52">
        <f t="shared" si="121"/>
        <v>0</v>
      </c>
      <c r="BB522" s="52">
        <f t="shared" si="122"/>
        <v>0</v>
      </c>
      <c r="BC522" s="52">
        <f t="shared" si="123"/>
        <v>0</v>
      </c>
      <c r="BE522" s="50">
        <f t="shared" si="118"/>
        <v>0</v>
      </c>
      <c r="BF522" s="50">
        <f t="shared" si="119"/>
        <v>0</v>
      </c>
      <c r="BG522" s="50">
        <f t="shared" si="120"/>
        <v>0</v>
      </c>
    </row>
    <row r="523" spans="4:59" ht="15.6">
      <c r="D523" s="44"/>
      <c r="M523" s="42"/>
      <c r="N523" s="39" t="s">
        <v>27</v>
      </c>
      <c r="O523" s="39" t="s">
        <v>172</v>
      </c>
      <c r="P523" t="s">
        <v>833</v>
      </c>
      <c r="R523" s="41"/>
      <c r="S523" s="42"/>
      <c r="T523" s="42"/>
      <c r="U523" s="42"/>
      <c r="V523" s="45">
        <f t="shared" si="99"/>
        <v>1</v>
      </c>
      <c r="W523" s="45">
        <f t="shared" si="100"/>
        <v>1</v>
      </c>
      <c r="X523" s="45">
        <f t="shared" si="101"/>
        <v>1</v>
      </c>
      <c r="Y523" s="45">
        <f t="shared" si="102"/>
        <v>1</v>
      </c>
      <c r="Z523" s="45">
        <f t="shared" si="103"/>
        <v>1</v>
      </c>
      <c r="AA523" s="45">
        <f t="shared" si="104"/>
        <v>1</v>
      </c>
      <c r="AB523" s="45">
        <f t="shared" si="105"/>
        <v>1</v>
      </c>
      <c r="AC523" s="45">
        <f t="shared" si="106"/>
        <v>1</v>
      </c>
      <c r="AD523" s="45">
        <f t="shared" si="107"/>
        <v>1</v>
      </c>
      <c r="AE523" s="45">
        <f t="shared" si="108"/>
        <v>1</v>
      </c>
      <c r="AF523" s="45">
        <f t="shared" si="109"/>
        <v>1</v>
      </c>
      <c r="AG523" s="45">
        <f t="shared" si="110"/>
        <v>1</v>
      </c>
      <c r="AH523" s="45">
        <f t="shared" si="111"/>
        <v>1</v>
      </c>
      <c r="AI523" s="45">
        <f t="shared" si="112"/>
        <v>1</v>
      </c>
      <c r="AJ523" s="45">
        <f t="shared" si="113"/>
        <v>1</v>
      </c>
      <c r="AK523" s="45">
        <f t="shared" si="114"/>
        <v>1</v>
      </c>
      <c r="AL523" s="45">
        <f t="shared" si="115"/>
        <v>1</v>
      </c>
      <c r="AM523" s="45">
        <f t="shared" si="116"/>
        <v>1</v>
      </c>
      <c r="AN523" s="45">
        <f t="shared" si="117"/>
        <v>1</v>
      </c>
      <c r="AS523" s="50" cm="1">
        <f t="array" ref="AS523">SUMPRODUCT(($V523:$AN523&lt;=$I238)*(1))/COUNT($V523:$AN523)</f>
        <v>0</v>
      </c>
      <c r="AT523" s="50" cm="1">
        <f t="array" ref="AT523">SUMPRODUCT(($V523:$AN523&lt;=$J238)*(1))/COUNT($V523:$AN523)</f>
        <v>0</v>
      </c>
      <c r="AU523" s="50" cm="1">
        <f t="array" ref="AU523">SUMPRODUCT(($V523:$AN523&lt;=$K238)*(1))/COUNT($V523:$AN523)</f>
        <v>0</v>
      </c>
      <c r="AW523" s="52" cm="1">
        <f t="array" ref="AW523">SUMPRODUCT(($V523:$AN523&lt;=$I238)*(1))</f>
        <v>0</v>
      </c>
      <c r="AX523" s="52" cm="1">
        <f t="array" ref="AX523">SUMPRODUCT(($V523:$AN523&lt;=$J238)*(1))</f>
        <v>0</v>
      </c>
      <c r="AY523" s="52" cm="1">
        <f t="array" ref="AY523">SUMPRODUCT(($V523:$AN523&lt;=$K238)*(1))</f>
        <v>0</v>
      </c>
      <c r="BA523" s="52">
        <f t="shared" si="121"/>
        <v>0</v>
      </c>
      <c r="BB523" s="52">
        <f t="shared" si="122"/>
        <v>0</v>
      </c>
      <c r="BC523" s="52">
        <f t="shared" si="123"/>
        <v>0</v>
      </c>
      <c r="BE523" s="50">
        <f t="shared" si="118"/>
        <v>0</v>
      </c>
      <c r="BF523" s="50">
        <f t="shared" si="119"/>
        <v>0</v>
      </c>
      <c r="BG523" s="50">
        <f t="shared" si="120"/>
        <v>0</v>
      </c>
    </row>
    <row r="524" spans="4:59" ht="15.6">
      <c r="D524" s="44"/>
      <c r="M524" s="42"/>
      <c r="N524" s="39" t="s">
        <v>27</v>
      </c>
      <c r="O524" s="39" t="s">
        <v>605</v>
      </c>
      <c r="P524" t="s">
        <v>834</v>
      </c>
      <c r="R524" s="41"/>
      <c r="S524" s="42"/>
      <c r="T524" s="42"/>
      <c r="U524" s="42"/>
      <c r="V524" s="45">
        <f t="shared" si="99"/>
        <v>1.0390423996927274</v>
      </c>
      <c r="W524" s="45">
        <f t="shared" si="100"/>
        <v>0.94514900633169185</v>
      </c>
      <c r="X524" s="45">
        <f t="shared" si="101"/>
        <v>1.0579648532665331</v>
      </c>
      <c r="Y524" s="45">
        <f t="shared" si="102"/>
        <v>1.0191339225886209</v>
      </c>
      <c r="Z524" s="45">
        <f t="shared" si="103"/>
        <v>0.97448325126438595</v>
      </c>
      <c r="AA524" s="45">
        <f t="shared" si="104"/>
        <v>1.016891311101944</v>
      </c>
      <c r="AB524" s="45">
        <f t="shared" si="105"/>
        <v>0.9827072779279159</v>
      </c>
      <c r="AC524" s="45">
        <f t="shared" si="106"/>
        <v>0.747926720295787</v>
      </c>
      <c r="AD524" s="45">
        <f t="shared" si="107"/>
        <v>0.92033876086235245</v>
      </c>
      <c r="AE524" s="45">
        <f t="shared" si="108"/>
        <v>0.89528316731111268</v>
      </c>
      <c r="AF524" s="45">
        <f t="shared" si="109"/>
        <v>1.0959270483830605</v>
      </c>
      <c r="AG524" s="45">
        <f t="shared" si="110"/>
        <v>0.94472134338783464</v>
      </c>
      <c r="AH524" s="45">
        <f t="shared" si="111"/>
        <v>1.084723414608985</v>
      </c>
      <c r="AI524" s="45">
        <f t="shared" si="112"/>
        <v>1.0946511760995414</v>
      </c>
      <c r="AJ524" s="45">
        <f t="shared" si="113"/>
        <v>1.014925029271057</v>
      </c>
      <c r="AK524" s="45">
        <f t="shared" si="114"/>
        <v>1.0597096589629096</v>
      </c>
      <c r="AL524" s="45">
        <f t="shared" si="115"/>
        <v>1.0468932702052944</v>
      </c>
      <c r="AM524" s="45">
        <f t="shared" si="116"/>
        <v>1.0122996520738115</v>
      </c>
      <c r="AN524" s="45">
        <f t="shared" si="117"/>
        <v>0.8930288115999846</v>
      </c>
      <c r="AS524" s="50" cm="1">
        <f t="array" ref="AS524">SUMPRODUCT(($V524:$AN524&lt;=$I239)*(1))/COUNT($V524:$AN524)</f>
        <v>0.31578947368421051</v>
      </c>
      <c r="AT524" s="50" cm="1">
        <f t="array" ref="AT524">SUMPRODUCT(($V524:$AN524&lt;=$J239)*(1))/COUNT($V524:$AN524)</f>
        <v>5.2631578947368418E-2</v>
      </c>
      <c r="AU524" s="50" cm="1">
        <f t="array" ref="AU524">SUMPRODUCT(($V524:$AN524&lt;=$K239)*(1))/COUNT($V524:$AN524)</f>
        <v>5.2631578947368418E-2</v>
      </c>
      <c r="AW524" s="52" cm="1">
        <f t="array" ref="AW524">SUMPRODUCT(($V524:$AN524&lt;=$I239)*(1))</f>
        <v>6</v>
      </c>
      <c r="AX524" s="52" cm="1">
        <f t="array" ref="AX524">SUMPRODUCT(($V524:$AN524&lt;=$J239)*(1))</f>
        <v>1</v>
      </c>
      <c r="AY524" s="52" cm="1">
        <f t="array" ref="AY524">SUMPRODUCT(($V524:$AN524&lt;=$K239)*(1))</f>
        <v>1</v>
      </c>
      <c r="BA524" s="52">
        <f t="shared" si="121"/>
        <v>5</v>
      </c>
      <c r="BB524" s="52">
        <f t="shared" si="122"/>
        <v>0</v>
      </c>
      <c r="BC524" s="52">
        <f t="shared" si="123"/>
        <v>1</v>
      </c>
      <c r="BE524" s="50">
        <f t="shared" si="118"/>
        <v>0.26315789473684209</v>
      </c>
      <c r="BF524" s="50">
        <f t="shared" si="119"/>
        <v>0</v>
      </c>
      <c r="BG524" s="50">
        <f t="shared" si="120"/>
        <v>5.2631578947368418E-2</v>
      </c>
    </row>
    <row r="525" spans="4:59" ht="15.6">
      <c r="D525" s="44"/>
      <c r="M525" s="42"/>
      <c r="N525" s="39" t="s">
        <v>27</v>
      </c>
      <c r="O525" s="39" t="s">
        <v>479</v>
      </c>
      <c r="P525" t="s">
        <v>835</v>
      </c>
      <c r="R525" s="41"/>
      <c r="S525" s="42"/>
      <c r="T525" s="42"/>
      <c r="U525" s="42"/>
      <c r="V525" s="45">
        <f t="shared" si="99"/>
        <v>0.99860036865487101</v>
      </c>
      <c r="W525" s="45">
        <f t="shared" si="100"/>
        <v>0.99956317351761992</v>
      </c>
      <c r="X525" s="45">
        <f t="shared" si="101"/>
        <v>1.0004370173831463</v>
      </c>
      <c r="Y525" s="45">
        <f t="shared" si="102"/>
        <v>0.94254397267715606</v>
      </c>
      <c r="Z525" s="45">
        <f t="shared" si="103"/>
        <v>1.0004370173831463</v>
      </c>
      <c r="AA525" s="45">
        <f t="shared" si="104"/>
        <v>1.0004370173831463</v>
      </c>
      <c r="AB525" s="45">
        <f t="shared" si="105"/>
        <v>1</v>
      </c>
      <c r="AC525" s="45">
        <f t="shared" si="106"/>
        <v>1</v>
      </c>
      <c r="AD525" s="45">
        <f t="shared" si="107"/>
        <v>1</v>
      </c>
      <c r="AE525" s="45">
        <f t="shared" si="108"/>
        <v>0.97978297854579599</v>
      </c>
      <c r="AF525" s="45">
        <f t="shared" si="109"/>
        <v>0.96496735539979195</v>
      </c>
      <c r="AG525" s="45">
        <f t="shared" si="110"/>
        <v>0.94080069059875893</v>
      </c>
      <c r="AH525" s="45">
        <f t="shared" si="111"/>
        <v>1.0206341831782078</v>
      </c>
      <c r="AI525" s="45">
        <f t="shared" si="112"/>
        <v>1.0146116948625648</v>
      </c>
      <c r="AJ525" s="45">
        <f t="shared" si="113"/>
        <v>0.86930941283124585</v>
      </c>
      <c r="AK525" s="45">
        <f t="shared" si="114"/>
        <v>1.0363044867830724</v>
      </c>
      <c r="AL525" s="45">
        <f t="shared" si="115"/>
        <v>1.0059357568478045</v>
      </c>
      <c r="AM525" s="45">
        <f t="shared" si="116"/>
        <v>1</v>
      </c>
      <c r="AN525" s="45">
        <f t="shared" si="117"/>
        <v>1</v>
      </c>
      <c r="AS525" s="50" cm="1">
        <f t="array" ref="AS525">SUMPRODUCT(($V525:$AN525&lt;=$I240)*(1))/COUNT($V525:$AN525)</f>
        <v>0.15789473684210525</v>
      </c>
      <c r="AT525" s="50" cm="1">
        <f t="array" ref="AT525">SUMPRODUCT(($V525:$AN525&lt;=$J240)*(1))/COUNT($V525:$AN525)</f>
        <v>0</v>
      </c>
      <c r="AU525" s="50" cm="1">
        <f t="array" ref="AU525">SUMPRODUCT(($V525:$AN525&lt;=$K240)*(1))/COUNT($V525:$AN525)</f>
        <v>0</v>
      </c>
      <c r="AW525" s="52" cm="1">
        <f t="array" ref="AW525">SUMPRODUCT(($V525:$AN525&lt;=$I240)*(1))</f>
        <v>3</v>
      </c>
      <c r="AX525" s="52" cm="1">
        <f t="array" ref="AX525">SUMPRODUCT(($V525:$AN525&lt;=$J240)*(1))</f>
        <v>0</v>
      </c>
      <c r="AY525" s="52" cm="1">
        <f t="array" ref="AY525">SUMPRODUCT(($V525:$AN525&lt;=$K240)*(1))</f>
        <v>0</v>
      </c>
      <c r="BA525" s="52">
        <f t="shared" si="121"/>
        <v>3</v>
      </c>
      <c r="BB525" s="52">
        <f t="shared" si="122"/>
        <v>0</v>
      </c>
      <c r="BC525" s="52">
        <f t="shared" si="123"/>
        <v>0</v>
      </c>
      <c r="BE525" s="50">
        <f t="shared" si="118"/>
        <v>0.15789473684210525</v>
      </c>
      <c r="BF525" s="50">
        <f t="shared" si="119"/>
        <v>0</v>
      </c>
      <c r="BG525" s="50">
        <f t="shared" si="120"/>
        <v>0</v>
      </c>
    </row>
    <row r="526" spans="4:59" ht="15.6">
      <c r="D526" s="44"/>
      <c r="M526" s="42"/>
      <c r="N526" s="39" t="s">
        <v>27</v>
      </c>
      <c r="O526" s="39" t="s">
        <v>566</v>
      </c>
      <c r="P526" t="s">
        <v>836</v>
      </c>
      <c r="R526" s="41"/>
      <c r="S526" s="42"/>
      <c r="T526" s="42"/>
      <c r="U526" s="42"/>
      <c r="V526" s="45">
        <f t="shared" si="99"/>
        <v>1</v>
      </c>
      <c r="W526" s="45">
        <f t="shared" si="100"/>
        <v>1</v>
      </c>
      <c r="X526" s="45">
        <f t="shared" si="101"/>
        <v>1</v>
      </c>
      <c r="Y526" s="45">
        <f t="shared" si="102"/>
        <v>1</v>
      </c>
      <c r="Z526" s="45">
        <f t="shared" si="103"/>
        <v>1</v>
      </c>
      <c r="AA526" s="45">
        <f t="shared" si="104"/>
        <v>1</v>
      </c>
      <c r="AB526" s="45">
        <f t="shared" si="105"/>
        <v>1</v>
      </c>
      <c r="AC526" s="45">
        <f t="shared" si="106"/>
        <v>1</v>
      </c>
      <c r="AD526" s="45">
        <f t="shared" si="107"/>
        <v>1</v>
      </c>
      <c r="AE526" s="45">
        <f t="shared" si="108"/>
        <v>1</v>
      </c>
      <c r="AF526" s="45">
        <f t="shared" si="109"/>
        <v>1</v>
      </c>
      <c r="AG526" s="45">
        <f t="shared" si="110"/>
        <v>1</v>
      </c>
      <c r="AH526" s="45">
        <f t="shared" si="111"/>
        <v>1</v>
      </c>
      <c r="AI526" s="45">
        <f t="shared" si="112"/>
        <v>1</v>
      </c>
      <c r="AJ526" s="45">
        <f t="shared" si="113"/>
        <v>1</v>
      </c>
      <c r="AK526" s="45">
        <f t="shared" si="114"/>
        <v>1</v>
      </c>
      <c r="AL526" s="45">
        <f t="shared" si="115"/>
        <v>1</v>
      </c>
      <c r="AM526" s="45">
        <f t="shared" si="116"/>
        <v>1</v>
      </c>
      <c r="AN526" s="45">
        <f t="shared" si="117"/>
        <v>1</v>
      </c>
      <c r="AS526" s="50" cm="1">
        <f t="array" ref="AS526">SUMPRODUCT(($V526:$AN526&lt;=$I241)*(1))/COUNT($V526:$AN526)</f>
        <v>0</v>
      </c>
      <c r="AT526" s="50" cm="1">
        <f t="array" ref="AT526">SUMPRODUCT(($V526:$AN526&lt;=$J241)*(1))/COUNT($V526:$AN526)</f>
        <v>0</v>
      </c>
      <c r="AU526" s="50" cm="1">
        <f t="array" ref="AU526">SUMPRODUCT(($V526:$AN526&lt;=$K241)*(1))/COUNT($V526:$AN526)</f>
        <v>0</v>
      </c>
      <c r="AW526" s="52" cm="1">
        <f t="array" ref="AW526">SUMPRODUCT(($V526:$AN526&lt;=$I241)*(1))</f>
        <v>0</v>
      </c>
      <c r="AX526" s="52" cm="1">
        <f t="array" ref="AX526">SUMPRODUCT(($V526:$AN526&lt;=$J241)*(1))</f>
        <v>0</v>
      </c>
      <c r="AY526" s="52" cm="1">
        <f t="array" ref="AY526">SUMPRODUCT(($V526:$AN526&lt;=$K241)*(1))</f>
        <v>0</v>
      </c>
      <c r="BA526" s="52">
        <f t="shared" si="121"/>
        <v>0</v>
      </c>
      <c r="BB526" s="52">
        <f t="shared" si="122"/>
        <v>0</v>
      </c>
      <c r="BC526" s="52">
        <f t="shared" si="123"/>
        <v>0</v>
      </c>
      <c r="BE526" s="50">
        <f t="shared" si="118"/>
        <v>0</v>
      </c>
      <c r="BF526" s="50">
        <f t="shared" si="119"/>
        <v>0</v>
      </c>
      <c r="BG526" s="50">
        <f t="shared" si="120"/>
        <v>0</v>
      </c>
    </row>
    <row r="527" spans="4:59" ht="15.6">
      <c r="D527" s="44"/>
      <c r="M527" s="42"/>
      <c r="N527" s="39" t="s">
        <v>27</v>
      </c>
      <c r="O527" s="39" t="s">
        <v>494</v>
      </c>
      <c r="P527" t="s">
        <v>837</v>
      </c>
      <c r="R527" s="41"/>
      <c r="S527" s="42"/>
      <c r="T527" s="42"/>
      <c r="U527" s="42"/>
      <c r="V527" s="45">
        <f t="shared" si="99"/>
        <v>1</v>
      </c>
      <c r="W527" s="45">
        <f t="shared" si="100"/>
        <v>1</v>
      </c>
      <c r="X527" s="45">
        <f t="shared" si="101"/>
        <v>1</v>
      </c>
      <c r="Y527" s="45">
        <f t="shared" si="102"/>
        <v>1</v>
      </c>
      <c r="Z527" s="45">
        <f t="shared" si="103"/>
        <v>1</v>
      </c>
      <c r="AA527" s="45">
        <f t="shared" si="104"/>
        <v>1</v>
      </c>
      <c r="AB527" s="45">
        <f t="shared" si="105"/>
        <v>1</v>
      </c>
      <c r="AC527" s="45">
        <f t="shared" si="106"/>
        <v>1</v>
      </c>
      <c r="AD527" s="45">
        <f t="shared" si="107"/>
        <v>0.95190812862857099</v>
      </c>
      <c r="AE527" s="45">
        <f t="shared" si="108"/>
        <v>0.99523082194682</v>
      </c>
      <c r="AF527" s="45">
        <f t="shared" si="109"/>
        <v>0.99689782422824502</v>
      </c>
      <c r="AG527" s="45">
        <f t="shared" si="110"/>
        <v>1.0031118292129451</v>
      </c>
      <c r="AH527" s="45">
        <f t="shared" si="111"/>
        <v>1.0031118292129451</v>
      </c>
      <c r="AI527" s="45">
        <f t="shared" si="112"/>
        <v>1.0005714716321665</v>
      </c>
      <c r="AJ527" s="45">
        <f t="shared" si="113"/>
        <v>0.97677444977841998</v>
      </c>
      <c r="AK527" s="45">
        <f t="shared" si="114"/>
        <v>1.0025389066676413</v>
      </c>
      <c r="AL527" s="45">
        <f t="shared" si="115"/>
        <v>1</v>
      </c>
      <c r="AM527" s="45">
        <f t="shared" si="116"/>
        <v>1</v>
      </c>
      <c r="AN527" s="45">
        <f t="shared" si="117"/>
        <v>1</v>
      </c>
      <c r="AS527" s="50" cm="1">
        <f t="array" ref="AS527">SUMPRODUCT(($V527:$AN527&lt;=$I242)*(1))/COUNT($V527:$AN527)</f>
        <v>0</v>
      </c>
      <c r="AT527" s="50" cm="1">
        <f t="array" ref="AT527">SUMPRODUCT(($V527:$AN527&lt;=$J242)*(1))/COUNT($V527:$AN527)</f>
        <v>0</v>
      </c>
      <c r="AU527" s="50" cm="1">
        <f t="array" ref="AU527">SUMPRODUCT(($V527:$AN527&lt;=$K242)*(1))/COUNT($V527:$AN527)</f>
        <v>0</v>
      </c>
      <c r="AW527" s="52" cm="1">
        <f t="array" ref="AW527">SUMPRODUCT(($V527:$AN527&lt;=$I242)*(1))</f>
        <v>0</v>
      </c>
      <c r="AX527" s="52" cm="1">
        <f t="array" ref="AX527">SUMPRODUCT(($V527:$AN527&lt;=$J242)*(1))</f>
        <v>0</v>
      </c>
      <c r="AY527" s="52" cm="1">
        <f t="array" ref="AY527">SUMPRODUCT(($V527:$AN527&lt;=$K242)*(1))</f>
        <v>0</v>
      </c>
      <c r="BA527" s="52">
        <f t="shared" si="121"/>
        <v>0</v>
      </c>
      <c r="BB527" s="52">
        <f t="shared" si="122"/>
        <v>0</v>
      </c>
      <c r="BC527" s="52">
        <f t="shared" si="123"/>
        <v>0</v>
      </c>
      <c r="BE527" s="50">
        <f t="shared" si="118"/>
        <v>0</v>
      </c>
      <c r="BF527" s="50">
        <f t="shared" si="119"/>
        <v>0</v>
      </c>
      <c r="BG527" s="50">
        <f t="shared" si="120"/>
        <v>0</v>
      </c>
    </row>
    <row r="528" spans="4:59" ht="15.6">
      <c r="D528" s="44"/>
      <c r="M528" s="42"/>
      <c r="N528" s="39" t="s">
        <v>27</v>
      </c>
      <c r="O528" s="39">
        <v>1</v>
      </c>
      <c r="P528" s="91" t="s">
        <v>838</v>
      </c>
      <c r="R528" s="41"/>
      <c r="S528" s="42"/>
      <c r="T528" s="42"/>
      <c r="U528" s="42"/>
      <c r="V528" s="45">
        <f t="shared" si="99"/>
        <v>1.0731992392528793</v>
      </c>
      <c r="W528" s="45">
        <f t="shared" si="100"/>
        <v>0.97928591515830488</v>
      </c>
      <c r="X528" s="45">
        <f t="shared" si="101"/>
        <v>1.0914485362636301</v>
      </c>
      <c r="Y528" s="45">
        <f t="shared" si="102"/>
        <v>1.0781844582397271</v>
      </c>
      <c r="Z528" s="45">
        <f t="shared" si="103"/>
        <v>0.97808771666022432</v>
      </c>
      <c r="AA528" s="45">
        <f t="shared" si="104"/>
        <v>1.0165966736062859</v>
      </c>
      <c r="AB528" s="45">
        <f t="shared" si="105"/>
        <v>1.0067780410004721</v>
      </c>
      <c r="AC528" s="45">
        <f t="shared" si="106"/>
        <v>0.84823352909042415</v>
      </c>
      <c r="AD528" s="45">
        <f t="shared" si="107"/>
        <v>0.88009833948842153</v>
      </c>
      <c r="AE528" s="45">
        <f t="shared" si="108"/>
        <v>0.93926498236443856</v>
      </c>
      <c r="AF528" s="45">
        <f t="shared" si="109"/>
        <v>1.0437495784800823</v>
      </c>
      <c r="AG528" s="45">
        <f t="shared" si="110"/>
        <v>1.0044641809451318</v>
      </c>
      <c r="AH528" s="45">
        <f t="shared" si="111"/>
        <v>1.0639410069232413</v>
      </c>
      <c r="AI528" s="45">
        <f t="shared" si="112"/>
        <v>1.0891127249384669</v>
      </c>
      <c r="AJ528" s="45">
        <f t="shared" si="113"/>
        <v>0.92985046759913914</v>
      </c>
      <c r="AK528" s="45">
        <f t="shared" si="114"/>
        <v>1.060570670401086</v>
      </c>
      <c r="AL528" s="45">
        <f t="shared" si="115"/>
        <v>1.0299570343760429</v>
      </c>
      <c r="AM528" s="45">
        <f t="shared" si="116"/>
        <v>1.0083782792549614</v>
      </c>
      <c r="AN528" s="45">
        <f t="shared" si="117"/>
        <v>0.83720891459284019</v>
      </c>
      <c r="AS528" s="50" cm="1">
        <f t="array" ref="AS528">SUMPRODUCT(($V528:$AN528&lt;=$I243)*(1))/COUNT($V528:$AN528)</f>
        <v>0.26315789473684209</v>
      </c>
      <c r="AT528" s="50" cm="1">
        <f t="array" ref="AT528">SUMPRODUCT(($V528:$AN528&lt;=$J243)*(1))/COUNT($V528:$AN528)</f>
        <v>0.10526315789473684</v>
      </c>
      <c r="AU528" s="50" cm="1">
        <f t="array" ref="AU528">SUMPRODUCT(($V528:$AN528&lt;=$K243)*(1))/COUNT($V528:$AN528)</f>
        <v>0</v>
      </c>
      <c r="AW528" s="52" cm="1">
        <f t="array" ref="AW528">SUMPRODUCT(($V528:$AN528&lt;=$I243)*(1))</f>
        <v>5</v>
      </c>
      <c r="AX528" s="52" cm="1">
        <f t="array" ref="AX528">SUMPRODUCT(($V528:$AN528&lt;=$J243)*(1))</f>
        <v>2</v>
      </c>
      <c r="AY528" s="52" cm="1">
        <f t="array" ref="AY528">SUMPRODUCT(($V528:$AN528&lt;=$K243)*(1))</f>
        <v>0</v>
      </c>
      <c r="BA528" s="52">
        <f t="shared" si="121"/>
        <v>3</v>
      </c>
      <c r="BB528" s="52">
        <f t="shared" si="122"/>
        <v>2</v>
      </c>
      <c r="BC528" s="52">
        <f t="shared" si="123"/>
        <v>0</v>
      </c>
      <c r="BE528" s="50">
        <f t="shared" si="118"/>
        <v>0.15789473684210525</v>
      </c>
      <c r="BF528" s="50">
        <f t="shared" si="119"/>
        <v>0.10526315789473684</v>
      </c>
      <c r="BG528" s="50">
        <f t="shared" si="120"/>
        <v>0</v>
      </c>
    </row>
    <row r="529" spans="4:59" ht="15.6">
      <c r="D529" s="44"/>
      <c r="M529" s="42"/>
      <c r="N529" s="39" t="s">
        <v>27</v>
      </c>
      <c r="O529" s="39" t="s">
        <v>468</v>
      </c>
      <c r="P529" t="s">
        <v>471</v>
      </c>
      <c r="R529" s="41"/>
      <c r="S529" s="42"/>
      <c r="T529" s="42"/>
      <c r="U529" s="42"/>
      <c r="V529" s="45">
        <f t="shared" si="99"/>
        <v>1</v>
      </c>
      <c r="W529" s="45">
        <f t="shared" si="100"/>
        <v>1</v>
      </c>
      <c r="X529" s="45">
        <f t="shared" si="101"/>
        <v>1</v>
      </c>
      <c r="Y529" s="45">
        <f t="shared" si="102"/>
        <v>1</v>
      </c>
      <c r="Z529" s="45">
        <f t="shared" si="103"/>
        <v>1</v>
      </c>
      <c r="AA529" s="45">
        <f t="shared" si="104"/>
        <v>1</v>
      </c>
      <c r="AB529" s="45">
        <f t="shared" si="105"/>
        <v>1</v>
      </c>
      <c r="AC529" s="45">
        <f t="shared" si="106"/>
        <v>1</v>
      </c>
      <c r="AD529" s="45">
        <f t="shared" si="107"/>
        <v>0.89873845825364196</v>
      </c>
      <c r="AE529" s="45">
        <f t="shared" si="108"/>
        <v>1</v>
      </c>
      <c r="AF529" s="45">
        <f t="shared" si="109"/>
        <v>0.99306361169732693</v>
      </c>
      <c r="AG529" s="45">
        <f t="shared" si="110"/>
        <v>1</v>
      </c>
      <c r="AH529" s="45">
        <f t="shared" si="111"/>
        <v>1</v>
      </c>
      <c r="AI529" s="45">
        <f t="shared" si="112"/>
        <v>0.97825246331614901</v>
      </c>
      <c r="AJ529" s="45">
        <f t="shared" si="113"/>
        <v>0.92482438318823401</v>
      </c>
      <c r="AK529" s="45">
        <f t="shared" si="114"/>
        <v>1.0069848378502335</v>
      </c>
      <c r="AL529" s="45">
        <f t="shared" si="115"/>
        <v>1</v>
      </c>
      <c r="AM529" s="45">
        <f t="shared" si="116"/>
        <v>1</v>
      </c>
      <c r="AN529" s="45">
        <f t="shared" si="117"/>
        <v>1</v>
      </c>
      <c r="AS529" s="50" cm="1">
        <f t="array" ref="AS529">SUMPRODUCT(($V529:$AN529&lt;=$I244)*(1))/COUNT($V529:$AN529)</f>
        <v>0.10526315789473684</v>
      </c>
      <c r="AT529" s="50" cm="1">
        <f t="array" ref="AT529">SUMPRODUCT(($V529:$AN529&lt;=$J244)*(1))/COUNT($V529:$AN529)</f>
        <v>0</v>
      </c>
      <c r="AU529" s="50" cm="1">
        <f t="array" ref="AU529">SUMPRODUCT(($V529:$AN529&lt;=$K244)*(1))/COUNT($V529:$AN529)</f>
        <v>0</v>
      </c>
      <c r="AW529" s="52" cm="1">
        <f t="array" ref="AW529">SUMPRODUCT(($V529:$AN529&lt;=$I244)*(1))</f>
        <v>2</v>
      </c>
      <c r="AX529" s="52" cm="1">
        <f t="array" ref="AX529">SUMPRODUCT(($V529:$AN529&lt;=$J244)*(1))</f>
        <v>0</v>
      </c>
      <c r="AY529" s="52" cm="1">
        <f t="array" ref="AY529">SUMPRODUCT(($V529:$AN529&lt;=$K244)*(1))</f>
        <v>0</v>
      </c>
      <c r="BA529" s="52">
        <f t="shared" si="121"/>
        <v>2</v>
      </c>
      <c r="BB529" s="52">
        <f t="shared" si="122"/>
        <v>0</v>
      </c>
      <c r="BC529" s="52">
        <f t="shared" si="123"/>
        <v>0</v>
      </c>
      <c r="BE529" s="50">
        <f t="shared" si="118"/>
        <v>0.10526315789473684</v>
      </c>
      <c r="BF529" s="50">
        <f t="shared" si="119"/>
        <v>0</v>
      </c>
      <c r="BG529" s="50">
        <f t="shared" si="120"/>
        <v>0</v>
      </c>
    </row>
    <row r="530" spans="4:59" ht="15.6">
      <c r="D530" s="44"/>
      <c r="M530" s="42"/>
      <c r="N530" s="39" t="s">
        <v>27</v>
      </c>
      <c r="O530" s="39" t="s">
        <v>542</v>
      </c>
      <c r="P530" t="s">
        <v>839</v>
      </c>
      <c r="R530" s="41"/>
      <c r="S530" s="42"/>
      <c r="T530" s="42"/>
      <c r="U530" s="42"/>
      <c r="V530" s="45">
        <f t="shared" si="99"/>
        <v>1.0379785539039357</v>
      </c>
      <c r="W530" s="45">
        <f t="shared" si="100"/>
        <v>0.87615011024776412</v>
      </c>
      <c r="X530" s="45">
        <f t="shared" si="101"/>
        <v>1.0413594221561009</v>
      </c>
      <c r="Y530" s="45">
        <f t="shared" si="102"/>
        <v>1.0247227615592278</v>
      </c>
      <c r="Z530" s="45">
        <f t="shared" si="103"/>
        <v>0.94800236322714215</v>
      </c>
      <c r="AA530" s="45">
        <f t="shared" si="104"/>
        <v>0.88809937170948583</v>
      </c>
      <c r="AB530" s="45">
        <f t="shared" si="105"/>
        <v>1.067555491884806</v>
      </c>
      <c r="AC530" s="45">
        <f t="shared" si="106"/>
        <v>0.97505579378141072</v>
      </c>
      <c r="AD530" s="45">
        <f t="shared" si="107"/>
        <v>0.90250363752903384</v>
      </c>
      <c r="AE530" s="45">
        <f t="shared" si="108"/>
        <v>0.9496467368479673</v>
      </c>
      <c r="AF530" s="45">
        <f t="shared" si="109"/>
        <v>0.86639545426127673</v>
      </c>
      <c r="AG530" s="45">
        <f t="shared" si="110"/>
        <v>1.0232240794168559</v>
      </c>
      <c r="AH530" s="45">
        <f t="shared" si="111"/>
        <v>1.1258199776709166</v>
      </c>
      <c r="AI530" s="45">
        <f t="shared" si="112"/>
        <v>1.063658021057869</v>
      </c>
      <c r="AJ530" s="45">
        <f t="shared" si="113"/>
        <v>0.96390499786486916</v>
      </c>
      <c r="AK530" s="45">
        <f t="shared" si="114"/>
        <v>1.1031943165804756</v>
      </c>
      <c r="AL530" s="45">
        <f t="shared" si="115"/>
        <v>1.01987891329317</v>
      </c>
      <c r="AM530" s="45">
        <f t="shared" si="116"/>
        <v>1.0405719999432759</v>
      </c>
      <c r="AN530" s="45">
        <f t="shared" si="117"/>
        <v>0.94329783568907144</v>
      </c>
      <c r="AS530" s="50" cm="1">
        <f t="array" ref="AS530">SUMPRODUCT(($V530:$AN530&lt;=$I245)*(1))/COUNT($V530:$AN530)</f>
        <v>0.36842105263157893</v>
      </c>
      <c r="AT530" s="50" cm="1">
        <f t="array" ref="AT530">SUMPRODUCT(($V530:$AN530&lt;=$J245)*(1))/COUNT($V530:$AN530)</f>
        <v>0</v>
      </c>
      <c r="AU530" s="50" cm="1">
        <f t="array" ref="AU530">SUMPRODUCT(($V530:$AN530&lt;=$K245)*(1))/COUNT($V530:$AN530)</f>
        <v>0</v>
      </c>
      <c r="AW530" s="52" cm="1">
        <f t="array" ref="AW530">SUMPRODUCT(($V530:$AN530&lt;=$I245)*(1))</f>
        <v>7</v>
      </c>
      <c r="AX530" s="52" cm="1">
        <f t="array" ref="AX530">SUMPRODUCT(($V530:$AN530&lt;=$J245)*(1))</f>
        <v>0</v>
      </c>
      <c r="AY530" s="52" cm="1">
        <f t="array" ref="AY530">SUMPRODUCT(($V530:$AN530&lt;=$K245)*(1))</f>
        <v>0</v>
      </c>
      <c r="BA530" s="52">
        <f t="shared" si="121"/>
        <v>7</v>
      </c>
      <c r="BB530" s="52">
        <f t="shared" si="122"/>
        <v>0</v>
      </c>
      <c r="BC530" s="52">
        <f t="shared" si="123"/>
        <v>0</v>
      </c>
      <c r="BE530" s="50">
        <f t="shared" si="118"/>
        <v>0.36842105263157893</v>
      </c>
      <c r="BF530" s="50">
        <f t="shared" si="119"/>
        <v>0</v>
      </c>
      <c r="BG530" s="50">
        <f t="shared" si="120"/>
        <v>0</v>
      </c>
    </row>
    <row r="531" spans="4:59" ht="15.6">
      <c r="D531" s="44"/>
      <c r="M531" s="42"/>
      <c r="N531" s="39" t="s">
        <v>27</v>
      </c>
      <c r="O531" s="39" t="s">
        <v>179</v>
      </c>
      <c r="P531" t="s">
        <v>840</v>
      </c>
      <c r="R531" s="41"/>
      <c r="S531" s="42"/>
      <c r="T531" s="42"/>
      <c r="U531" s="42"/>
      <c r="V531" s="45">
        <f t="shared" si="99"/>
        <v>1</v>
      </c>
      <c r="W531" s="45">
        <f t="shared" si="100"/>
        <v>1</v>
      </c>
      <c r="X531" s="45">
        <f t="shared" si="101"/>
        <v>1</v>
      </c>
      <c r="Y531" s="45">
        <f t="shared" si="102"/>
        <v>1</v>
      </c>
      <c r="Z531" s="45">
        <f t="shared" si="103"/>
        <v>1</v>
      </c>
      <c r="AA531" s="45">
        <f t="shared" si="104"/>
        <v>1</v>
      </c>
      <c r="AB531" s="45">
        <f t="shared" si="105"/>
        <v>1</v>
      </c>
      <c r="AC531" s="45">
        <f t="shared" si="106"/>
        <v>1</v>
      </c>
      <c r="AD531" s="45">
        <f t="shared" si="107"/>
        <v>1</v>
      </c>
      <c r="AE531" s="45">
        <f t="shared" si="108"/>
        <v>0.99972607570335503</v>
      </c>
      <c r="AF531" s="45">
        <f t="shared" si="109"/>
        <v>1</v>
      </c>
      <c r="AG531" s="45">
        <f t="shared" si="110"/>
        <v>1</v>
      </c>
      <c r="AH531" s="45">
        <f t="shared" si="111"/>
        <v>1</v>
      </c>
      <c r="AI531" s="45">
        <f t="shared" si="112"/>
        <v>1</v>
      </c>
      <c r="AJ531" s="45">
        <f t="shared" si="113"/>
        <v>1</v>
      </c>
      <c r="AK531" s="45">
        <f t="shared" si="114"/>
        <v>1</v>
      </c>
      <c r="AL531" s="45">
        <f t="shared" si="115"/>
        <v>1</v>
      </c>
      <c r="AM531" s="45">
        <f t="shared" si="116"/>
        <v>1</v>
      </c>
      <c r="AN531" s="45">
        <f t="shared" si="117"/>
        <v>1</v>
      </c>
      <c r="AS531" s="50" cm="1">
        <f t="array" ref="AS531">SUMPRODUCT(($V531:$AN531&lt;=$I246)*(1))/COUNT($V531:$AN531)</f>
        <v>0</v>
      </c>
      <c r="AT531" s="50" cm="1">
        <f t="array" ref="AT531">SUMPRODUCT(($V531:$AN531&lt;=$J246)*(1))/COUNT($V531:$AN531)</f>
        <v>0</v>
      </c>
      <c r="AU531" s="50" cm="1">
        <f t="array" ref="AU531">SUMPRODUCT(($V531:$AN531&lt;=$K246)*(1))/COUNT($V531:$AN531)</f>
        <v>0</v>
      </c>
      <c r="AW531" s="52" cm="1">
        <f t="array" ref="AW531">SUMPRODUCT(($V531:$AN531&lt;=$I246)*(1))</f>
        <v>0</v>
      </c>
      <c r="AX531" s="52" cm="1">
        <f t="array" ref="AX531">SUMPRODUCT(($V531:$AN531&lt;=$J246)*(1))</f>
        <v>0</v>
      </c>
      <c r="AY531" s="52" cm="1">
        <f t="array" ref="AY531">SUMPRODUCT(($V531:$AN531&lt;=$K246)*(1))</f>
        <v>0</v>
      </c>
      <c r="BA531" s="52">
        <f t="shared" si="121"/>
        <v>0</v>
      </c>
      <c r="BB531" s="52">
        <f t="shared" si="122"/>
        <v>0</v>
      </c>
      <c r="BC531" s="52">
        <f t="shared" si="123"/>
        <v>0</v>
      </c>
      <c r="BE531" s="50">
        <f t="shared" si="118"/>
        <v>0</v>
      </c>
      <c r="BF531" s="50">
        <f t="shared" si="119"/>
        <v>0</v>
      </c>
      <c r="BG531" s="50">
        <f t="shared" si="120"/>
        <v>0</v>
      </c>
    </row>
    <row r="532" spans="4:59" ht="15.6">
      <c r="D532" s="44"/>
      <c r="M532" s="42"/>
      <c r="N532" s="39" t="s">
        <v>27</v>
      </c>
      <c r="O532" s="39" t="s">
        <v>566</v>
      </c>
      <c r="P532" t="s">
        <v>841</v>
      </c>
      <c r="R532" s="41"/>
      <c r="S532" s="42"/>
      <c r="T532" s="42"/>
      <c r="U532" s="42"/>
      <c r="V532" s="45">
        <f t="shared" si="99"/>
        <v>1</v>
      </c>
      <c r="W532" s="45">
        <f t="shared" si="100"/>
        <v>1</v>
      </c>
      <c r="X532" s="45">
        <f t="shared" si="101"/>
        <v>1</v>
      </c>
      <c r="Y532" s="45">
        <f t="shared" si="102"/>
        <v>1</v>
      </c>
      <c r="Z532" s="45">
        <f t="shared" si="103"/>
        <v>1</v>
      </c>
      <c r="AA532" s="45">
        <f t="shared" si="104"/>
        <v>1</v>
      </c>
      <c r="AB532" s="45">
        <f t="shared" si="105"/>
        <v>1</v>
      </c>
      <c r="AC532" s="45">
        <f t="shared" si="106"/>
        <v>1</v>
      </c>
      <c r="AD532" s="45">
        <f t="shared" si="107"/>
        <v>1</v>
      </c>
      <c r="AE532" s="45">
        <f t="shared" si="108"/>
        <v>1</v>
      </c>
      <c r="AF532" s="45">
        <f t="shared" si="109"/>
        <v>1</v>
      </c>
      <c r="AG532" s="45">
        <f t="shared" si="110"/>
        <v>1</v>
      </c>
      <c r="AH532" s="45">
        <f t="shared" si="111"/>
        <v>1</v>
      </c>
      <c r="AI532" s="45">
        <f t="shared" si="112"/>
        <v>1</v>
      </c>
      <c r="AJ532" s="45">
        <f t="shared" si="113"/>
        <v>1</v>
      </c>
      <c r="AK532" s="45">
        <f t="shared" si="114"/>
        <v>1</v>
      </c>
      <c r="AL532" s="45">
        <f t="shared" si="115"/>
        <v>1</v>
      </c>
      <c r="AM532" s="45">
        <f t="shared" si="116"/>
        <v>1</v>
      </c>
      <c r="AN532" s="45">
        <f t="shared" si="117"/>
        <v>1</v>
      </c>
      <c r="AS532" s="50" cm="1">
        <f t="array" ref="AS532">SUMPRODUCT(($V532:$AN532&lt;=$I247)*(1))/COUNT($V532:$AN532)</f>
        <v>0</v>
      </c>
      <c r="AT532" s="50" cm="1">
        <f t="array" ref="AT532">SUMPRODUCT(($V532:$AN532&lt;=$J247)*(1))/COUNT($V532:$AN532)</f>
        <v>0</v>
      </c>
      <c r="AU532" s="50" cm="1">
        <f t="array" ref="AU532">SUMPRODUCT(($V532:$AN532&lt;=$K247)*(1))/COUNT($V532:$AN532)</f>
        <v>0</v>
      </c>
      <c r="AW532" s="52" cm="1">
        <f t="array" ref="AW532">SUMPRODUCT(($V532:$AN532&lt;=$I247)*(1))</f>
        <v>0</v>
      </c>
      <c r="AX532" s="52" cm="1">
        <f t="array" ref="AX532">SUMPRODUCT(($V532:$AN532&lt;=$J247)*(1))</f>
        <v>0</v>
      </c>
      <c r="AY532" s="52" cm="1">
        <f t="array" ref="AY532">SUMPRODUCT(($V532:$AN532&lt;=$K247)*(1))</f>
        <v>0</v>
      </c>
      <c r="BA532" s="52">
        <f t="shared" si="121"/>
        <v>0</v>
      </c>
      <c r="BB532" s="52">
        <f t="shared" si="122"/>
        <v>0</v>
      </c>
      <c r="BC532" s="52">
        <f t="shared" si="123"/>
        <v>0</v>
      </c>
      <c r="BE532" s="50">
        <f t="shared" si="118"/>
        <v>0</v>
      </c>
      <c r="BF532" s="50">
        <f t="shared" si="119"/>
        <v>0</v>
      </c>
      <c r="BG532" s="50">
        <f t="shared" si="120"/>
        <v>0</v>
      </c>
    </row>
    <row r="533" spans="4:59" ht="15.6">
      <c r="D533" s="44"/>
      <c r="M533" s="42"/>
      <c r="N533" s="39" t="s">
        <v>27</v>
      </c>
      <c r="O533" s="39" t="s">
        <v>166</v>
      </c>
      <c r="P533" t="s">
        <v>842</v>
      </c>
      <c r="R533" s="41"/>
      <c r="S533" s="42"/>
      <c r="T533" s="42"/>
      <c r="U533" s="42"/>
      <c r="V533" s="45">
        <f t="shared" si="99"/>
        <v>1</v>
      </c>
      <c r="W533" s="45">
        <f t="shared" si="100"/>
        <v>1</v>
      </c>
      <c r="X533" s="45">
        <f t="shared" si="101"/>
        <v>1</v>
      </c>
      <c r="Y533" s="45">
        <f t="shared" si="102"/>
        <v>1</v>
      </c>
      <c r="Z533" s="45">
        <f t="shared" si="103"/>
        <v>1</v>
      </c>
      <c r="AA533" s="45">
        <f t="shared" si="104"/>
        <v>1</v>
      </c>
      <c r="AB533" s="45">
        <f t="shared" si="105"/>
        <v>1</v>
      </c>
      <c r="AC533" s="45">
        <f t="shared" si="106"/>
        <v>1</v>
      </c>
      <c r="AD533" s="45">
        <f t="shared" si="107"/>
        <v>1</v>
      </c>
      <c r="AE533" s="45">
        <f t="shared" si="108"/>
        <v>1</v>
      </c>
      <c r="AF533" s="45">
        <f t="shared" si="109"/>
        <v>1</v>
      </c>
      <c r="AG533" s="45">
        <f t="shared" si="110"/>
        <v>1</v>
      </c>
      <c r="AH533" s="45">
        <f t="shared" si="111"/>
        <v>1</v>
      </c>
      <c r="AI533" s="45">
        <f t="shared" si="112"/>
        <v>1</v>
      </c>
      <c r="AJ533" s="45">
        <f t="shared" si="113"/>
        <v>1</v>
      </c>
      <c r="AK533" s="45">
        <f t="shared" si="114"/>
        <v>1</v>
      </c>
      <c r="AL533" s="45">
        <f t="shared" si="115"/>
        <v>1</v>
      </c>
      <c r="AM533" s="45">
        <f t="shared" si="116"/>
        <v>1</v>
      </c>
      <c r="AN533" s="45">
        <f t="shared" si="117"/>
        <v>1</v>
      </c>
      <c r="AS533" s="50" cm="1">
        <f t="array" ref="AS533">SUMPRODUCT(($V533:$AN533&lt;=$I248)*(1))/COUNT($V533:$AN533)</f>
        <v>0</v>
      </c>
      <c r="AT533" s="50" cm="1">
        <f t="array" ref="AT533">SUMPRODUCT(($V533:$AN533&lt;=$J248)*(1))/COUNT($V533:$AN533)</f>
        <v>0</v>
      </c>
      <c r="AU533" s="50" cm="1">
        <f t="array" ref="AU533">SUMPRODUCT(($V533:$AN533&lt;=$K248)*(1))/COUNT($V533:$AN533)</f>
        <v>0</v>
      </c>
      <c r="AW533" s="52" cm="1">
        <f t="array" ref="AW533">SUMPRODUCT(($V533:$AN533&lt;=$I248)*(1))</f>
        <v>0</v>
      </c>
      <c r="AX533" s="52" cm="1">
        <f t="array" ref="AX533">SUMPRODUCT(($V533:$AN533&lt;=$J248)*(1))</f>
        <v>0</v>
      </c>
      <c r="AY533" s="52" cm="1">
        <f t="array" ref="AY533">SUMPRODUCT(($V533:$AN533&lt;=$K248)*(1))</f>
        <v>0</v>
      </c>
      <c r="BA533" s="52">
        <f t="shared" si="121"/>
        <v>0</v>
      </c>
      <c r="BB533" s="52">
        <f t="shared" si="122"/>
        <v>0</v>
      </c>
      <c r="BC533" s="52">
        <f t="shared" si="123"/>
        <v>0</v>
      </c>
      <c r="BE533" s="50">
        <f t="shared" si="118"/>
        <v>0</v>
      </c>
      <c r="BF533" s="50">
        <f t="shared" si="119"/>
        <v>0</v>
      </c>
      <c r="BG533" s="50">
        <f t="shared" si="120"/>
        <v>0</v>
      </c>
    </row>
    <row r="534" spans="4:59" ht="15.6">
      <c r="D534" s="44"/>
      <c r="M534" s="42"/>
      <c r="N534" s="39" t="s">
        <v>27</v>
      </c>
      <c r="O534" s="39" t="s">
        <v>177</v>
      </c>
      <c r="P534" t="s">
        <v>843</v>
      </c>
      <c r="R534" s="41"/>
      <c r="S534" s="42"/>
      <c r="T534" s="42"/>
      <c r="U534" s="42"/>
      <c r="V534" s="45">
        <f t="shared" si="99"/>
        <v>1</v>
      </c>
      <c r="W534" s="45">
        <f t="shared" si="100"/>
        <v>1</v>
      </c>
      <c r="X534" s="45">
        <f t="shared" si="101"/>
        <v>1</v>
      </c>
      <c r="Y534" s="45">
        <f t="shared" si="102"/>
        <v>1</v>
      </c>
      <c r="Z534" s="45">
        <f t="shared" si="103"/>
        <v>1</v>
      </c>
      <c r="AA534" s="45">
        <f t="shared" si="104"/>
        <v>1</v>
      </c>
      <c r="AB534" s="45">
        <f t="shared" si="105"/>
        <v>1</v>
      </c>
      <c r="AC534" s="45">
        <f t="shared" si="106"/>
        <v>1</v>
      </c>
      <c r="AD534" s="45">
        <f t="shared" si="107"/>
        <v>1</v>
      </c>
      <c r="AE534" s="45">
        <f t="shared" si="108"/>
        <v>1</v>
      </c>
      <c r="AF534" s="45">
        <f t="shared" si="109"/>
        <v>1</v>
      </c>
      <c r="AG534" s="45">
        <f t="shared" si="110"/>
        <v>1</v>
      </c>
      <c r="AH534" s="45">
        <f t="shared" si="111"/>
        <v>1</v>
      </c>
      <c r="AI534" s="45">
        <f t="shared" si="112"/>
        <v>1</v>
      </c>
      <c r="AJ534" s="45">
        <f t="shared" si="113"/>
        <v>1</v>
      </c>
      <c r="AK534" s="45">
        <f t="shared" si="114"/>
        <v>1</v>
      </c>
      <c r="AL534" s="45">
        <f t="shared" si="115"/>
        <v>1</v>
      </c>
      <c r="AM534" s="45">
        <f t="shared" si="116"/>
        <v>1</v>
      </c>
      <c r="AN534" s="45">
        <f t="shared" si="117"/>
        <v>1</v>
      </c>
      <c r="AS534" s="50" cm="1">
        <f t="array" ref="AS534">SUMPRODUCT(($V534:$AN534&lt;=$I249)*(1))/COUNT($V534:$AN534)</f>
        <v>0</v>
      </c>
      <c r="AT534" s="50" cm="1">
        <f t="array" ref="AT534">SUMPRODUCT(($V534:$AN534&lt;=$J249)*(1))/COUNT($V534:$AN534)</f>
        <v>0</v>
      </c>
      <c r="AU534" s="50" cm="1">
        <f t="array" ref="AU534">SUMPRODUCT(($V534:$AN534&lt;=$K249)*(1))/COUNT($V534:$AN534)</f>
        <v>0</v>
      </c>
      <c r="AW534" s="52" cm="1">
        <f t="array" ref="AW534">SUMPRODUCT(($V534:$AN534&lt;=$I249)*(1))</f>
        <v>0</v>
      </c>
      <c r="AX534" s="52" cm="1">
        <f t="array" ref="AX534">SUMPRODUCT(($V534:$AN534&lt;=$J249)*(1))</f>
        <v>0</v>
      </c>
      <c r="AY534" s="52" cm="1">
        <f t="array" ref="AY534">SUMPRODUCT(($V534:$AN534&lt;=$K249)*(1))</f>
        <v>0</v>
      </c>
      <c r="BA534" s="52">
        <f t="shared" si="121"/>
        <v>0</v>
      </c>
      <c r="BB534" s="52">
        <f t="shared" si="122"/>
        <v>0</v>
      </c>
      <c r="BC534" s="52">
        <f t="shared" si="123"/>
        <v>0</v>
      </c>
      <c r="BE534" s="50">
        <f t="shared" si="118"/>
        <v>0</v>
      </c>
      <c r="BF534" s="50">
        <f t="shared" si="119"/>
        <v>0</v>
      </c>
      <c r="BG534" s="50">
        <f t="shared" si="120"/>
        <v>0</v>
      </c>
    </row>
    <row r="535" spans="4:59" ht="15.6">
      <c r="D535" s="44"/>
      <c r="M535" s="42"/>
      <c r="N535" s="39" t="s">
        <v>26</v>
      </c>
      <c r="O535" s="39" t="s">
        <v>594</v>
      </c>
      <c r="P535" t="s">
        <v>708</v>
      </c>
      <c r="R535" s="41"/>
      <c r="S535" s="42"/>
      <c r="T535" s="42"/>
      <c r="U535" s="42"/>
      <c r="V535" s="45">
        <f t="shared" si="99"/>
        <v>1.1783454841236365</v>
      </c>
      <c r="W535" s="45">
        <f t="shared" si="100"/>
        <v>0.9649881384401171</v>
      </c>
      <c r="X535" s="45">
        <f t="shared" si="101"/>
        <v>1.2220329028112731</v>
      </c>
      <c r="Y535" s="45">
        <f t="shared" si="102"/>
        <v>1.0320259218530501</v>
      </c>
      <c r="Z535" s="45">
        <f t="shared" si="103"/>
        <v>1.1841106671207025</v>
      </c>
      <c r="AA535" s="45">
        <f t="shared" si="104"/>
        <v>1.0741771814591283</v>
      </c>
      <c r="AB535" s="45">
        <f t="shared" si="105"/>
        <v>1</v>
      </c>
      <c r="AC535" s="45">
        <f t="shared" si="106"/>
        <v>0.79092851241760798</v>
      </c>
      <c r="AD535" s="45">
        <f t="shared" si="107"/>
        <v>0.75526014720589596</v>
      </c>
      <c r="AE535" s="45">
        <f t="shared" si="108"/>
        <v>0.70354035095344303</v>
      </c>
      <c r="AF535" s="45">
        <f t="shared" si="109"/>
        <v>0.84529199474787842</v>
      </c>
      <c r="AG535" s="45">
        <f t="shared" si="110"/>
        <v>1.2406389560232833</v>
      </c>
      <c r="AH535" s="45">
        <f t="shared" si="111"/>
        <v>0.97549063386142687</v>
      </c>
      <c r="AI535" s="45">
        <f t="shared" si="112"/>
        <v>1.32248097768934</v>
      </c>
      <c r="AJ535" s="45">
        <f t="shared" si="113"/>
        <v>1.1227763658195491</v>
      </c>
      <c r="AK535" s="45">
        <f t="shared" si="114"/>
        <v>1.2044770630512986</v>
      </c>
      <c r="AL535" s="45">
        <f t="shared" si="115"/>
        <v>1.002649483347585</v>
      </c>
      <c r="AM535" s="45">
        <f t="shared" si="116"/>
        <v>1.0644098451640691</v>
      </c>
      <c r="AN535" s="45">
        <f t="shared" si="117"/>
        <v>0.76733815392931559</v>
      </c>
      <c r="AS535" s="50" cm="1">
        <f t="array" ref="AS535">SUMPRODUCT(($V535:$AN535&lt;=$I250)*(1))/COUNT($V535:$AN535)</f>
        <v>0.26315789473684209</v>
      </c>
      <c r="AT535" s="50" cm="1">
        <f t="array" ref="AT535">SUMPRODUCT(($V535:$AN535&lt;=$J250)*(1))/COUNT($V535:$AN535)</f>
        <v>0.26315789473684209</v>
      </c>
      <c r="AU535" s="50" cm="1">
        <f t="array" ref="AU535">SUMPRODUCT(($V535:$AN535&lt;=$K250)*(1))/COUNT($V535:$AN535)</f>
        <v>5.2631578947368418E-2</v>
      </c>
      <c r="AW535" s="52" cm="1">
        <f t="array" ref="AW535">SUMPRODUCT(($V535:$AN535&lt;=$I250)*(1))</f>
        <v>5</v>
      </c>
      <c r="AX535" s="52" cm="1">
        <f t="array" ref="AX535">SUMPRODUCT(($V535:$AN535&lt;=$J250)*(1))</f>
        <v>5</v>
      </c>
      <c r="AY535" s="52" cm="1">
        <f t="array" ref="AY535">SUMPRODUCT(($V535:$AN535&lt;=$K250)*(1))</f>
        <v>1</v>
      </c>
      <c r="BA535" s="52">
        <f t="shared" si="121"/>
        <v>0</v>
      </c>
      <c r="BB535" s="52">
        <f t="shared" si="122"/>
        <v>4</v>
      </c>
      <c r="BC535" s="52">
        <f t="shared" si="123"/>
        <v>1</v>
      </c>
      <c r="BE535" s="50">
        <f t="shared" si="118"/>
        <v>0</v>
      </c>
      <c r="BF535" s="50">
        <f t="shared" si="119"/>
        <v>0.21052631578947367</v>
      </c>
      <c r="BG535" s="50">
        <f t="shared" si="120"/>
        <v>5.2631578947368418E-2</v>
      </c>
    </row>
    <row r="536" spans="4:59" ht="15.6">
      <c r="D536" s="44"/>
      <c r="M536" s="42"/>
      <c r="N536" s="39" t="s">
        <v>27</v>
      </c>
      <c r="O536" s="39" t="s">
        <v>331</v>
      </c>
      <c r="P536" s="89" t="s">
        <v>337</v>
      </c>
      <c r="R536" s="41"/>
      <c r="S536" s="42"/>
      <c r="T536" s="42"/>
      <c r="U536" s="42"/>
      <c r="V536" s="45">
        <f t="shared" si="99"/>
        <v>1</v>
      </c>
      <c r="W536" s="45">
        <f t="shared" si="100"/>
        <v>1</v>
      </c>
      <c r="X536" s="45">
        <f t="shared" si="101"/>
        <v>1</v>
      </c>
      <c r="Y536" s="45">
        <f t="shared" si="102"/>
        <v>1</v>
      </c>
      <c r="Z536" s="45">
        <f t="shared" si="103"/>
        <v>1</v>
      </c>
      <c r="AA536" s="45">
        <f t="shared" si="104"/>
        <v>1</v>
      </c>
      <c r="AB536" s="45">
        <f t="shared" si="105"/>
        <v>1</v>
      </c>
      <c r="AC536" s="45">
        <f t="shared" si="106"/>
        <v>1</v>
      </c>
      <c r="AD536" s="45">
        <f t="shared" si="107"/>
        <v>1</v>
      </c>
      <c r="AE536" s="45">
        <f t="shared" si="108"/>
        <v>1</v>
      </c>
      <c r="AF536" s="45">
        <f t="shared" si="109"/>
        <v>1</v>
      </c>
      <c r="AG536" s="45">
        <f t="shared" si="110"/>
        <v>1</v>
      </c>
      <c r="AH536" s="45">
        <f t="shared" si="111"/>
        <v>1</v>
      </c>
      <c r="AI536" s="45">
        <f t="shared" si="112"/>
        <v>1</v>
      </c>
      <c r="AJ536" s="45">
        <f t="shared" si="113"/>
        <v>1</v>
      </c>
      <c r="AK536" s="45">
        <f t="shared" si="114"/>
        <v>1</v>
      </c>
      <c r="AL536" s="45">
        <f t="shared" si="115"/>
        <v>1</v>
      </c>
      <c r="AM536" s="45">
        <f t="shared" si="116"/>
        <v>1</v>
      </c>
      <c r="AN536" s="45">
        <f t="shared" si="117"/>
        <v>1</v>
      </c>
      <c r="AS536" s="50" cm="1">
        <f t="array" ref="AS536">SUMPRODUCT(($V536:$AN536&lt;=$I251)*(1))/COUNT($V536:$AN536)</f>
        <v>0</v>
      </c>
      <c r="AT536" s="50" cm="1">
        <f t="array" ref="AT536">SUMPRODUCT(($V536:$AN536&lt;=$J251)*(1))/COUNT($V536:$AN536)</f>
        <v>0</v>
      </c>
      <c r="AU536" s="50" cm="1">
        <f t="array" ref="AU536">SUMPRODUCT(($V536:$AN536&lt;=$K251)*(1))/COUNT($V536:$AN536)</f>
        <v>0</v>
      </c>
      <c r="AW536" s="52" cm="1">
        <f t="array" ref="AW536">SUMPRODUCT(($V536:$AN536&lt;=$I251)*(1))</f>
        <v>0</v>
      </c>
      <c r="AX536" s="52" cm="1">
        <f t="array" ref="AX536">SUMPRODUCT(($V536:$AN536&lt;=$J251)*(1))</f>
        <v>0</v>
      </c>
      <c r="AY536" s="52" cm="1">
        <f t="array" ref="AY536">SUMPRODUCT(($V536:$AN536&lt;=$K251)*(1))</f>
        <v>0</v>
      </c>
      <c r="BA536" s="52">
        <f t="shared" si="121"/>
        <v>0</v>
      </c>
      <c r="BB536" s="52">
        <f t="shared" si="122"/>
        <v>0</v>
      </c>
      <c r="BC536" s="52">
        <f t="shared" si="123"/>
        <v>0</v>
      </c>
      <c r="BE536" s="50">
        <f t="shared" si="118"/>
        <v>0</v>
      </c>
      <c r="BF536" s="50">
        <f t="shared" si="119"/>
        <v>0</v>
      </c>
      <c r="BG536" s="50">
        <f t="shared" si="120"/>
        <v>0</v>
      </c>
    </row>
    <row r="537" spans="4:59" ht="15.6">
      <c r="D537" s="44"/>
      <c r="M537" s="42"/>
      <c r="N537" s="39" t="s">
        <v>27</v>
      </c>
      <c r="O537" s="39" t="s">
        <v>555</v>
      </c>
      <c r="P537" t="s">
        <v>844</v>
      </c>
      <c r="R537" s="41"/>
      <c r="S537" s="42"/>
      <c r="T537" s="42"/>
      <c r="U537" s="42"/>
      <c r="V537" s="45">
        <f t="shared" si="99"/>
        <v>0.98259588288093869</v>
      </c>
      <c r="W537" s="45">
        <f t="shared" si="100"/>
        <v>0.91238986107120978</v>
      </c>
      <c r="X537" s="45">
        <f t="shared" si="101"/>
        <v>1.2356874385593357</v>
      </c>
      <c r="Y537" s="45">
        <f t="shared" si="102"/>
        <v>1.0116246333268637</v>
      </c>
      <c r="Z537" s="45">
        <f t="shared" si="103"/>
        <v>0.79657003025872131</v>
      </c>
      <c r="AA537" s="45">
        <f t="shared" si="104"/>
        <v>1.0025586619834244</v>
      </c>
      <c r="AB537" s="45">
        <f t="shared" si="105"/>
        <v>1.1251685503721618</v>
      </c>
      <c r="AC537" s="45">
        <f t="shared" si="106"/>
        <v>1.108073897390552</v>
      </c>
      <c r="AD537" s="45">
        <f t="shared" si="107"/>
        <v>0.88206265417838903</v>
      </c>
      <c r="AE537" s="45">
        <f t="shared" si="108"/>
        <v>0.83449455920097904</v>
      </c>
      <c r="AF537" s="45">
        <f t="shared" si="109"/>
        <v>0.92931492804357263</v>
      </c>
      <c r="AG537" s="45">
        <f t="shared" si="110"/>
        <v>0.99620244155531945</v>
      </c>
      <c r="AH537" s="45">
        <f t="shared" si="111"/>
        <v>1.1041531665411115</v>
      </c>
      <c r="AI537" s="45">
        <f t="shared" si="112"/>
        <v>1.0281851029309037</v>
      </c>
      <c r="AJ537" s="45">
        <f t="shared" si="113"/>
        <v>1.0510972314910378</v>
      </c>
      <c r="AK537" s="45">
        <f t="shared" si="114"/>
        <v>1.0440511626054509</v>
      </c>
      <c r="AL537" s="45">
        <f t="shared" si="115"/>
        <v>1.1485400144938445</v>
      </c>
      <c r="AM537" s="45">
        <f t="shared" si="116"/>
        <v>1.0994558661019691</v>
      </c>
      <c r="AN537" s="45">
        <f t="shared" si="117"/>
        <v>0.9678986058604665</v>
      </c>
      <c r="AS537" s="50" cm="1">
        <f t="array" ref="AS537">SUMPRODUCT(($V537:$AN537&lt;=$I252)*(1))/COUNT($V537:$AN537)</f>
        <v>0.26315789473684209</v>
      </c>
      <c r="AT537" s="50" cm="1">
        <f t="array" ref="AT537">SUMPRODUCT(($V537:$AN537&lt;=$J252)*(1))/COUNT($V537:$AN537)</f>
        <v>0.10526315789473684</v>
      </c>
      <c r="AU537" s="50" cm="1">
        <f t="array" ref="AU537">SUMPRODUCT(($V537:$AN537&lt;=$K252)*(1))/COUNT($V537:$AN537)</f>
        <v>0</v>
      </c>
      <c r="AW537" s="52" cm="1">
        <f t="array" ref="AW537">SUMPRODUCT(($V537:$AN537&lt;=$I252)*(1))</f>
        <v>5</v>
      </c>
      <c r="AX537" s="52" cm="1">
        <f t="array" ref="AX537">SUMPRODUCT(($V537:$AN537&lt;=$J252)*(1))</f>
        <v>2</v>
      </c>
      <c r="AY537" s="52" cm="1">
        <f t="array" ref="AY537">SUMPRODUCT(($V537:$AN537&lt;=$K252)*(1))</f>
        <v>0</v>
      </c>
      <c r="BA537" s="52">
        <f t="shared" si="121"/>
        <v>3</v>
      </c>
      <c r="BB537" s="52">
        <f t="shared" si="122"/>
        <v>2</v>
      </c>
      <c r="BC537" s="52">
        <f t="shared" si="123"/>
        <v>0</v>
      </c>
      <c r="BE537" s="50">
        <f t="shared" si="118"/>
        <v>0.15789473684210525</v>
      </c>
      <c r="BF537" s="50">
        <f t="shared" si="119"/>
        <v>0.10526315789473684</v>
      </c>
      <c r="BG537" s="50">
        <f t="shared" si="120"/>
        <v>0</v>
      </c>
    </row>
    <row r="538" spans="4:59" ht="15.6">
      <c r="D538" s="44"/>
      <c r="M538" s="42"/>
      <c r="N538" s="39" t="s">
        <v>27</v>
      </c>
      <c r="O538" s="39" t="s">
        <v>517</v>
      </c>
      <c r="P538" t="s">
        <v>845</v>
      </c>
      <c r="R538" s="41"/>
      <c r="S538" s="42"/>
      <c r="T538" s="42"/>
      <c r="U538" s="42"/>
      <c r="V538" s="45">
        <f t="shared" si="99"/>
        <v>1.0849295362548039</v>
      </c>
      <c r="W538" s="45">
        <f t="shared" si="100"/>
        <v>1.0631488265696503</v>
      </c>
      <c r="X538" s="45">
        <f t="shared" si="101"/>
        <v>1.1647784606506102</v>
      </c>
      <c r="Y538" s="45">
        <f t="shared" si="102"/>
        <v>0.97572434632599248</v>
      </c>
      <c r="Z538" s="45">
        <f t="shared" si="103"/>
        <v>1.0144172366008994</v>
      </c>
      <c r="AA538" s="45">
        <f t="shared" si="104"/>
        <v>1.0065136087815432</v>
      </c>
      <c r="AB538" s="45">
        <f t="shared" si="105"/>
        <v>1.0055363429938027</v>
      </c>
      <c r="AC538" s="45">
        <f t="shared" si="106"/>
        <v>0.81657573166408992</v>
      </c>
      <c r="AD538" s="45">
        <f t="shared" si="107"/>
        <v>0.79539974024068028</v>
      </c>
      <c r="AE538" s="45">
        <f t="shared" si="108"/>
        <v>0.77724587297741921</v>
      </c>
      <c r="AF538" s="45">
        <f t="shared" si="109"/>
        <v>0.87435380143633645</v>
      </c>
      <c r="AG538" s="45">
        <f t="shared" si="110"/>
        <v>1.2988321705816279</v>
      </c>
      <c r="AH538" s="45">
        <f t="shared" si="111"/>
        <v>1.3000321866564164</v>
      </c>
      <c r="AI538" s="45">
        <f t="shared" si="112"/>
        <v>1.2093965575321071</v>
      </c>
      <c r="AJ538" s="45">
        <f t="shared" si="113"/>
        <v>0.84825726980508898</v>
      </c>
      <c r="AK538" s="45">
        <f t="shared" si="114"/>
        <v>1.1445082366010357</v>
      </c>
      <c r="AL538" s="45">
        <f t="shared" si="115"/>
        <v>1.0601457692529477</v>
      </c>
      <c r="AM538" s="45">
        <f t="shared" si="116"/>
        <v>1.0045821436910216</v>
      </c>
      <c r="AN538" s="45">
        <f t="shared" si="117"/>
        <v>0.86718439153839455</v>
      </c>
      <c r="AS538" s="50" cm="1">
        <f t="array" ref="AS538">SUMPRODUCT(($V538:$AN538&lt;=$I253)*(1))/COUNT($V538:$AN538)</f>
        <v>0.31578947368421051</v>
      </c>
      <c r="AT538" s="50" cm="1">
        <f t="array" ref="AT538">SUMPRODUCT(($V538:$AN538&lt;=$J253)*(1))/COUNT($V538:$AN538)</f>
        <v>0.21052631578947367</v>
      </c>
      <c r="AU538" s="50" cm="1">
        <f t="array" ref="AU538">SUMPRODUCT(($V538:$AN538&lt;=$K253)*(1))/COUNT($V538:$AN538)</f>
        <v>0</v>
      </c>
      <c r="AW538" s="52" cm="1">
        <f t="array" ref="AW538">SUMPRODUCT(($V538:$AN538&lt;=$I253)*(1))</f>
        <v>6</v>
      </c>
      <c r="AX538" s="52" cm="1">
        <f t="array" ref="AX538">SUMPRODUCT(($V538:$AN538&lt;=$J253)*(1))</f>
        <v>4</v>
      </c>
      <c r="AY538" s="52" cm="1">
        <f t="array" ref="AY538">SUMPRODUCT(($V538:$AN538&lt;=$K253)*(1))</f>
        <v>0</v>
      </c>
      <c r="BA538" s="52">
        <f t="shared" si="121"/>
        <v>2</v>
      </c>
      <c r="BB538" s="52">
        <f t="shared" si="122"/>
        <v>4</v>
      </c>
      <c r="BC538" s="52">
        <f t="shared" si="123"/>
        <v>0</v>
      </c>
      <c r="BE538" s="50">
        <f t="shared" si="118"/>
        <v>0.10526315789473684</v>
      </c>
      <c r="BF538" s="50">
        <f t="shared" si="119"/>
        <v>0.21052631578947367</v>
      </c>
      <c r="BG538" s="50">
        <f t="shared" si="120"/>
        <v>0</v>
      </c>
    </row>
    <row r="539" spans="4:59" ht="15.6">
      <c r="D539" s="44"/>
      <c r="M539" s="42"/>
      <c r="N539" s="39" t="s">
        <v>27</v>
      </c>
      <c r="O539" s="39" t="s">
        <v>517</v>
      </c>
      <c r="P539" t="s">
        <v>846</v>
      </c>
      <c r="R539" s="41"/>
      <c r="S539" s="42"/>
      <c r="T539" s="42"/>
      <c r="U539" s="42"/>
      <c r="V539" s="45">
        <f t="shared" si="99"/>
        <v>1.1128945675709474</v>
      </c>
      <c r="W539" s="45">
        <f t="shared" si="100"/>
        <v>0.98529311767304684</v>
      </c>
      <c r="X539" s="45">
        <f t="shared" si="101"/>
        <v>1.1242459159725806</v>
      </c>
      <c r="Y539" s="45">
        <f t="shared" si="102"/>
        <v>0.97401781612239879</v>
      </c>
      <c r="Z539" s="45">
        <f t="shared" si="103"/>
        <v>1.0651633702608256</v>
      </c>
      <c r="AA539" s="45">
        <f t="shared" si="104"/>
        <v>1.0201421771945998</v>
      </c>
      <c r="AB539" s="45">
        <f t="shared" si="105"/>
        <v>1.0097098282042039</v>
      </c>
      <c r="AC539" s="45">
        <f t="shared" si="106"/>
        <v>0.77840438484869123</v>
      </c>
      <c r="AD539" s="45">
        <f t="shared" si="107"/>
        <v>0.76602457130711821</v>
      </c>
      <c r="AE539" s="45">
        <f t="shared" si="108"/>
        <v>0.77498485046662102</v>
      </c>
      <c r="AF539" s="45">
        <f t="shared" si="109"/>
        <v>0.85727633496181443</v>
      </c>
      <c r="AG539" s="45">
        <f t="shared" si="110"/>
        <v>1.341239256481803</v>
      </c>
      <c r="AH539" s="45">
        <f t="shared" si="111"/>
        <v>1.3047615661054595</v>
      </c>
      <c r="AI539" s="45">
        <f t="shared" si="112"/>
        <v>1.1628525831491545</v>
      </c>
      <c r="AJ539" s="45">
        <f t="shared" si="113"/>
        <v>0.84255154938990728</v>
      </c>
      <c r="AK539" s="45">
        <f t="shared" si="114"/>
        <v>1.2048921900458429</v>
      </c>
      <c r="AL539" s="45">
        <f t="shared" si="115"/>
        <v>1.0264666594151126</v>
      </c>
      <c r="AM539" s="45">
        <f t="shared" si="116"/>
        <v>0.99051121001764253</v>
      </c>
      <c r="AN539" s="45">
        <f t="shared" si="117"/>
        <v>0.88801072805682146</v>
      </c>
      <c r="AS539" s="50" cm="1">
        <f t="array" ref="AS539">SUMPRODUCT(($V539:$AN539&lt;=$I254)*(1))/COUNT($V539:$AN539)</f>
        <v>0.31578947368421051</v>
      </c>
      <c r="AT539" s="50" cm="1">
        <f t="array" ref="AT539">SUMPRODUCT(($V539:$AN539&lt;=$J254)*(1))/COUNT($V539:$AN539)</f>
        <v>0.21052631578947367</v>
      </c>
      <c r="AU539" s="50" cm="1">
        <f t="array" ref="AU539">SUMPRODUCT(($V539:$AN539&lt;=$K254)*(1))/COUNT($V539:$AN539)</f>
        <v>0</v>
      </c>
      <c r="AW539" s="52" cm="1">
        <f t="array" ref="AW539">SUMPRODUCT(($V539:$AN539&lt;=$I254)*(1))</f>
        <v>6</v>
      </c>
      <c r="AX539" s="52" cm="1">
        <f t="array" ref="AX539">SUMPRODUCT(($V539:$AN539&lt;=$J254)*(1))</f>
        <v>4</v>
      </c>
      <c r="AY539" s="52" cm="1">
        <f t="array" ref="AY539">SUMPRODUCT(($V539:$AN539&lt;=$K254)*(1))</f>
        <v>0</v>
      </c>
      <c r="BA539" s="52">
        <f t="shared" si="121"/>
        <v>2</v>
      </c>
      <c r="BB539" s="52">
        <f t="shared" si="122"/>
        <v>4</v>
      </c>
      <c r="BC539" s="52">
        <f t="shared" si="123"/>
        <v>0</v>
      </c>
      <c r="BE539" s="50">
        <f t="shared" si="118"/>
        <v>0.10526315789473684</v>
      </c>
      <c r="BF539" s="50">
        <f t="shared" si="119"/>
        <v>0.21052631578947367</v>
      </c>
      <c r="BG539" s="50">
        <f t="shared" si="120"/>
        <v>0</v>
      </c>
    </row>
    <row r="540" spans="4:59" ht="15.6">
      <c r="D540" s="44"/>
      <c r="M540" s="42"/>
      <c r="N540" s="39" t="s">
        <v>27</v>
      </c>
      <c r="O540" s="39" t="s">
        <v>166</v>
      </c>
      <c r="P540" t="s">
        <v>847</v>
      </c>
      <c r="R540" s="41"/>
      <c r="S540" s="42"/>
      <c r="T540" s="42"/>
      <c r="U540" s="42"/>
      <c r="V540" s="45">
        <f t="shared" si="99"/>
        <v>1</v>
      </c>
      <c r="W540" s="45">
        <f t="shared" si="100"/>
        <v>1</v>
      </c>
      <c r="X540" s="45">
        <f t="shared" si="101"/>
        <v>1</v>
      </c>
      <c r="Y540" s="45">
        <f t="shared" si="102"/>
        <v>1</v>
      </c>
      <c r="Z540" s="45">
        <f t="shared" si="103"/>
        <v>1</v>
      </c>
      <c r="AA540" s="45">
        <f t="shared" si="104"/>
        <v>1</v>
      </c>
      <c r="AB540" s="45">
        <f t="shared" si="105"/>
        <v>1</v>
      </c>
      <c r="AC540" s="45">
        <f t="shared" si="106"/>
        <v>1</v>
      </c>
      <c r="AD540" s="45">
        <f t="shared" si="107"/>
        <v>1</v>
      </c>
      <c r="AE540" s="45">
        <f t="shared" si="108"/>
        <v>1</v>
      </c>
      <c r="AF540" s="45">
        <f t="shared" si="109"/>
        <v>1</v>
      </c>
      <c r="AG540" s="45">
        <f t="shared" si="110"/>
        <v>1</v>
      </c>
      <c r="AH540" s="45">
        <f t="shared" si="111"/>
        <v>1</v>
      </c>
      <c r="AI540" s="45">
        <f t="shared" si="112"/>
        <v>1</v>
      </c>
      <c r="AJ540" s="45">
        <f t="shared" si="113"/>
        <v>1</v>
      </c>
      <c r="AK540" s="45">
        <f t="shared" si="114"/>
        <v>1</v>
      </c>
      <c r="AL540" s="45">
        <f t="shared" si="115"/>
        <v>1</v>
      </c>
      <c r="AM540" s="45">
        <f t="shared" si="116"/>
        <v>1</v>
      </c>
      <c r="AN540" s="45">
        <f t="shared" si="117"/>
        <v>1</v>
      </c>
      <c r="AS540" s="50" cm="1">
        <f t="array" ref="AS540">SUMPRODUCT(($V540:$AN540&lt;=$I255)*(1))/COUNT($V540:$AN540)</f>
        <v>0</v>
      </c>
      <c r="AT540" s="50" cm="1">
        <f t="array" ref="AT540">SUMPRODUCT(($V540:$AN540&lt;=$J255)*(1))/COUNT($V540:$AN540)</f>
        <v>0</v>
      </c>
      <c r="AU540" s="50" cm="1">
        <f t="array" ref="AU540">SUMPRODUCT(($V540:$AN540&lt;=$K255)*(1))/COUNT($V540:$AN540)</f>
        <v>0</v>
      </c>
      <c r="AW540" s="52" cm="1">
        <f t="array" ref="AW540">SUMPRODUCT(($V540:$AN540&lt;=$I255)*(1))</f>
        <v>0</v>
      </c>
      <c r="AX540" s="52" cm="1">
        <f t="array" ref="AX540">SUMPRODUCT(($V540:$AN540&lt;=$J255)*(1))</f>
        <v>0</v>
      </c>
      <c r="AY540" s="52" cm="1">
        <f t="array" ref="AY540">SUMPRODUCT(($V540:$AN540&lt;=$K255)*(1))</f>
        <v>0</v>
      </c>
      <c r="BA540" s="52">
        <f t="shared" si="121"/>
        <v>0</v>
      </c>
      <c r="BB540" s="52">
        <f t="shared" si="122"/>
        <v>0</v>
      </c>
      <c r="BC540" s="52">
        <f t="shared" si="123"/>
        <v>0</v>
      </c>
      <c r="BE540" s="50">
        <f t="shared" si="118"/>
        <v>0</v>
      </c>
      <c r="BF540" s="50">
        <f t="shared" si="119"/>
        <v>0</v>
      </c>
      <c r="BG540" s="50">
        <f t="shared" si="120"/>
        <v>0</v>
      </c>
    </row>
    <row r="541" spans="4:59" ht="15.6">
      <c r="D541" s="44"/>
      <c r="M541" s="42"/>
      <c r="N541" s="39" t="s">
        <v>27</v>
      </c>
      <c r="O541" s="39" t="s">
        <v>489</v>
      </c>
      <c r="P541" t="s">
        <v>848</v>
      </c>
      <c r="R541" s="41"/>
      <c r="S541" s="42"/>
      <c r="T541" s="42"/>
      <c r="U541" s="42"/>
      <c r="V541" s="45">
        <f t="shared" si="99"/>
        <v>1</v>
      </c>
      <c r="W541" s="45">
        <f t="shared" si="100"/>
        <v>1</v>
      </c>
      <c r="X541" s="45">
        <f t="shared" si="101"/>
        <v>1</v>
      </c>
      <c r="Y541" s="45">
        <f t="shared" si="102"/>
        <v>1</v>
      </c>
      <c r="Z541" s="45">
        <f t="shared" si="103"/>
        <v>1</v>
      </c>
      <c r="AA541" s="45">
        <f t="shared" si="104"/>
        <v>1</v>
      </c>
      <c r="AB541" s="45">
        <f t="shared" si="105"/>
        <v>1</v>
      </c>
      <c r="AC541" s="45">
        <f t="shared" si="106"/>
        <v>1</v>
      </c>
      <c r="AD541" s="45">
        <f t="shared" si="107"/>
        <v>1</v>
      </c>
      <c r="AE541" s="45">
        <f t="shared" si="108"/>
        <v>1</v>
      </c>
      <c r="AF541" s="45">
        <f t="shared" si="109"/>
        <v>1</v>
      </c>
      <c r="AG541" s="45">
        <f t="shared" si="110"/>
        <v>1</v>
      </c>
      <c r="AH541" s="45">
        <f t="shared" si="111"/>
        <v>1</v>
      </c>
      <c r="AI541" s="45">
        <f t="shared" si="112"/>
        <v>1</v>
      </c>
      <c r="AJ541" s="45">
        <f t="shared" si="113"/>
        <v>1</v>
      </c>
      <c r="AK541" s="45">
        <f t="shared" si="114"/>
        <v>1</v>
      </c>
      <c r="AL541" s="45">
        <f t="shared" si="115"/>
        <v>1</v>
      </c>
      <c r="AM541" s="45">
        <f t="shared" si="116"/>
        <v>1</v>
      </c>
      <c r="AN541" s="45">
        <f t="shared" si="117"/>
        <v>1</v>
      </c>
      <c r="AS541" s="50" cm="1">
        <f t="array" ref="AS541">SUMPRODUCT(($V541:$AN541&lt;=$I256)*(1))/COUNT($V541:$AN541)</f>
        <v>0</v>
      </c>
      <c r="AT541" s="50" cm="1">
        <f t="array" ref="AT541">SUMPRODUCT(($V541:$AN541&lt;=$J256)*(1))/COUNT($V541:$AN541)</f>
        <v>0</v>
      </c>
      <c r="AU541" s="50" cm="1">
        <f t="array" ref="AU541">SUMPRODUCT(($V541:$AN541&lt;=$K256)*(1))/COUNT($V541:$AN541)</f>
        <v>0</v>
      </c>
      <c r="AW541" s="52" cm="1">
        <f t="array" ref="AW541">SUMPRODUCT(($V541:$AN541&lt;=$I256)*(1))</f>
        <v>0</v>
      </c>
      <c r="AX541" s="52" cm="1">
        <f t="array" ref="AX541">SUMPRODUCT(($V541:$AN541&lt;=$J256)*(1))</f>
        <v>0</v>
      </c>
      <c r="AY541" s="52" cm="1">
        <f t="array" ref="AY541">SUMPRODUCT(($V541:$AN541&lt;=$K256)*(1))</f>
        <v>0</v>
      </c>
      <c r="BA541" s="52">
        <f t="shared" si="121"/>
        <v>0</v>
      </c>
      <c r="BB541" s="52">
        <f t="shared" si="122"/>
        <v>0</v>
      </c>
      <c r="BC541" s="52">
        <f t="shared" si="123"/>
        <v>0</v>
      </c>
      <c r="BE541" s="50">
        <f t="shared" si="118"/>
        <v>0</v>
      </c>
      <c r="BF541" s="50">
        <f t="shared" si="119"/>
        <v>0</v>
      </c>
      <c r="BG541" s="50">
        <f t="shared" si="120"/>
        <v>0</v>
      </c>
    </row>
    <row r="542" spans="4:59" ht="15.6">
      <c r="D542" s="44"/>
      <c r="M542" s="42"/>
      <c r="N542" s="39" t="s">
        <v>27</v>
      </c>
      <c r="O542" s="39" t="s">
        <v>484</v>
      </c>
      <c r="P542" t="s">
        <v>849</v>
      </c>
      <c r="R542" s="41"/>
      <c r="S542" s="42"/>
      <c r="T542" s="42"/>
      <c r="U542" s="42"/>
      <c r="V542" s="45">
        <f t="shared" si="99"/>
        <v>1</v>
      </c>
      <c r="W542" s="45">
        <f t="shared" si="100"/>
        <v>1</v>
      </c>
      <c r="X542" s="45">
        <f t="shared" si="101"/>
        <v>1</v>
      </c>
      <c r="Y542" s="45">
        <f t="shared" si="102"/>
        <v>1</v>
      </c>
      <c r="Z542" s="45">
        <f t="shared" si="103"/>
        <v>1</v>
      </c>
      <c r="AA542" s="45">
        <f t="shared" si="104"/>
        <v>1</v>
      </c>
      <c r="AB542" s="45">
        <f t="shared" si="105"/>
        <v>1</v>
      </c>
      <c r="AC542" s="45">
        <f t="shared" si="106"/>
        <v>1</v>
      </c>
      <c r="AD542" s="45">
        <f t="shared" si="107"/>
        <v>0.95434440025263101</v>
      </c>
      <c r="AE542" s="45">
        <f t="shared" si="108"/>
        <v>0.98336050201109804</v>
      </c>
      <c r="AF542" s="45">
        <f t="shared" si="109"/>
        <v>1</v>
      </c>
      <c r="AG542" s="45">
        <f t="shared" si="110"/>
        <v>1</v>
      </c>
      <c r="AH542" s="45">
        <f t="shared" si="111"/>
        <v>1</v>
      </c>
      <c r="AI542" s="45">
        <f t="shared" si="112"/>
        <v>0.99968517765119203</v>
      </c>
      <c r="AJ542" s="45">
        <f t="shared" si="113"/>
        <v>0.99624611859712109</v>
      </c>
      <c r="AK542" s="45">
        <f t="shared" si="114"/>
        <v>1</v>
      </c>
      <c r="AL542" s="45">
        <f t="shared" si="115"/>
        <v>1</v>
      </c>
      <c r="AM542" s="45">
        <f t="shared" si="116"/>
        <v>1</v>
      </c>
      <c r="AN542" s="45">
        <f t="shared" si="117"/>
        <v>1</v>
      </c>
      <c r="AS542" s="50" cm="1">
        <f t="array" ref="AS542">SUMPRODUCT(($V542:$AN542&lt;=$I257)*(1))/COUNT($V542:$AN542)</f>
        <v>0</v>
      </c>
      <c r="AT542" s="50" cm="1">
        <f t="array" ref="AT542">SUMPRODUCT(($V542:$AN542&lt;=$J257)*(1))/COUNT($V542:$AN542)</f>
        <v>0</v>
      </c>
      <c r="AU542" s="50" cm="1">
        <f t="array" ref="AU542">SUMPRODUCT(($V542:$AN542&lt;=$K257)*(1))/COUNT($V542:$AN542)</f>
        <v>0</v>
      </c>
      <c r="AW542" s="52" cm="1">
        <f t="array" ref="AW542">SUMPRODUCT(($V542:$AN542&lt;=$I257)*(1))</f>
        <v>0</v>
      </c>
      <c r="AX542" s="52" cm="1">
        <f t="array" ref="AX542">SUMPRODUCT(($V542:$AN542&lt;=$J257)*(1))</f>
        <v>0</v>
      </c>
      <c r="AY542" s="52" cm="1">
        <f t="array" ref="AY542">SUMPRODUCT(($V542:$AN542&lt;=$K257)*(1))</f>
        <v>0</v>
      </c>
      <c r="BA542" s="52">
        <f t="shared" si="121"/>
        <v>0</v>
      </c>
      <c r="BB542" s="52">
        <f t="shared" si="122"/>
        <v>0</v>
      </c>
      <c r="BC542" s="52">
        <f t="shared" si="123"/>
        <v>0</v>
      </c>
      <c r="BE542" s="50">
        <f t="shared" si="118"/>
        <v>0</v>
      </c>
      <c r="BF542" s="50">
        <f t="shared" si="119"/>
        <v>0</v>
      </c>
      <c r="BG542" s="50">
        <f t="shared" si="120"/>
        <v>0</v>
      </c>
    </row>
    <row r="543" spans="4:59" ht="15.6">
      <c r="D543" s="44"/>
      <c r="M543" s="42"/>
      <c r="N543" s="39" t="s">
        <v>27</v>
      </c>
      <c r="O543" s="39" t="s">
        <v>542</v>
      </c>
      <c r="P543" t="s">
        <v>850</v>
      </c>
      <c r="R543" s="41"/>
      <c r="S543" s="42"/>
      <c r="T543" s="42"/>
      <c r="U543" s="42"/>
      <c r="V543" s="45">
        <f t="shared" si="99"/>
        <v>1</v>
      </c>
      <c r="W543" s="45">
        <f t="shared" si="100"/>
        <v>0.91506068406989005</v>
      </c>
      <c r="X543" s="45">
        <f t="shared" si="101"/>
        <v>1</v>
      </c>
      <c r="Y543" s="45">
        <f t="shared" si="102"/>
        <v>1</v>
      </c>
      <c r="Z543" s="45">
        <f t="shared" si="103"/>
        <v>1</v>
      </c>
      <c r="AA543" s="45">
        <f t="shared" si="104"/>
        <v>0.92139082394806593</v>
      </c>
      <c r="AB543" s="45">
        <f t="shared" si="105"/>
        <v>1</v>
      </c>
      <c r="AC543" s="45">
        <f t="shared" si="106"/>
        <v>1</v>
      </c>
      <c r="AD543" s="45">
        <f t="shared" si="107"/>
        <v>0.94602554249259596</v>
      </c>
      <c r="AE543" s="45">
        <f t="shared" si="108"/>
        <v>0.982941402822745</v>
      </c>
      <c r="AF543" s="45">
        <f t="shared" si="109"/>
        <v>0.94156421123313694</v>
      </c>
      <c r="AG543" s="45">
        <f t="shared" si="110"/>
        <v>1.0010666661649872</v>
      </c>
      <c r="AH543" s="45">
        <f t="shared" si="111"/>
        <v>1.0173546430420646</v>
      </c>
      <c r="AI543" s="45">
        <f t="shared" si="112"/>
        <v>1.0173546430420646</v>
      </c>
      <c r="AJ543" s="45">
        <f t="shared" si="113"/>
        <v>1.0046916631811449</v>
      </c>
      <c r="AK543" s="45">
        <f t="shared" si="114"/>
        <v>1.0115248874841596</v>
      </c>
      <c r="AL543" s="45">
        <f t="shared" si="115"/>
        <v>1</v>
      </c>
      <c r="AM543" s="45">
        <f t="shared" si="116"/>
        <v>1</v>
      </c>
      <c r="AN543" s="45">
        <f t="shared" si="117"/>
        <v>0.99512449817988691</v>
      </c>
      <c r="AS543" s="50" cm="1">
        <f t="array" ref="AS543">SUMPRODUCT(($V543:$AN543&lt;=$I258)*(1))/COUNT($V543:$AN543)</f>
        <v>0.21052631578947367</v>
      </c>
      <c r="AT543" s="50" cm="1">
        <f t="array" ref="AT543">SUMPRODUCT(($V543:$AN543&lt;=$J258)*(1))/COUNT($V543:$AN543)</f>
        <v>0</v>
      </c>
      <c r="AU543" s="50" cm="1">
        <f t="array" ref="AU543">SUMPRODUCT(($V543:$AN543&lt;=$K258)*(1))/COUNT($V543:$AN543)</f>
        <v>0</v>
      </c>
      <c r="AW543" s="52" cm="1">
        <f t="array" ref="AW543">SUMPRODUCT(($V543:$AN543&lt;=$I258)*(1))</f>
        <v>4</v>
      </c>
      <c r="AX543" s="52" cm="1">
        <f t="array" ref="AX543">SUMPRODUCT(($V543:$AN543&lt;=$J258)*(1))</f>
        <v>0</v>
      </c>
      <c r="AY543" s="52" cm="1">
        <f t="array" ref="AY543">SUMPRODUCT(($V543:$AN543&lt;=$K258)*(1))</f>
        <v>0</v>
      </c>
      <c r="BA543" s="52">
        <f t="shared" si="121"/>
        <v>4</v>
      </c>
      <c r="BB543" s="52">
        <f t="shared" si="122"/>
        <v>0</v>
      </c>
      <c r="BC543" s="52">
        <f t="shared" si="123"/>
        <v>0</v>
      </c>
      <c r="BE543" s="50">
        <f t="shared" si="118"/>
        <v>0.21052631578947367</v>
      </c>
      <c r="BF543" s="50">
        <f t="shared" si="119"/>
        <v>0</v>
      </c>
      <c r="BG543" s="50">
        <f t="shared" si="120"/>
        <v>0</v>
      </c>
    </row>
    <row r="544" spans="4:59" ht="15.6">
      <c r="D544" s="44"/>
      <c r="M544" s="42"/>
      <c r="N544" s="39" t="s">
        <v>27</v>
      </c>
      <c r="O544" s="39" t="s">
        <v>475</v>
      </c>
      <c r="P544" t="s">
        <v>851</v>
      </c>
      <c r="R544" s="41"/>
      <c r="S544" s="42"/>
      <c r="T544" s="42"/>
      <c r="U544" s="42"/>
      <c r="V544" s="45">
        <f t="shared" si="99"/>
        <v>0.99804541150747661</v>
      </c>
      <c r="W544" s="45">
        <f t="shared" si="100"/>
        <v>0.99068839344087223</v>
      </c>
      <c r="X544" s="45">
        <f t="shared" si="101"/>
        <v>1.0067439823372257</v>
      </c>
      <c r="Y544" s="45">
        <f t="shared" si="102"/>
        <v>0.99895538693736852</v>
      </c>
      <c r="Z544" s="45">
        <f t="shared" si="103"/>
        <v>1.0002360300914999</v>
      </c>
      <c r="AA544" s="45">
        <f t="shared" si="104"/>
        <v>1.0067439823372257</v>
      </c>
      <c r="AB544" s="45">
        <f t="shared" si="105"/>
        <v>1.0046567090641056</v>
      </c>
      <c r="AC544" s="45">
        <f t="shared" si="106"/>
        <v>1.0008812679508854</v>
      </c>
      <c r="AD544" s="45">
        <f t="shared" si="107"/>
        <v>0.94454379075794892</v>
      </c>
      <c r="AE544" s="45">
        <f t="shared" si="108"/>
        <v>0.99851504220585552</v>
      </c>
      <c r="AF544" s="45">
        <f t="shared" si="109"/>
        <v>0.98346847636076196</v>
      </c>
      <c r="AG544" s="45">
        <f t="shared" si="110"/>
        <v>0.98233757603587335</v>
      </c>
      <c r="AH544" s="45">
        <f t="shared" si="111"/>
        <v>1.0186814909961137</v>
      </c>
      <c r="AI544" s="45">
        <f t="shared" si="112"/>
        <v>1.0135336995984308</v>
      </c>
      <c r="AJ544" s="45">
        <f t="shared" si="113"/>
        <v>0.9461664594258794</v>
      </c>
      <c r="AK544" s="45">
        <f t="shared" si="114"/>
        <v>1.0186814909961137</v>
      </c>
      <c r="AL544" s="45">
        <f t="shared" si="115"/>
        <v>1.0050790530198674</v>
      </c>
      <c r="AM544" s="45">
        <f t="shared" si="116"/>
        <v>1</v>
      </c>
      <c r="AN544" s="45">
        <f t="shared" si="117"/>
        <v>0.99727783401880099</v>
      </c>
      <c r="AS544" s="50" cm="1">
        <f t="array" ref="AS544">SUMPRODUCT(($V544:$AN544&lt;=$I259)*(1))/COUNT($V544:$AN544)</f>
        <v>0.10526315789473684</v>
      </c>
      <c r="AT544" s="50" cm="1">
        <f t="array" ref="AT544">SUMPRODUCT(($V544:$AN544&lt;=$J259)*(1))/COUNT($V544:$AN544)</f>
        <v>0</v>
      </c>
      <c r="AU544" s="50" cm="1">
        <f t="array" ref="AU544">SUMPRODUCT(($V544:$AN544&lt;=$K259)*(1))/COUNT($V544:$AN544)</f>
        <v>0</v>
      </c>
      <c r="AW544" s="52" cm="1">
        <f t="array" ref="AW544">SUMPRODUCT(($V544:$AN544&lt;=$I259)*(1))</f>
        <v>2</v>
      </c>
      <c r="AX544" s="52" cm="1">
        <f t="array" ref="AX544">SUMPRODUCT(($V544:$AN544&lt;=$J259)*(1))</f>
        <v>0</v>
      </c>
      <c r="AY544" s="52" cm="1">
        <f t="array" ref="AY544">SUMPRODUCT(($V544:$AN544&lt;=$K259)*(1))</f>
        <v>0</v>
      </c>
      <c r="BA544" s="52">
        <f t="shared" si="121"/>
        <v>2</v>
      </c>
      <c r="BB544" s="52">
        <f t="shared" si="122"/>
        <v>0</v>
      </c>
      <c r="BC544" s="52">
        <f t="shared" si="123"/>
        <v>0</v>
      </c>
      <c r="BE544" s="50">
        <f t="shared" si="118"/>
        <v>0.10526315789473684</v>
      </c>
      <c r="BF544" s="50">
        <f t="shared" si="119"/>
        <v>0</v>
      </c>
      <c r="BG544" s="50">
        <f t="shared" si="120"/>
        <v>0</v>
      </c>
    </row>
    <row r="545" spans="4:59" ht="15.6">
      <c r="D545" s="44"/>
      <c r="M545" s="42"/>
      <c r="N545" s="39" t="s">
        <v>27</v>
      </c>
      <c r="O545" s="39" t="s">
        <v>468</v>
      </c>
      <c r="P545" t="s">
        <v>852</v>
      </c>
      <c r="R545" s="41"/>
      <c r="S545" s="42"/>
      <c r="T545" s="42"/>
      <c r="U545" s="42"/>
      <c r="V545" s="45">
        <f t="shared" si="99"/>
        <v>1</v>
      </c>
      <c r="W545" s="45">
        <f t="shared" si="100"/>
        <v>1</v>
      </c>
      <c r="X545" s="45">
        <f t="shared" si="101"/>
        <v>1</v>
      </c>
      <c r="Y545" s="45">
        <f t="shared" si="102"/>
        <v>1</v>
      </c>
      <c r="Z545" s="45">
        <f t="shared" si="103"/>
        <v>1</v>
      </c>
      <c r="AA545" s="45">
        <f t="shared" si="104"/>
        <v>1</v>
      </c>
      <c r="AB545" s="45">
        <f t="shared" si="105"/>
        <v>1</v>
      </c>
      <c r="AC545" s="45">
        <f t="shared" si="106"/>
        <v>1</v>
      </c>
      <c r="AD545" s="45">
        <f t="shared" si="107"/>
        <v>0.89061627226934903</v>
      </c>
      <c r="AE545" s="45">
        <f t="shared" si="108"/>
        <v>1</v>
      </c>
      <c r="AF545" s="45">
        <f t="shared" si="109"/>
        <v>0.99549834959522499</v>
      </c>
      <c r="AG545" s="45">
        <f t="shared" si="110"/>
        <v>0.99571233233066492</v>
      </c>
      <c r="AH545" s="45">
        <f t="shared" si="111"/>
        <v>1.0043061309276937</v>
      </c>
      <c r="AI545" s="45">
        <f t="shared" si="112"/>
        <v>0.98796215873273574</v>
      </c>
      <c r="AJ545" s="45">
        <f t="shared" si="113"/>
        <v>0.92303915966979844</v>
      </c>
      <c r="AK545" s="45">
        <f t="shared" si="114"/>
        <v>1.0045220068989622</v>
      </c>
      <c r="AL545" s="45">
        <f t="shared" si="115"/>
        <v>1.0043061309276937</v>
      </c>
      <c r="AM545" s="45">
        <f t="shared" si="116"/>
        <v>1</v>
      </c>
      <c r="AN545" s="45">
        <f t="shared" si="117"/>
        <v>1</v>
      </c>
      <c r="AS545" s="50" cm="1">
        <f t="array" ref="AS545">SUMPRODUCT(($V545:$AN545&lt;=$I260)*(1))/COUNT($V545:$AN545)</f>
        <v>0.10526315789473684</v>
      </c>
      <c r="AT545" s="50" cm="1">
        <f t="array" ref="AT545">SUMPRODUCT(($V545:$AN545&lt;=$J260)*(1))/COUNT($V545:$AN545)</f>
        <v>0</v>
      </c>
      <c r="AU545" s="50" cm="1">
        <f t="array" ref="AU545">SUMPRODUCT(($V545:$AN545&lt;=$K260)*(1))/COUNT($V545:$AN545)</f>
        <v>0</v>
      </c>
      <c r="AW545" s="52" cm="1">
        <f t="array" ref="AW545">SUMPRODUCT(($V545:$AN545&lt;=$I260)*(1))</f>
        <v>2</v>
      </c>
      <c r="AX545" s="52" cm="1">
        <f t="array" ref="AX545">SUMPRODUCT(($V545:$AN545&lt;=$J260)*(1))</f>
        <v>0</v>
      </c>
      <c r="AY545" s="52" cm="1">
        <f t="array" ref="AY545">SUMPRODUCT(($V545:$AN545&lt;=$K260)*(1))</f>
        <v>0</v>
      </c>
      <c r="BA545" s="52">
        <f t="shared" si="121"/>
        <v>2</v>
      </c>
      <c r="BB545" s="52">
        <f t="shared" si="122"/>
        <v>0</v>
      </c>
      <c r="BC545" s="52">
        <f t="shared" si="123"/>
        <v>0</v>
      </c>
      <c r="BE545" s="50">
        <f t="shared" si="118"/>
        <v>0.10526315789473684</v>
      </c>
      <c r="BF545" s="50">
        <f t="shared" si="119"/>
        <v>0</v>
      </c>
      <c r="BG545" s="50">
        <f t="shared" si="120"/>
        <v>0</v>
      </c>
    </row>
    <row r="546" spans="4:59" ht="15.6">
      <c r="D546" s="44"/>
      <c r="M546" s="42"/>
      <c r="N546" s="39" t="s">
        <v>27</v>
      </c>
      <c r="O546" s="39" t="s">
        <v>448</v>
      </c>
      <c r="P546" t="s">
        <v>853</v>
      </c>
      <c r="R546" s="41"/>
      <c r="S546" s="42"/>
      <c r="T546" s="42"/>
      <c r="U546" s="42"/>
      <c r="V546" s="45">
        <f t="shared" si="99"/>
        <v>1</v>
      </c>
      <c r="W546" s="45">
        <f t="shared" si="100"/>
        <v>1</v>
      </c>
      <c r="X546" s="45">
        <f t="shared" si="101"/>
        <v>1</v>
      </c>
      <c r="Y546" s="45">
        <f t="shared" si="102"/>
        <v>1</v>
      </c>
      <c r="Z546" s="45">
        <f t="shared" si="103"/>
        <v>1</v>
      </c>
      <c r="AA546" s="45">
        <f t="shared" si="104"/>
        <v>1</v>
      </c>
      <c r="AB546" s="45">
        <f t="shared" si="105"/>
        <v>1</v>
      </c>
      <c r="AC546" s="45">
        <f t="shared" si="106"/>
        <v>1</v>
      </c>
      <c r="AD546" s="45">
        <f t="shared" si="107"/>
        <v>0.98590004948738796</v>
      </c>
      <c r="AE546" s="45">
        <f t="shared" si="108"/>
        <v>1</v>
      </c>
      <c r="AF546" s="45">
        <f t="shared" si="109"/>
        <v>1</v>
      </c>
      <c r="AG546" s="45">
        <f t="shared" si="110"/>
        <v>1</v>
      </c>
      <c r="AH546" s="45">
        <f t="shared" si="111"/>
        <v>1</v>
      </c>
      <c r="AI546" s="45">
        <f t="shared" si="112"/>
        <v>1</v>
      </c>
      <c r="AJ546" s="45">
        <f t="shared" si="113"/>
        <v>1</v>
      </c>
      <c r="AK546" s="45">
        <f t="shared" si="114"/>
        <v>1</v>
      </c>
      <c r="AL546" s="45">
        <f t="shared" si="115"/>
        <v>1</v>
      </c>
      <c r="AM546" s="45">
        <f t="shared" si="116"/>
        <v>1</v>
      </c>
      <c r="AN546" s="45">
        <f t="shared" si="117"/>
        <v>1</v>
      </c>
      <c r="AS546" s="50" cm="1">
        <f t="array" ref="AS546">SUMPRODUCT(($V546:$AN546&lt;=$I261)*(1))/COUNT($V546:$AN546)</f>
        <v>0</v>
      </c>
      <c r="AT546" s="50" cm="1">
        <f t="array" ref="AT546">SUMPRODUCT(($V546:$AN546&lt;=$J261)*(1))/COUNT($V546:$AN546)</f>
        <v>0</v>
      </c>
      <c r="AU546" s="50" cm="1">
        <f t="array" ref="AU546">SUMPRODUCT(($V546:$AN546&lt;=$K261)*(1))/COUNT($V546:$AN546)</f>
        <v>0</v>
      </c>
      <c r="AW546" s="52" cm="1">
        <f t="array" ref="AW546">SUMPRODUCT(($V546:$AN546&lt;=$I261)*(1))</f>
        <v>0</v>
      </c>
      <c r="AX546" s="52" cm="1">
        <f t="array" ref="AX546">SUMPRODUCT(($V546:$AN546&lt;=$J261)*(1))</f>
        <v>0</v>
      </c>
      <c r="AY546" s="52" cm="1">
        <f t="array" ref="AY546">SUMPRODUCT(($V546:$AN546&lt;=$K261)*(1))</f>
        <v>0</v>
      </c>
      <c r="BA546" s="52">
        <f t="shared" si="121"/>
        <v>0</v>
      </c>
      <c r="BB546" s="52">
        <f t="shared" si="122"/>
        <v>0</v>
      </c>
      <c r="BC546" s="52">
        <f t="shared" si="123"/>
        <v>0</v>
      </c>
      <c r="BE546" s="50">
        <f t="shared" si="118"/>
        <v>0</v>
      </c>
      <c r="BF546" s="50">
        <f t="shared" si="119"/>
        <v>0</v>
      </c>
      <c r="BG546" s="50">
        <f t="shared" si="120"/>
        <v>0</v>
      </c>
    </row>
    <row r="547" spans="4:59" ht="15.6">
      <c r="D547" s="44"/>
      <c r="M547" s="42"/>
      <c r="N547" s="39" t="s">
        <v>27</v>
      </c>
      <c r="O547" s="39" t="s">
        <v>448</v>
      </c>
      <c r="P547" t="s">
        <v>854</v>
      </c>
      <c r="R547" s="41"/>
      <c r="S547" s="42"/>
      <c r="T547" s="42"/>
      <c r="U547" s="42"/>
      <c r="V547" s="45">
        <f t="shared" si="99"/>
        <v>1</v>
      </c>
      <c r="W547" s="45">
        <f t="shared" si="100"/>
        <v>1</v>
      </c>
      <c r="X547" s="45">
        <f t="shared" si="101"/>
        <v>1</v>
      </c>
      <c r="Y547" s="45">
        <f t="shared" si="102"/>
        <v>1</v>
      </c>
      <c r="Z547" s="45">
        <f t="shared" si="103"/>
        <v>1</v>
      </c>
      <c r="AA547" s="45">
        <f t="shared" si="104"/>
        <v>1</v>
      </c>
      <c r="AB547" s="45">
        <f t="shared" si="105"/>
        <v>1</v>
      </c>
      <c r="AC547" s="45">
        <f t="shared" si="106"/>
        <v>1</v>
      </c>
      <c r="AD547" s="45">
        <f t="shared" si="107"/>
        <v>0.90320959171667792</v>
      </c>
      <c r="AE547" s="45">
        <f t="shared" si="108"/>
        <v>1</v>
      </c>
      <c r="AF547" s="45">
        <f t="shared" si="109"/>
        <v>0.99987094467974202</v>
      </c>
      <c r="AG547" s="45">
        <f t="shared" si="110"/>
        <v>1</v>
      </c>
      <c r="AH547" s="45">
        <f t="shared" si="111"/>
        <v>1</v>
      </c>
      <c r="AI547" s="45">
        <f t="shared" si="112"/>
        <v>0.99776344490869107</v>
      </c>
      <c r="AJ547" s="45">
        <f t="shared" si="113"/>
        <v>0.9248702368300179</v>
      </c>
      <c r="AK547" s="45">
        <f t="shared" si="114"/>
        <v>1.0001290719776834</v>
      </c>
      <c r="AL547" s="45">
        <f t="shared" si="115"/>
        <v>1</v>
      </c>
      <c r="AM547" s="45">
        <f t="shared" si="116"/>
        <v>1</v>
      </c>
      <c r="AN547" s="45">
        <f t="shared" si="117"/>
        <v>1</v>
      </c>
      <c r="AS547" s="50" cm="1">
        <f t="array" ref="AS547">SUMPRODUCT(($V547:$AN547&lt;=$I262)*(1))/COUNT($V547:$AN547)</f>
        <v>0.10526315789473684</v>
      </c>
      <c r="AT547" s="50" cm="1">
        <f t="array" ref="AT547">SUMPRODUCT(($V547:$AN547&lt;=$J262)*(1))/COUNT($V547:$AN547)</f>
        <v>0</v>
      </c>
      <c r="AU547" s="50" cm="1">
        <f t="array" ref="AU547">SUMPRODUCT(($V547:$AN547&lt;=$K262)*(1))/COUNT($V547:$AN547)</f>
        <v>0</v>
      </c>
      <c r="AW547" s="52" cm="1">
        <f t="array" ref="AW547">SUMPRODUCT(($V547:$AN547&lt;=$I262)*(1))</f>
        <v>2</v>
      </c>
      <c r="AX547" s="52" cm="1">
        <f t="array" ref="AX547">SUMPRODUCT(($V547:$AN547&lt;=$J262)*(1))</f>
        <v>0</v>
      </c>
      <c r="AY547" s="52" cm="1">
        <f t="array" ref="AY547">SUMPRODUCT(($V547:$AN547&lt;=$K262)*(1))</f>
        <v>0</v>
      </c>
      <c r="BA547" s="52">
        <f t="shared" si="121"/>
        <v>2</v>
      </c>
      <c r="BB547" s="52">
        <f t="shared" si="122"/>
        <v>0</v>
      </c>
      <c r="BC547" s="52">
        <f t="shared" si="123"/>
        <v>0</v>
      </c>
      <c r="BE547" s="50">
        <f t="shared" si="118"/>
        <v>0.10526315789473684</v>
      </c>
      <c r="BF547" s="50">
        <f t="shared" si="119"/>
        <v>0</v>
      </c>
      <c r="BG547" s="50">
        <f t="shared" si="120"/>
        <v>0</v>
      </c>
    </row>
    <row r="548" spans="4:59" ht="15.6">
      <c r="D548" s="44"/>
      <c r="M548" s="42"/>
      <c r="N548" s="39" t="s">
        <v>27</v>
      </c>
      <c r="O548" s="39" t="s">
        <v>517</v>
      </c>
      <c r="P548" t="s">
        <v>855</v>
      </c>
      <c r="R548" s="41"/>
      <c r="S548" s="42"/>
      <c r="T548" s="42"/>
      <c r="U548" s="42"/>
      <c r="V548" s="45">
        <f t="shared" si="99"/>
        <v>1.0181765482105136</v>
      </c>
      <c r="W548" s="45">
        <f t="shared" si="100"/>
        <v>0.99481116026159622</v>
      </c>
      <c r="X548" s="45">
        <f t="shared" si="101"/>
        <v>1.0974210806493172</v>
      </c>
      <c r="Y548" s="45">
        <f t="shared" si="102"/>
        <v>1.0974210806493172</v>
      </c>
      <c r="Z548" s="45">
        <f t="shared" si="103"/>
        <v>1.0313125914507146</v>
      </c>
      <c r="AA548" s="45">
        <f t="shared" si="104"/>
        <v>1.0585798598663327</v>
      </c>
      <c r="AB548" s="45">
        <f t="shared" si="105"/>
        <v>0.98122825157667903</v>
      </c>
      <c r="AC548" s="45">
        <f t="shared" si="106"/>
        <v>0.84381272180018596</v>
      </c>
      <c r="AD548" s="45">
        <f t="shared" si="107"/>
        <v>0.84574042168787211</v>
      </c>
      <c r="AE548" s="45">
        <f t="shared" si="108"/>
        <v>0.93290282485939113</v>
      </c>
      <c r="AF548" s="45">
        <f t="shared" si="109"/>
        <v>0.8072701868411577</v>
      </c>
      <c r="AG548" s="45">
        <f t="shared" si="110"/>
        <v>1.1438362421333101</v>
      </c>
      <c r="AH548" s="45">
        <f t="shared" si="111"/>
        <v>1.1373835746959289</v>
      </c>
      <c r="AI548" s="45">
        <f t="shared" si="112"/>
        <v>1.1200695798784368</v>
      </c>
      <c r="AJ548" s="45">
        <f t="shared" si="113"/>
        <v>0.87253639717589071</v>
      </c>
      <c r="AK548" s="45">
        <f t="shared" si="114"/>
        <v>1.041950240050652</v>
      </c>
      <c r="AL548" s="45">
        <f t="shared" si="115"/>
        <v>1.036072337132655</v>
      </c>
      <c r="AM548" s="45">
        <f t="shared" si="116"/>
        <v>1.0130764422944301</v>
      </c>
      <c r="AN548" s="45">
        <f t="shared" si="117"/>
        <v>0.79146881830696703</v>
      </c>
      <c r="AS548" s="50" cm="1">
        <f t="array" ref="AS548">SUMPRODUCT(($V548:$AN548&lt;=$I263)*(1))/COUNT($V548:$AN548)</f>
        <v>0.31578947368421051</v>
      </c>
      <c r="AT548" s="50" cm="1">
        <f t="array" ref="AT548">SUMPRODUCT(($V548:$AN548&lt;=$J263)*(1))/COUNT($V548:$AN548)</f>
        <v>0.21052631578947367</v>
      </c>
      <c r="AU548" s="50" cm="1">
        <f t="array" ref="AU548">SUMPRODUCT(($V548:$AN548&lt;=$K263)*(1))/COUNT($V548:$AN548)</f>
        <v>0</v>
      </c>
      <c r="AW548" s="52" cm="1">
        <f t="array" ref="AW548">SUMPRODUCT(($V548:$AN548&lt;=$I263)*(1))</f>
        <v>6</v>
      </c>
      <c r="AX548" s="52" cm="1">
        <f t="array" ref="AX548">SUMPRODUCT(($V548:$AN548&lt;=$J263)*(1))</f>
        <v>4</v>
      </c>
      <c r="AY548" s="52" cm="1">
        <f t="array" ref="AY548">SUMPRODUCT(($V548:$AN548&lt;=$K263)*(1))</f>
        <v>0</v>
      </c>
      <c r="BA548" s="52">
        <f t="shared" si="121"/>
        <v>2</v>
      </c>
      <c r="BB548" s="52">
        <f t="shared" si="122"/>
        <v>4</v>
      </c>
      <c r="BC548" s="52">
        <f t="shared" si="123"/>
        <v>0</v>
      </c>
      <c r="BE548" s="50">
        <f t="shared" si="118"/>
        <v>0.10526315789473684</v>
      </c>
      <c r="BF548" s="50">
        <f t="shared" si="119"/>
        <v>0.21052631578947367</v>
      </c>
      <c r="BG548" s="50">
        <f t="shared" si="120"/>
        <v>0</v>
      </c>
    </row>
    <row r="549" spans="4:59" ht="15.6">
      <c r="D549" s="44"/>
      <c r="M549" s="42"/>
      <c r="N549" s="39" t="s">
        <v>27</v>
      </c>
      <c r="O549" s="39" t="s">
        <v>184</v>
      </c>
      <c r="P549" t="s">
        <v>856</v>
      </c>
      <c r="R549" s="41"/>
      <c r="S549" s="42"/>
      <c r="T549" s="42"/>
      <c r="U549" s="42"/>
      <c r="V549" s="45">
        <f t="shared" ref="V549:V569" si="124">V264/MEDIAN(Q264:U264)</f>
        <v>1</v>
      </c>
      <c r="W549" s="45">
        <f t="shared" ref="W549:W569" si="125">W264/MEDIAN(R264:V264)</f>
        <v>1</v>
      </c>
      <c r="X549" s="45">
        <f t="shared" ref="X549:X569" si="126">X264/MEDIAN(S264:W264)</f>
        <v>1</v>
      </c>
      <c r="Y549" s="45">
        <f t="shared" ref="Y549:Y569" si="127">Y264/MEDIAN(T264:X264)</f>
        <v>1</v>
      </c>
      <c r="Z549" s="45">
        <f t="shared" ref="Z549:Z569" si="128">Z264/MEDIAN(U264:Y264)</f>
        <v>1</v>
      </c>
      <c r="AA549" s="45">
        <f t="shared" ref="AA549:AA569" si="129">AA264/MEDIAN(V264:Z264)</f>
        <v>1</v>
      </c>
      <c r="AB549" s="45">
        <f t="shared" ref="AB549:AB569" si="130">AB264/MEDIAN(W264:AA264)</f>
        <v>1</v>
      </c>
      <c r="AC549" s="45">
        <f t="shared" ref="AC549:AC569" si="131">AC264/MEDIAN(X264:AB264)</f>
        <v>1</v>
      </c>
      <c r="AD549" s="45">
        <f t="shared" ref="AD549:AD569" si="132">AD264/MEDIAN(Y264:AC264)</f>
        <v>1</v>
      </c>
      <c r="AE549" s="45">
        <f t="shared" ref="AE549:AE569" si="133">AE264/MEDIAN(Z264:AD264)</f>
        <v>1</v>
      </c>
      <c r="AF549" s="45">
        <f t="shared" ref="AF549:AF569" si="134">AF264/MEDIAN(AA264:AE264)</f>
        <v>1</v>
      </c>
      <c r="AG549" s="45">
        <f t="shared" ref="AG549:AG569" si="135">AG264/MEDIAN(AB264:AF264)</f>
        <v>1</v>
      </c>
      <c r="AH549" s="45">
        <f t="shared" ref="AH549:AH569" si="136">AH264/MEDIAN(AC264:AG264)</f>
        <v>1</v>
      </c>
      <c r="AI549" s="45">
        <f t="shared" ref="AI549:AI569" si="137">AI264/MEDIAN(AD264:AH264)</f>
        <v>1</v>
      </c>
      <c r="AJ549" s="45">
        <f t="shared" ref="AJ549:AJ569" si="138">AJ264/MEDIAN(AE264:AI264)</f>
        <v>1</v>
      </c>
      <c r="AK549" s="45">
        <f t="shared" si="114"/>
        <v>1</v>
      </c>
      <c r="AL549" s="45">
        <f t="shared" si="115"/>
        <v>1</v>
      </c>
      <c r="AM549" s="45">
        <f t="shared" si="116"/>
        <v>1</v>
      </c>
      <c r="AN549" s="45">
        <f t="shared" si="117"/>
        <v>1</v>
      </c>
      <c r="AS549" s="50" cm="1">
        <f t="array" ref="AS549">SUMPRODUCT(($V549:$AN549&lt;=$I264)*(1))/COUNT($V549:$AN549)</f>
        <v>0</v>
      </c>
      <c r="AT549" s="50" cm="1">
        <f t="array" ref="AT549">SUMPRODUCT(($V549:$AN549&lt;=$J264)*(1))/COUNT($V549:$AN549)</f>
        <v>0</v>
      </c>
      <c r="AU549" s="50" cm="1">
        <f t="array" ref="AU549">SUMPRODUCT(($V549:$AN549&lt;=$K264)*(1))/COUNT($V549:$AN549)</f>
        <v>0</v>
      </c>
      <c r="AW549" s="52" cm="1">
        <f t="array" ref="AW549">SUMPRODUCT(($V549:$AN549&lt;=$I264)*(1))</f>
        <v>0</v>
      </c>
      <c r="AX549" s="52" cm="1">
        <f t="array" ref="AX549">SUMPRODUCT(($V549:$AN549&lt;=$J264)*(1))</f>
        <v>0</v>
      </c>
      <c r="AY549" s="52" cm="1">
        <f t="array" ref="AY549">SUMPRODUCT(($V549:$AN549&lt;=$K264)*(1))</f>
        <v>0</v>
      </c>
      <c r="BA549" s="52">
        <f t="shared" si="121"/>
        <v>0</v>
      </c>
      <c r="BB549" s="52">
        <f t="shared" si="122"/>
        <v>0</v>
      </c>
      <c r="BC549" s="52">
        <f t="shared" si="123"/>
        <v>0</v>
      </c>
      <c r="BE549" s="50">
        <f t="shared" si="118"/>
        <v>0</v>
      </c>
      <c r="BF549" s="50">
        <f t="shared" si="119"/>
        <v>0</v>
      </c>
      <c r="BG549" s="50">
        <f t="shared" si="120"/>
        <v>0</v>
      </c>
    </row>
    <row r="550" spans="4:59" ht="15.6">
      <c r="D550" s="44"/>
      <c r="M550" s="42"/>
      <c r="N550" s="39" t="s">
        <v>27</v>
      </c>
      <c r="O550" s="39" t="s">
        <v>613</v>
      </c>
      <c r="P550" t="s">
        <v>857</v>
      </c>
      <c r="R550" s="41"/>
      <c r="S550" s="42"/>
      <c r="T550" s="42"/>
      <c r="U550" s="42"/>
      <c r="V550" s="45">
        <f t="shared" si="124"/>
        <v>1.1402613471332017</v>
      </c>
      <c r="W550" s="45">
        <f t="shared" si="125"/>
        <v>0.94807248586995174</v>
      </c>
      <c r="X550" s="45">
        <f t="shared" si="126"/>
        <v>1.2540994948755992</v>
      </c>
      <c r="Y550" s="45">
        <f t="shared" si="127"/>
        <v>1.061045665661585</v>
      </c>
      <c r="Z550" s="45">
        <f t="shared" si="128"/>
        <v>1.1552323072905462</v>
      </c>
      <c r="AA550" s="45">
        <f t="shared" si="129"/>
        <v>1.1150507801241787</v>
      </c>
      <c r="AB550" s="45">
        <f t="shared" si="130"/>
        <v>1.0134443938261621</v>
      </c>
      <c r="AC550" s="45">
        <f t="shared" si="131"/>
        <v>0.76038548148502183</v>
      </c>
      <c r="AD550" s="45">
        <f t="shared" si="132"/>
        <v>0.76463716605548504</v>
      </c>
      <c r="AE550" s="45">
        <f t="shared" si="133"/>
        <v>0.72398113465886682</v>
      </c>
      <c r="AF550" s="45">
        <f t="shared" si="134"/>
        <v>0.93190199159274434</v>
      </c>
      <c r="AG550" s="45">
        <f t="shared" si="135"/>
        <v>1.1842782927767401</v>
      </c>
      <c r="AH550" s="45">
        <f t="shared" si="136"/>
        <v>1.0181978877447717</v>
      </c>
      <c r="AI550" s="45">
        <f t="shared" si="137"/>
        <v>1.3080523477875039</v>
      </c>
      <c r="AJ550" s="45">
        <f t="shared" si="138"/>
        <v>1.0638559299276593</v>
      </c>
      <c r="AK550" s="45">
        <f t="shared" ref="AK550:AK569" si="139">AK265/MEDIAN(AF265:AJ265)</f>
        <v>1.2351464859984917</v>
      </c>
      <c r="AL550" s="45">
        <f t="shared" ref="AL550:AL569" si="140">AL265/MEDIAN(AG265:AK265)</f>
        <v>1.0225490313901002</v>
      </c>
      <c r="AM550" s="45">
        <f t="shared" ref="AM550:AM569" si="141">AM265/MEDIAN(AH265:AL265)</f>
        <v>1.0791554301236399</v>
      </c>
      <c r="AN550" s="45">
        <f t="shared" ref="AN550:AN569" si="142">AN265/MEDIAN(AI265:AM265)</f>
        <v>0.74445433171096642</v>
      </c>
      <c r="AS550" s="50" cm="1">
        <f t="array" ref="AS550">SUMPRODUCT(($V550:$AN550&lt;=$I265)*(1))/COUNT($V550:$AN550)</f>
        <v>0.31578947368421051</v>
      </c>
      <c r="AT550" s="50" cm="1">
        <f t="array" ref="AT550">SUMPRODUCT(($V550:$AN550&lt;=$J265)*(1))/COUNT($V550:$AN550)</f>
        <v>0.21052631578947367</v>
      </c>
      <c r="AU550" s="50" cm="1">
        <f t="array" ref="AU550">SUMPRODUCT(($V550:$AN550&lt;=$K265)*(1))/COUNT($V550:$AN550)</f>
        <v>0.10526315789473684</v>
      </c>
      <c r="AW550" s="52" cm="1">
        <f t="array" ref="AW550">SUMPRODUCT(($V550:$AN550&lt;=$I265)*(1))</f>
        <v>6</v>
      </c>
      <c r="AX550" s="52" cm="1">
        <f t="array" ref="AX550">SUMPRODUCT(($V550:$AN550&lt;=$J265)*(1))</f>
        <v>4</v>
      </c>
      <c r="AY550" s="52" cm="1">
        <f t="array" ref="AY550">SUMPRODUCT(($V550:$AN550&lt;=$K265)*(1))</f>
        <v>2</v>
      </c>
      <c r="BA550" s="52">
        <f t="shared" si="121"/>
        <v>2</v>
      </c>
      <c r="BB550" s="52">
        <f t="shared" si="122"/>
        <v>2</v>
      </c>
      <c r="BC550" s="52">
        <f t="shared" si="123"/>
        <v>2</v>
      </c>
      <c r="BE550" s="50">
        <f t="shared" ref="BE550:BE569" si="143">BA550/COUNT($V550:$AN550)</f>
        <v>0.10526315789473684</v>
      </c>
      <c r="BF550" s="50">
        <f t="shared" ref="BF550:BF569" si="144">BB550/COUNT($V550:$AN550)</f>
        <v>0.10526315789473684</v>
      </c>
      <c r="BG550" s="50">
        <f t="shared" ref="BG550:BG569" si="145">BC550/COUNT($V550:$AN550)</f>
        <v>0.10526315789473684</v>
      </c>
    </row>
    <row r="551" spans="4:59" ht="15.6">
      <c r="D551" s="44"/>
      <c r="M551" s="42"/>
      <c r="N551" s="39" t="s">
        <v>27</v>
      </c>
      <c r="O551" s="39" t="s">
        <v>618</v>
      </c>
      <c r="P551" t="s">
        <v>858</v>
      </c>
      <c r="R551" s="41"/>
      <c r="S551" s="42"/>
      <c r="T551" s="42"/>
      <c r="U551" s="42"/>
      <c r="V551" s="45">
        <f t="shared" si="124"/>
        <v>1.1011916590687187</v>
      </c>
      <c r="W551" s="45">
        <f t="shared" si="125"/>
        <v>0.89205992631253683</v>
      </c>
      <c r="X551" s="45">
        <f t="shared" si="126"/>
        <v>1.1169080766763535</v>
      </c>
      <c r="Y551" s="45">
        <f t="shared" si="127"/>
        <v>1.1070602826762177</v>
      </c>
      <c r="Z551" s="45">
        <f t="shared" si="128"/>
        <v>0.93500807476976489</v>
      </c>
      <c r="AA551" s="45">
        <f t="shared" si="129"/>
        <v>1.0083598046762312</v>
      </c>
      <c r="AB551" s="45">
        <f t="shared" si="130"/>
        <v>1.0083984936126955</v>
      </c>
      <c r="AC551" s="45">
        <f t="shared" si="131"/>
        <v>0.95268479187475452</v>
      </c>
      <c r="AD551" s="45">
        <f t="shared" si="132"/>
        <v>0.83903797362087484</v>
      </c>
      <c r="AE551" s="45">
        <f t="shared" si="133"/>
        <v>1.0019335904428337</v>
      </c>
      <c r="AF551" s="45">
        <f t="shared" si="134"/>
        <v>0.96224005388977052</v>
      </c>
      <c r="AG551" s="45">
        <f t="shared" si="135"/>
        <v>0.92815686338531111</v>
      </c>
      <c r="AH551" s="45">
        <f t="shared" si="136"/>
        <v>1.0889247028972988</v>
      </c>
      <c r="AI551" s="45">
        <f t="shared" si="137"/>
        <v>1.0030259686586913</v>
      </c>
      <c r="AJ551" s="45">
        <f t="shared" si="138"/>
        <v>0.99298576533792371</v>
      </c>
      <c r="AK551" s="45">
        <f t="shared" si="139"/>
        <v>1.0893289255254488</v>
      </c>
      <c r="AL551" s="45">
        <f t="shared" si="140"/>
        <v>1.0720794994833607</v>
      </c>
      <c r="AM551" s="45">
        <f t="shared" si="141"/>
        <v>1.0021052043693632</v>
      </c>
      <c r="AN551" s="45">
        <f t="shared" si="142"/>
        <v>0.87847145332693455</v>
      </c>
      <c r="AS551" s="50" cm="1">
        <f t="array" ref="AS551">SUMPRODUCT(($V551:$AN551&lt;=$I266)*(1))/COUNT($V551:$AN551)</f>
        <v>0.26315789473684209</v>
      </c>
      <c r="AT551" s="50" cm="1">
        <f t="array" ref="AT551">SUMPRODUCT(($V551:$AN551&lt;=$J266)*(1))/COUNT($V551:$AN551)</f>
        <v>5.2631578947368418E-2</v>
      </c>
      <c r="AU551" s="50" cm="1">
        <f t="array" ref="AU551">SUMPRODUCT(($V551:$AN551&lt;=$K266)*(1))/COUNT($V551:$AN551)</f>
        <v>0</v>
      </c>
      <c r="AW551" s="52" cm="1">
        <f t="array" ref="AW551">SUMPRODUCT(($V551:$AN551&lt;=$I266)*(1))</f>
        <v>5</v>
      </c>
      <c r="AX551" s="52" cm="1">
        <f t="array" ref="AX551">SUMPRODUCT(($V551:$AN551&lt;=$J266)*(1))</f>
        <v>1</v>
      </c>
      <c r="AY551" s="52" cm="1">
        <f t="array" ref="AY551">SUMPRODUCT(($V551:$AN551&lt;=$K266)*(1))</f>
        <v>0</v>
      </c>
      <c r="BA551" s="52">
        <f t="shared" si="121"/>
        <v>4</v>
      </c>
      <c r="BB551" s="52">
        <f t="shared" si="122"/>
        <v>1</v>
      </c>
      <c r="BC551" s="52">
        <f t="shared" si="123"/>
        <v>0</v>
      </c>
      <c r="BE551" s="50">
        <f t="shared" si="143"/>
        <v>0.21052631578947367</v>
      </c>
      <c r="BF551" s="50">
        <f t="shared" si="144"/>
        <v>5.2631578947368418E-2</v>
      </c>
      <c r="BG551" s="50">
        <f t="shared" si="145"/>
        <v>0</v>
      </c>
    </row>
    <row r="552" spans="4:59" ht="15.6">
      <c r="D552" s="44"/>
      <c r="M552" s="42"/>
      <c r="N552" s="39" t="s">
        <v>27</v>
      </c>
      <c r="O552" s="39" t="s">
        <v>530</v>
      </c>
      <c r="P552" t="s">
        <v>859</v>
      </c>
      <c r="R552" s="41"/>
      <c r="S552" s="42"/>
      <c r="T552" s="42"/>
      <c r="U552" s="42"/>
      <c r="V552" s="45">
        <f t="shared" si="124"/>
        <v>1.0291363547755599</v>
      </c>
      <c r="W552" s="45">
        <f t="shared" si="125"/>
        <v>0.92590860665961272</v>
      </c>
      <c r="X552" s="45">
        <f t="shared" si="126"/>
        <v>1.0899076240895174</v>
      </c>
      <c r="Y552" s="45">
        <f t="shared" si="127"/>
        <v>1.0899076240895174</v>
      </c>
      <c r="Z552" s="45">
        <f t="shared" si="128"/>
        <v>0.88128686777852183</v>
      </c>
      <c r="AA552" s="45">
        <f t="shared" si="129"/>
        <v>0.99926686653013908</v>
      </c>
      <c r="AB552" s="45">
        <f t="shared" si="130"/>
        <v>1.0010568483819917</v>
      </c>
      <c r="AC552" s="45">
        <f t="shared" si="131"/>
        <v>0.99843987888114893</v>
      </c>
      <c r="AD552" s="45">
        <f t="shared" si="132"/>
        <v>0.83635414490031468</v>
      </c>
      <c r="AE552" s="45">
        <f t="shared" si="133"/>
        <v>0.86818144075577863</v>
      </c>
      <c r="AF552" s="45">
        <f t="shared" si="134"/>
        <v>0.91714516144902869</v>
      </c>
      <c r="AG552" s="45">
        <f t="shared" si="135"/>
        <v>0.9528110173989276</v>
      </c>
      <c r="AH552" s="45">
        <f t="shared" si="136"/>
        <v>1.0647547900017236</v>
      </c>
      <c r="AI552" s="45">
        <f t="shared" si="137"/>
        <v>1.0130869186147893</v>
      </c>
      <c r="AJ552" s="45">
        <f t="shared" si="138"/>
        <v>0.97783777458767274</v>
      </c>
      <c r="AK552" s="45">
        <f t="shared" si="139"/>
        <v>1.1114643790881504</v>
      </c>
      <c r="AL552" s="45">
        <f t="shared" si="140"/>
        <v>1.1113741908757586</v>
      </c>
      <c r="AM552" s="45">
        <f t="shared" si="141"/>
        <v>1.0762890887458629</v>
      </c>
      <c r="AN552" s="45">
        <f t="shared" si="142"/>
        <v>0.99189494850170867</v>
      </c>
      <c r="AS552" s="50" cm="1">
        <f t="array" ref="AS552">SUMPRODUCT(($V552:$AN552&lt;=$I267)*(1))/COUNT($V552:$AN552)</f>
        <v>0.26315789473684209</v>
      </c>
      <c r="AT552" s="50" cm="1">
        <f t="array" ref="AT552">SUMPRODUCT(($V552:$AN552&lt;=$J267)*(1))/COUNT($V552:$AN552)</f>
        <v>5.2631578947368418E-2</v>
      </c>
      <c r="AU552" s="50" cm="1">
        <f t="array" ref="AU552">SUMPRODUCT(($V552:$AN552&lt;=$K267)*(1))/COUNT($V552:$AN552)</f>
        <v>0</v>
      </c>
      <c r="AW552" s="52" cm="1">
        <f t="array" ref="AW552">SUMPRODUCT(($V552:$AN552&lt;=$I267)*(1))</f>
        <v>5</v>
      </c>
      <c r="AX552" s="52" cm="1">
        <f t="array" ref="AX552">SUMPRODUCT(($V552:$AN552&lt;=$J267)*(1))</f>
        <v>1</v>
      </c>
      <c r="AY552" s="52" cm="1">
        <f t="array" ref="AY552">SUMPRODUCT(($V552:$AN552&lt;=$K267)*(1))</f>
        <v>0</v>
      </c>
      <c r="BA552" s="52">
        <f t="shared" si="121"/>
        <v>4</v>
      </c>
      <c r="BB552" s="52">
        <f t="shared" si="122"/>
        <v>1</v>
      </c>
      <c r="BC552" s="52">
        <f t="shared" si="123"/>
        <v>0</v>
      </c>
      <c r="BE552" s="50">
        <f t="shared" si="143"/>
        <v>0.21052631578947367</v>
      </c>
      <c r="BF552" s="50">
        <f t="shared" si="144"/>
        <v>5.2631578947368418E-2</v>
      </c>
      <c r="BG552" s="50">
        <f t="shared" si="145"/>
        <v>0</v>
      </c>
    </row>
    <row r="553" spans="4:59" ht="15.6">
      <c r="D553" s="44"/>
      <c r="M553" s="42"/>
      <c r="N553" s="39" t="s">
        <v>26</v>
      </c>
      <c r="O553" s="39" t="s">
        <v>576</v>
      </c>
      <c r="P553" t="s">
        <v>712</v>
      </c>
      <c r="R553" s="41"/>
      <c r="S553" s="42"/>
      <c r="T553" s="42"/>
      <c r="U553" s="42"/>
      <c r="V553" s="45">
        <f t="shared" si="124"/>
        <v>1.0223698602433899</v>
      </c>
      <c r="W553" s="45">
        <f t="shared" si="125"/>
        <v>1.0487222513128831</v>
      </c>
      <c r="X553" s="45">
        <f t="shared" si="126"/>
        <v>1.0909252836363432</v>
      </c>
      <c r="Y553" s="45">
        <f t="shared" si="127"/>
        <v>1.0611055902846511</v>
      </c>
      <c r="Z553" s="45">
        <f t="shared" si="128"/>
        <v>1.0402423351565457</v>
      </c>
      <c r="AA553" s="45">
        <f t="shared" si="129"/>
        <v>0.99926453033645701</v>
      </c>
      <c r="AB553" s="45">
        <f t="shared" si="130"/>
        <v>1</v>
      </c>
      <c r="AC553" s="45">
        <f t="shared" si="131"/>
        <v>0.764477035875188</v>
      </c>
      <c r="AD553" s="45">
        <f t="shared" si="132"/>
        <v>0.95473251176180296</v>
      </c>
      <c r="AE553" s="45">
        <f t="shared" si="133"/>
        <v>0.81074375891621475</v>
      </c>
      <c r="AF553" s="45">
        <f t="shared" si="134"/>
        <v>0.93220313388080789</v>
      </c>
      <c r="AG553" s="45">
        <f t="shared" si="135"/>
        <v>0.99086144243548713</v>
      </c>
      <c r="AH553" s="45">
        <f t="shared" si="136"/>
        <v>0.9103799001454731</v>
      </c>
      <c r="AI553" s="45">
        <f t="shared" si="137"/>
        <v>1.1339523371645153</v>
      </c>
      <c r="AJ553" s="45">
        <f t="shared" si="138"/>
        <v>0.98993572654976403</v>
      </c>
      <c r="AK553" s="45">
        <f t="shared" si="139"/>
        <v>1.1339523371645153</v>
      </c>
      <c r="AL553" s="45">
        <f t="shared" si="140"/>
        <v>1.1339523371645153</v>
      </c>
      <c r="AM553" s="45">
        <f t="shared" si="141"/>
        <v>1</v>
      </c>
      <c r="AN553" s="45">
        <f t="shared" si="142"/>
        <v>0.91325726731596801</v>
      </c>
      <c r="AS553" s="50" cm="1">
        <f t="array" ref="AS553">SUMPRODUCT(($V553:$AN553&lt;=$I268)*(1))/COUNT($V553:$AN553)</f>
        <v>0.26315789473684209</v>
      </c>
      <c r="AT553" s="50" cm="1">
        <f t="array" ref="AT553">SUMPRODUCT(($V553:$AN553&lt;=$J268)*(1))/COUNT($V553:$AN553)</f>
        <v>0.10526315789473684</v>
      </c>
      <c r="AU553" s="50" cm="1">
        <f t="array" ref="AU553">SUMPRODUCT(($V553:$AN553&lt;=$K268)*(1))/COUNT($V553:$AN553)</f>
        <v>0</v>
      </c>
      <c r="AW553" s="52" cm="1">
        <f t="array" ref="AW553">SUMPRODUCT(($V553:$AN553&lt;=$I268)*(1))</f>
        <v>5</v>
      </c>
      <c r="AX553" s="52" cm="1">
        <f t="array" ref="AX553">SUMPRODUCT(($V553:$AN553&lt;=$J268)*(1))</f>
        <v>2</v>
      </c>
      <c r="AY553" s="52" cm="1">
        <f t="array" ref="AY553">SUMPRODUCT(($V553:$AN553&lt;=$K268)*(1))</f>
        <v>0</v>
      </c>
      <c r="BA553" s="52">
        <f t="shared" si="121"/>
        <v>3</v>
      </c>
      <c r="BB553" s="52">
        <f t="shared" si="122"/>
        <v>2</v>
      </c>
      <c r="BC553" s="52">
        <f t="shared" si="123"/>
        <v>0</v>
      </c>
      <c r="BE553" s="50">
        <f t="shared" si="143"/>
        <v>0.15789473684210525</v>
      </c>
      <c r="BF553" s="50">
        <f t="shared" si="144"/>
        <v>0.10526315789473684</v>
      </c>
      <c r="BG553" s="50">
        <f t="shared" si="145"/>
        <v>0</v>
      </c>
    </row>
    <row r="554" spans="4:59" ht="15.6">
      <c r="D554" s="44"/>
      <c r="M554" s="42"/>
      <c r="N554" s="39" t="s">
        <v>27</v>
      </c>
      <c r="O554" s="39" t="s">
        <v>517</v>
      </c>
      <c r="P554" t="s">
        <v>860</v>
      </c>
      <c r="R554" s="41"/>
      <c r="S554" s="42"/>
      <c r="T554" s="42"/>
      <c r="U554" s="42"/>
      <c r="V554" s="45">
        <f t="shared" si="124"/>
        <v>1.0757785516032605</v>
      </c>
      <c r="W554" s="45">
        <f t="shared" si="125"/>
        <v>0.99106494732654249</v>
      </c>
      <c r="X554" s="45">
        <f t="shared" si="126"/>
        <v>1.1381647867853126</v>
      </c>
      <c r="Y554" s="45">
        <f t="shared" si="127"/>
        <v>1.0205478962262953</v>
      </c>
      <c r="Z554" s="45">
        <f t="shared" si="128"/>
        <v>1.0827910323594967</v>
      </c>
      <c r="AA554" s="45">
        <f t="shared" si="129"/>
        <v>1.1157499389181549</v>
      </c>
      <c r="AB554" s="45">
        <f t="shared" si="130"/>
        <v>0.99028464594448462</v>
      </c>
      <c r="AC554" s="45">
        <f t="shared" si="131"/>
        <v>0.78648990137266328</v>
      </c>
      <c r="AD554" s="45">
        <f t="shared" si="132"/>
        <v>0.86935479724823772</v>
      </c>
      <c r="AE554" s="45">
        <f t="shared" si="133"/>
        <v>0.85006582144050014</v>
      </c>
      <c r="AF554" s="45">
        <f t="shared" si="134"/>
        <v>0.88603428620467128</v>
      </c>
      <c r="AG554" s="45">
        <f t="shared" si="135"/>
        <v>1.1750168078951728</v>
      </c>
      <c r="AH554" s="45">
        <f t="shared" si="136"/>
        <v>1.0939353610772433</v>
      </c>
      <c r="AI554" s="45">
        <f t="shared" si="137"/>
        <v>1.1786998873055221</v>
      </c>
      <c r="AJ554" s="45">
        <f t="shared" si="138"/>
        <v>0.93237289871723283</v>
      </c>
      <c r="AK554" s="45">
        <f t="shared" si="139"/>
        <v>1.1274071118709219</v>
      </c>
      <c r="AL554" s="45">
        <f t="shared" si="140"/>
        <v>1.0283136694737818</v>
      </c>
      <c r="AM554" s="45">
        <f t="shared" si="141"/>
        <v>1.0087205710106828</v>
      </c>
      <c r="AN554" s="45">
        <f t="shared" si="142"/>
        <v>0.77946364575163729</v>
      </c>
      <c r="AS554" s="50" cm="1">
        <f t="array" ref="AS554">SUMPRODUCT(($V554:$AN554&lt;=$I269)*(1))/COUNT($V554:$AN554)</f>
        <v>0.31578947368421051</v>
      </c>
      <c r="AT554" s="50" cm="1">
        <f t="array" ref="AT554">SUMPRODUCT(($V554:$AN554&lt;=$J269)*(1))/COUNT($V554:$AN554)</f>
        <v>0.10526315789473684</v>
      </c>
      <c r="AU554" s="50" cm="1">
        <f t="array" ref="AU554">SUMPRODUCT(($V554:$AN554&lt;=$K269)*(1))/COUNT($V554:$AN554)</f>
        <v>0</v>
      </c>
      <c r="AW554" s="52" cm="1">
        <f t="array" ref="AW554">SUMPRODUCT(($V554:$AN554&lt;=$I269)*(1))</f>
        <v>6</v>
      </c>
      <c r="AX554" s="52" cm="1">
        <f t="array" ref="AX554">SUMPRODUCT(($V554:$AN554&lt;=$J269)*(1))</f>
        <v>2</v>
      </c>
      <c r="AY554" s="52" cm="1">
        <f t="array" ref="AY554">SUMPRODUCT(($V554:$AN554&lt;=$K269)*(1))</f>
        <v>0</v>
      </c>
      <c r="BA554" s="52">
        <f t="shared" si="121"/>
        <v>4</v>
      </c>
      <c r="BB554" s="52">
        <f t="shared" si="122"/>
        <v>2</v>
      </c>
      <c r="BC554" s="52">
        <f t="shared" si="123"/>
        <v>0</v>
      </c>
      <c r="BE554" s="50">
        <f t="shared" si="143"/>
        <v>0.21052631578947367</v>
      </c>
      <c r="BF554" s="50">
        <f t="shared" si="144"/>
        <v>0.10526315789473684</v>
      </c>
      <c r="BG554" s="50">
        <f t="shared" si="145"/>
        <v>0</v>
      </c>
    </row>
    <row r="555" spans="4:59" ht="15.6">
      <c r="D555" s="44"/>
      <c r="M555" s="42"/>
      <c r="N555" s="39" t="s">
        <v>27</v>
      </c>
      <c r="O555" s="39" t="s">
        <v>494</v>
      </c>
      <c r="P555" t="s">
        <v>861</v>
      </c>
      <c r="R555" s="41"/>
      <c r="S555" s="42"/>
      <c r="T555" s="42"/>
      <c r="U555" s="42"/>
      <c r="V555" s="45">
        <f t="shared" si="124"/>
        <v>1</v>
      </c>
      <c r="W555" s="45">
        <f t="shared" si="125"/>
        <v>1</v>
      </c>
      <c r="X555" s="45">
        <f t="shared" si="126"/>
        <v>1</v>
      </c>
      <c r="Y555" s="45">
        <f t="shared" si="127"/>
        <v>1</v>
      </c>
      <c r="Z555" s="45">
        <f t="shared" si="128"/>
        <v>1</v>
      </c>
      <c r="AA555" s="45">
        <f t="shared" si="129"/>
        <v>1</v>
      </c>
      <c r="AB555" s="45">
        <f t="shared" si="130"/>
        <v>1</v>
      </c>
      <c r="AC555" s="45">
        <f t="shared" si="131"/>
        <v>1</v>
      </c>
      <c r="AD555" s="45">
        <f t="shared" si="132"/>
        <v>0.99642326904268796</v>
      </c>
      <c r="AE555" s="45">
        <f t="shared" si="133"/>
        <v>1</v>
      </c>
      <c r="AF555" s="45">
        <f t="shared" si="134"/>
        <v>0.9996396613567281</v>
      </c>
      <c r="AG555" s="45">
        <f t="shared" si="135"/>
        <v>1</v>
      </c>
      <c r="AH555" s="45">
        <f t="shared" si="136"/>
        <v>1</v>
      </c>
      <c r="AI555" s="45">
        <f t="shared" si="137"/>
        <v>1</v>
      </c>
      <c r="AJ555" s="45">
        <f t="shared" si="138"/>
        <v>0.99959676719002599</v>
      </c>
      <c r="AK555" s="45">
        <f t="shared" si="139"/>
        <v>1</v>
      </c>
      <c r="AL555" s="45">
        <f t="shared" si="140"/>
        <v>1</v>
      </c>
      <c r="AM555" s="45">
        <f t="shared" si="141"/>
        <v>1</v>
      </c>
      <c r="AN555" s="45">
        <f t="shared" si="142"/>
        <v>1</v>
      </c>
      <c r="AS555" s="50" cm="1">
        <f t="array" ref="AS555">SUMPRODUCT(($V555:$AN555&lt;=$I270)*(1))/COUNT($V555:$AN555)</f>
        <v>0</v>
      </c>
      <c r="AT555" s="50" cm="1">
        <f t="array" ref="AT555">SUMPRODUCT(($V555:$AN555&lt;=$J270)*(1))/COUNT($V555:$AN555)</f>
        <v>0</v>
      </c>
      <c r="AU555" s="50" cm="1">
        <f t="array" ref="AU555">SUMPRODUCT(($V555:$AN555&lt;=$K270)*(1))/COUNT($V555:$AN555)</f>
        <v>0</v>
      </c>
      <c r="AW555" s="52" cm="1">
        <f t="array" ref="AW555">SUMPRODUCT(($V555:$AN555&lt;=$I270)*(1))</f>
        <v>0</v>
      </c>
      <c r="AX555" s="52" cm="1">
        <f t="array" ref="AX555">SUMPRODUCT(($V555:$AN555&lt;=$J270)*(1))</f>
        <v>0</v>
      </c>
      <c r="AY555" s="52" cm="1">
        <f t="array" ref="AY555">SUMPRODUCT(($V555:$AN555&lt;=$K270)*(1))</f>
        <v>0</v>
      </c>
      <c r="BA555" s="52">
        <f t="shared" si="121"/>
        <v>0</v>
      </c>
      <c r="BB555" s="52">
        <f t="shared" si="122"/>
        <v>0</v>
      </c>
      <c r="BC555" s="52">
        <f t="shared" si="123"/>
        <v>0</v>
      </c>
      <c r="BE555" s="50">
        <f t="shared" si="143"/>
        <v>0</v>
      </c>
      <c r="BF555" s="50">
        <f t="shared" si="144"/>
        <v>0</v>
      </c>
      <c r="BG555" s="50">
        <f t="shared" si="145"/>
        <v>0</v>
      </c>
    </row>
    <row r="556" spans="4:59" ht="15.6">
      <c r="D556" s="44"/>
      <c r="M556" s="42"/>
      <c r="N556" s="39" t="s">
        <v>27</v>
      </c>
      <c r="O556" s="39" t="s">
        <v>172</v>
      </c>
      <c r="P556" t="s">
        <v>862</v>
      </c>
      <c r="R556" s="41"/>
      <c r="S556" s="42"/>
      <c r="T556" s="42"/>
      <c r="U556" s="42"/>
      <c r="V556" s="45">
        <f t="shared" si="124"/>
        <v>1</v>
      </c>
      <c r="W556" s="45">
        <f t="shared" si="125"/>
        <v>1</v>
      </c>
      <c r="X556" s="45">
        <f t="shared" si="126"/>
        <v>1</v>
      </c>
      <c r="Y556" s="45">
        <f t="shared" si="127"/>
        <v>1</v>
      </c>
      <c r="Z556" s="45">
        <f t="shared" si="128"/>
        <v>1</v>
      </c>
      <c r="AA556" s="45">
        <f t="shared" si="129"/>
        <v>1</v>
      </c>
      <c r="AB556" s="45">
        <f t="shared" si="130"/>
        <v>1</v>
      </c>
      <c r="AC556" s="45">
        <f t="shared" si="131"/>
        <v>1</v>
      </c>
      <c r="AD556" s="45">
        <f t="shared" si="132"/>
        <v>1</v>
      </c>
      <c r="AE556" s="45">
        <f t="shared" si="133"/>
        <v>1</v>
      </c>
      <c r="AF556" s="45">
        <f t="shared" si="134"/>
        <v>1</v>
      </c>
      <c r="AG556" s="45">
        <f t="shared" si="135"/>
        <v>1</v>
      </c>
      <c r="AH556" s="45">
        <f t="shared" si="136"/>
        <v>1</v>
      </c>
      <c r="AI556" s="45">
        <f t="shared" si="137"/>
        <v>1</v>
      </c>
      <c r="AJ556" s="45">
        <f t="shared" si="138"/>
        <v>1</v>
      </c>
      <c r="AK556" s="45">
        <f t="shared" si="139"/>
        <v>1</v>
      </c>
      <c r="AL556" s="45">
        <f t="shared" si="140"/>
        <v>1</v>
      </c>
      <c r="AM556" s="45">
        <f t="shared" si="141"/>
        <v>1</v>
      </c>
      <c r="AN556" s="45">
        <f t="shared" si="142"/>
        <v>1</v>
      </c>
      <c r="AS556" s="50" cm="1">
        <f t="array" ref="AS556">SUMPRODUCT(($V556:$AN556&lt;=$I271)*(1))/COUNT($V556:$AN556)</f>
        <v>0</v>
      </c>
      <c r="AT556" s="50" cm="1">
        <f t="array" ref="AT556">SUMPRODUCT(($V556:$AN556&lt;=$J271)*(1))/COUNT($V556:$AN556)</f>
        <v>0</v>
      </c>
      <c r="AU556" s="50" cm="1">
        <f t="array" ref="AU556">SUMPRODUCT(($V556:$AN556&lt;=$K271)*(1))/COUNT($V556:$AN556)</f>
        <v>0</v>
      </c>
      <c r="AW556" s="52" cm="1">
        <f t="array" ref="AW556">SUMPRODUCT(($V556:$AN556&lt;=$I271)*(1))</f>
        <v>0</v>
      </c>
      <c r="AX556" s="52" cm="1">
        <f t="array" ref="AX556">SUMPRODUCT(($V556:$AN556&lt;=$J271)*(1))</f>
        <v>0</v>
      </c>
      <c r="AY556" s="52" cm="1">
        <f t="array" ref="AY556">SUMPRODUCT(($V556:$AN556&lt;=$K271)*(1))</f>
        <v>0</v>
      </c>
      <c r="BA556" s="52">
        <f t="shared" si="121"/>
        <v>0</v>
      </c>
      <c r="BB556" s="52">
        <f t="shared" si="122"/>
        <v>0</v>
      </c>
      <c r="BC556" s="52">
        <f t="shared" si="123"/>
        <v>0</v>
      </c>
      <c r="BE556" s="50">
        <f t="shared" si="143"/>
        <v>0</v>
      </c>
      <c r="BF556" s="50">
        <f t="shared" si="144"/>
        <v>0</v>
      </c>
      <c r="BG556" s="50">
        <f t="shared" si="145"/>
        <v>0</v>
      </c>
    </row>
    <row r="557" spans="4:59" ht="15.6">
      <c r="D557" s="44"/>
      <c r="M557" s="42"/>
      <c r="N557" s="39" t="s">
        <v>27</v>
      </c>
      <c r="O557" s="39" t="s">
        <v>555</v>
      </c>
      <c r="P557" t="s">
        <v>863</v>
      </c>
      <c r="R557" s="41"/>
      <c r="S557" s="42"/>
      <c r="T557" s="42"/>
      <c r="U557" s="42"/>
      <c r="V557" s="45">
        <f t="shared" si="124"/>
        <v>1.1100934062661492</v>
      </c>
      <c r="W557" s="45">
        <f t="shared" si="125"/>
        <v>0.9415597080979895</v>
      </c>
      <c r="X557" s="45">
        <f t="shared" si="126"/>
        <v>1.2176341710150587</v>
      </c>
      <c r="Y557" s="45">
        <f t="shared" si="127"/>
        <v>1.0399158027414845</v>
      </c>
      <c r="Z557" s="45">
        <f t="shared" si="128"/>
        <v>0.87237580321023434</v>
      </c>
      <c r="AA557" s="45">
        <f t="shared" si="129"/>
        <v>1.0215627888820349</v>
      </c>
      <c r="AB557" s="45">
        <f t="shared" si="130"/>
        <v>1.1045997170804642</v>
      </c>
      <c r="AC557" s="45">
        <f t="shared" si="131"/>
        <v>1.0796679056973331</v>
      </c>
      <c r="AD557" s="45">
        <f t="shared" si="132"/>
        <v>0.90488365306988872</v>
      </c>
      <c r="AE557" s="45">
        <f t="shared" si="133"/>
        <v>0.86271695653135494</v>
      </c>
      <c r="AF557" s="45">
        <f t="shared" si="134"/>
        <v>0.90356927881083038</v>
      </c>
      <c r="AG557" s="45">
        <f t="shared" si="135"/>
        <v>1.0391723867206615</v>
      </c>
      <c r="AH557" s="45">
        <f t="shared" si="136"/>
        <v>1.1003825814851469</v>
      </c>
      <c r="AI557" s="45">
        <f t="shared" si="137"/>
        <v>0.97881929105787313</v>
      </c>
      <c r="AJ557" s="45">
        <f t="shared" si="138"/>
        <v>1.0794228440847713</v>
      </c>
      <c r="AK557" s="45">
        <f t="shared" si="139"/>
        <v>1.079798023639007</v>
      </c>
      <c r="AL557" s="45">
        <f t="shared" si="140"/>
        <v>1.1144988369387785</v>
      </c>
      <c r="AM557" s="45">
        <f t="shared" si="141"/>
        <v>1.0905425116891621</v>
      </c>
      <c r="AN557" s="45">
        <f t="shared" si="142"/>
        <v>0.93065020559361955</v>
      </c>
      <c r="AS557" s="50" cm="1">
        <f t="array" ref="AS557">SUMPRODUCT(($V557:$AN557&lt;=$I272)*(1))/COUNT($V557:$AN557)</f>
        <v>0.31578947368421051</v>
      </c>
      <c r="AT557" s="50" cm="1">
        <f t="array" ref="AT557">SUMPRODUCT(($V557:$AN557&lt;=$J272)*(1))/COUNT($V557:$AN557)</f>
        <v>0</v>
      </c>
      <c r="AU557" s="50" cm="1">
        <f t="array" ref="AU557">SUMPRODUCT(($V557:$AN557&lt;=$K272)*(1))/COUNT($V557:$AN557)</f>
        <v>0</v>
      </c>
      <c r="AW557" s="52" cm="1">
        <f t="array" ref="AW557">SUMPRODUCT(($V557:$AN557&lt;=$I272)*(1))</f>
        <v>6</v>
      </c>
      <c r="AX557" s="52" cm="1">
        <f t="array" ref="AX557">SUMPRODUCT(($V557:$AN557&lt;=$J272)*(1))</f>
        <v>0</v>
      </c>
      <c r="AY557" s="52" cm="1">
        <f t="array" ref="AY557">SUMPRODUCT(($V557:$AN557&lt;=$K272)*(1))</f>
        <v>0</v>
      </c>
      <c r="BA557" s="52">
        <f t="shared" si="121"/>
        <v>6</v>
      </c>
      <c r="BB557" s="52">
        <f t="shared" si="122"/>
        <v>0</v>
      </c>
      <c r="BC557" s="52">
        <f t="shared" si="123"/>
        <v>0</v>
      </c>
      <c r="BE557" s="50">
        <f t="shared" si="143"/>
        <v>0.31578947368421051</v>
      </c>
      <c r="BF557" s="50">
        <f t="shared" si="144"/>
        <v>0</v>
      </c>
      <c r="BG557" s="50">
        <f t="shared" si="145"/>
        <v>0</v>
      </c>
    </row>
    <row r="558" spans="4:59" ht="15.6">
      <c r="D558" s="44"/>
      <c r="M558" s="42"/>
      <c r="N558" s="39" t="s">
        <v>27</v>
      </c>
      <c r="O558" s="39" t="s">
        <v>184</v>
      </c>
      <c r="P558" t="s">
        <v>864</v>
      </c>
      <c r="R558" s="41"/>
      <c r="S558" s="42"/>
      <c r="T558" s="42"/>
      <c r="U558" s="42"/>
      <c r="V558" s="45">
        <f t="shared" si="124"/>
        <v>1</v>
      </c>
      <c r="W558" s="45">
        <f t="shared" si="125"/>
        <v>1</v>
      </c>
      <c r="X558" s="45">
        <f t="shared" si="126"/>
        <v>1</v>
      </c>
      <c r="Y558" s="45">
        <f t="shared" si="127"/>
        <v>1</v>
      </c>
      <c r="Z558" s="45">
        <f t="shared" si="128"/>
        <v>1</v>
      </c>
      <c r="AA558" s="45">
        <f t="shared" si="129"/>
        <v>1</v>
      </c>
      <c r="AB558" s="45">
        <f t="shared" si="130"/>
        <v>1</v>
      </c>
      <c r="AC558" s="45">
        <f t="shared" si="131"/>
        <v>1</v>
      </c>
      <c r="AD558" s="45">
        <f t="shared" si="132"/>
        <v>1</v>
      </c>
      <c r="AE558" s="45">
        <f t="shared" si="133"/>
        <v>1</v>
      </c>
      <c r="AF558" s="45">
        <f t="shared" si="134"/>
        <v>1</v>
      </c>
      <c r="AG558" s="45">
        <f t="shared" si="135"/>
        <v>1</v>
      </c>
      <c r="AH558" s="45">
        <f t="shared" si="136"/>
        <v>1</v>
      </c>
      <c r="AI558" s="45">
        <f t="shared" si="137"/>
        <v>1</v>
      </c>
      <c r="AJ558" s="45">
        <f t="shared" si="138"/>
        <v>1</v>
      </c>
      <c r="AK558" s="45">
        <f t="shared" si="139"/>
        <v>1</v>
      </c>
      <c r="AL558" s="45">
        <f t="shared" si="140"/>
        <v>1</v>
      </c>
      <c r="AM558" s="45">
        <f t="shared" si="141"/>
        <v>1</v>
      </c>
      <c r="AN558" s="45">
        <f t="shared" si="142"/>
        <v>1</v>
      </c>
      <c r="AS558" s="50" cm="1">
        <f t="array" ref="AS558">SUMPRODUCT(($V558:$AN558&lt;=$I273)*(1))/COUNT($V558:$AN558)</f>
        <v>0</v>
      </c>
      <c r="AT558" s="50" cm="1">
        <f t="array" ref="AT558">SUMPRODUCT(($V558:$AN558&lt;=$J273)*(1))/COUNT($V558:$AN558)</f>
        <v>0</v>
      </c>
      <c r="AU558" s="50" cm="1">
        <f t="array" ref="AU558">SUMPRODUCT(($V558:$AN558&lt;=$K273)*(1))/COUNT($V558:$AN558)</f>
        <v>0</v>
      </c>
      <c r="AW558" s="52" cm="1">
        <f t="array" ref="AW558">SUMPRODUCT(($V558:$AN558&lt;=$I273)*(1))</f>
        <v>0</v>
      </c>
      <c r="AX558" s="52" cm="1">
        <f t="array" ref="AX558">SUMPRODUCT(($V558:$AN558&lt;=$J273)*(1))</f>
        <v>0</v>
      </c>
      <c r="AY558" s="52" cm="1">
        <f t="array" ref="AY558">SUMPRODUCT(($V558:$AN558&lt;=$K273)*(1))</f>
        <v>0</v>
      </c>
      <c r="BA558" s="52">
        <f t="shared" si="121"/>
        <v>0</v>
      </c>
      <c r="BB558" s="52">
        <f t="shared" si="122"/>
        <v>0</v>
      </c>
      <c r="BC558" s="52">
        <f t="shared" si="123"/>
        <v>0</v>
      </c>
      <c r="BE558" s="50">
        <f t="shared" si="143"/>
        <v>0</v>
      </c>
      <c r="BF558" s="50">
        <f t="shared" si="144"/>
        <v>0</v>
      </c>
      <c r="BG558" s="50">
        <f t="shared" si="145"/>
        <v>0</v>
      </c>
    </row>
    <row r="559" spans="4:59" ht="15.6">
      <c r="D559" s="44"/>
      <c r="M559" s="42"/>
      <c r="N559" s="39" t="s">
        <v>26</v>
      </c>
      <c r="O559" s="39" t="s">
        <v>527</v>
      </c>
      <c r="P559" t="s">
        <v>721</v>
      </c>
      <c r="R559" s="41"/>
      <c r="S559" s="42"/>
      <c r="T559" s="42"/>
      <c r="U559" s="42"/>
      <c r="V559" s="45">
        <f t="shared" si="124"/>
        <v>1.0762973796346542</v>
      </c>
      <c r="W559" s="45">
        <f t="shared" si="125"/>
        <v>1.0499548259046949</v>
      </c>
      <c r="X559" s="45">
        <f t="shared" si="126"/>
        <v>1.1328978040182736</v>
      </c>
      <c r="Y559" s="45">
        <f t="shared" si="127"/>
        <v>1.0707003137740199</v>
      </c>
      <c r="Z559" s="45">
        <f t="shared" si="128"/>
        <v>1.0217326657379371</v>
      </c>
      <c r="AA559" s="45">
        <f t="shared" si="129"/>
        <v>0.95709174552908338</v>
      </c>
      <c r="AB559" s="45">
        <f t="shared" si="130"/>
        <v>0.95165697671766214</v>
      </c>
      <c r="AC559" s="45">
        <f t="shared" si="131"/>
        <v>0.8192108659918157</v>
      </c>
      <c r="AD559" s="45">
        <f t="shared" si="132"/>
        <v>0.80907304814058112</v>
      </c>
      <c r="AE559" s="45">
        <f t="shared" si="133"/>
        <v>0.79861738051880815</v>
      </c>
      <c r="AF559" s="45">
        <f t="shared" si="134"/>
        <v>0.84506166848154962</v>
      </c>
      <c r="AG559" s="45">
        <f t="shared" si="135"/>
        <v>1.2606314203868707</v>
      </c>
      <c r="AH559" s="45">
        <f t="shared" si="136"/>
        <v>1.2573927005795507</v>
      </c>
      <c r="AI559" s="45">
        <f t="shared" si="137"/>
        <v>1.2519894299008285</v>
      </c>
      <c r="AJ559" s="45">
        <f t="shared" si="138"/>
        <v>0.8793917716384031</v>
      </c>
      <c r="AK559" s="45">
        <f t="shared" si="139"/>
        <v>1.0913921805385756</v>
      </c>
      <c r="AL559" s="45">
        <f t="shared" si="140"/>
        <v>1.0867022476597124</v>
      </c>
      <c r="AM559" s="45">
        <f t="shared" si="141"/>
        <v>1.0729516483476227</v>
      </c>
      <c r="AN559" s="45">
        <f t="shared" si="142"/>
        <v>0.80807684560636794</v>
      </c>
      <c r="AS559" s="50" cm="1">
        <f t="array" ref="AS559">SUMPRODUCT(($V559:$AN559&lt;=$I274)*(1))/COUNT($V559:$AN559)</f>
        <v>0.31578947368421051</v>
      </c>
      <c r="AT559" s="50" cm="1">
        <f t="array" ref="AT559">SUMPRODUCT(($V559:$AN559&lt;=$J274)*(1))/COUNT($V559:$AN559)</f>
        <v>0.26315789473684209</v>
      </c>
      <c r="AU559" s="50" cm="1">
        <f t="array" ref="AU559">SUMPRODUCT(($V559:$AN559&lt;=$K274)*(1))/COUNT($V559:$AN559)</f>
        <v>0</v>
      </c>
      <c r="AW559" s="52" cm="1">
        <f t="array" ref="AW559">SUMPRODUCT(($V559:$AN559&lt;=$I274)*(1))</f>
        <v>6</v>
      </c>
      <c r="AX559" s="52" cm="1">
        <f t="array" ref="AX559">SUMPRODUCT(($V559:$AN559&lt;=$J274)*(1))</f>
        <v>5</v>
      </c>
      <c r="AY559" s="52" cm="1">
        <f t="array" ref="AY559">SUMPRODUCT(($V559:$AN559&lt;=$K274)*(1))</f>
        <v>0</v>
      </c>
      <c r="BA559" s="52">
        <f t="shared" si="121"/>
        <v>1</v>
      </c>
      <c r="BB559" s="52">
        <f t="shared" si="122"/>
        <v>5</v>
      </c>
      <c r="BC559" s="52">
        <f t="shared" si="123"/>
        <v>0</v>
      </c>
      <c r="BE559" s="50">
        <f t="shared" si="143"/>
        <v>5.2631578947368418E-2</v>
      </c>
      <c r="BF559" s="50">
        <f t="shared" si="144"/>
        <v>0.26315789473684209</v>
      </c>
      <c r="BG559" s="50">
        <f t="shared" si="145"/>
        <v>0</v>
      </c>
    </row>
    <row r="560" spans="4:59" ht="15.6">
      <c r="D560" s="44"/>
      <c r="M560" s="42"/>
      <c r="N560" s="39" t="s">
        <v>27</v>
      </c>
      <c r="O560" s="39" t="s">
        <v>448</v>
      </c>
      <c r="P560" t="s">
        <v>865</v>
      </c>
      <c r="R560" s="41"/>
      <c r="S560" s="42"/>
      <c r="T560" s="42"/>
      <c r="U560" s="42"/>
      <c r="V560" s="45">
        <f t="shared" si="124"/>
        <v>1</v>
      </c>
      <c r="W560" s="45">
        <f t="shared" si="125"/>
        <v>1</v>
      </c>
      <c r="X560" s="45">
        <f t="shared" si="126"/>
        <v>1</v>
      </c>
      <c r="Y560" s="45">
        <f t="shared" si="127"/>
        <v>1</v>
      </c>
      <c r="Z560" s="45">
        <f t="shared" si="128"/>
        <v>1</v>
      </c>
      <c r="AA560" s="45">
        <f t="shared" si="129"/>
        <v>1</v>
      </c>
      <c r="AB560" s="45">
        <f t="shared" si="130"/>
        <v>1</v>
      </c>
      <c r="AC560" s="45">
        <f t="shared" si="131"/>
        <v>1</v>
      </c>
      <c r="AD560" s="45">
        <f t="shared" si="132"/>
        <v>0.99270235485882907</v>
      </c>
      <c r="AE560" s="45">
        <f t="shared" si="133"/>
        <v>1</v>
      </c>
      <c r="AF560" s="45">
        <f t="shared" si="134"/>
        <v>1</v>
      </c>
      <c r="AG560" s="45">
        <f t="shared" si="135"/>
        <v>1</v>
      </c>
      <c r="AH560" s="45">
        <f t="shared" si="136"/>
        <v>1</v>
      </c>
      <c r="AI560" s="45">
        <f t="shared" si="137"/>
        <v>1</v>
      </c>
      <c r="AJ560" s="45">
        <f t="shared" si="138"/>
        <v>1</v>
      </c>
      <c r="AK560" s="45">
        <f t="shared" si="139"/>
        <v>1</v>
      </c>
      <c r="AL560" s="45">
        <f t="shared" si="140"/>
        <v>1</v>
      </c>
      <c r="AM560" s="45">
        <f t="shared" si="141"/>
        <v>1</v>
      </c>
      <c r="AN560" s="45">
        <f t="shared" si="142"/>
        <v>1</v>
      </c>
      <c r="AS560" s="50" cm="1">
        <f t="array" ref="AS560">SUMPRODUCT(($V560:$AN560&lt;=$I275)*(1))/COUNT($V560:$AN560)</f>
        <v>0</v>
      </c>
      <c r="AT560" s="50" cm="1">
        <f t="array" ref="AT560">SUMPRODUCT(($V560:$AN560&lt;=$J275)*(1))/COUNT($V560:$AN560)</f>
        <v>0</v>
      </c>
      <c r="AU560" s="50" cm="1">
        <f t="array" ref="AU560">SUMPRODUCT(($V560:$AN560&lt;=$K275)*(1))/COUNT($V560:$AN560)</f>
        <v>0</v>
      </c>
      <c r="AW560" s="52" cm="1">
        <f t="array" ref="AW560">SUMPRODUCT(($V560:$AN560&lt;=$I275)*(1))</f>
        <v>0</v>
      </c>
      <c r="AX560" s="52" cm="1">
        <f t="array" ref="AX560">SUMPRODUCT(($V560:$AN560&lt;=$J275)*(1))</f>
        <v>0</v>
      </c>
      <c r="AY560" s="52" cm="1">
        <f t="array" ref="AY560">SUMPRODUCT(($V560:$AN560&lt;=$K275)*(1))</f>
        <v>0</v>
      </c>
      <c r="BA560" s="52">
        <f t="shared" si="121"/>
        <v>0</v>
      </c>
      <c r="BB560" s="52">
        <f t="shared" si="122"/>
        <v>0</v>
      </c>
      <c r="BC560" s="52">
        <f t="shared" si="123"/>
        <v>0</v>
      </c>
      <c r="BE560" s="50">
        <f t="shared" si="143"/>
        <v>0</v>
      </c>
      <c r="BF560" s="50">
        <f t="shared" si="144"/>
        <v>0</v>
      </c>
      <c r="BG560" s="50">
        <f t="shared" si="145"/>
        <v>0</v>
      </c>
    </row>
    <row r="561" spans="4:59" ht="15.6">
      <c r="D561" s="44"/>
      <c r="M561" s="42"/>
      <c r="N561" s="39" t="s">
        <v>27</v>
      </c>
      <c r="O561" s="39" t="s">
        <v>472</v>
      </c>
      <c r="P561" t="s">
        <v>866</v>
      </c>
      <c r="R561" s="41"/>
      <c r="S561" s="42"/>
      <c r="T561" s="42"/>
      <c r="U561" s="42"/>
      <c r="V561" s="45">
        <f t="shared" si="124"/>
        <v>0.99804664937228493</v>
      </c>
      <c r="W561" s="45">
        <f t="shared" si="125"/>
        <v>0.99817648158709804</v>
      </c>
      <c r="X561" s="45">
        <f t="shared" si="126"/>
        <v>1.0018268497069802</v>
      </c>
      <c r="Y561" s="45">
        <f t="shared" si="127"/>
        <v>0.9893518821239583</v>
      </c>
      <c r="Z561" s="45">
        <f t="shared" si="128"/>
        <v>1.0018268497069802</v>
      </c>
      <c r="AA561" s="45">
        <f t="shared" si="129"/>
        <v>1.0018268497069802</v>
      </c>
      <c r="AB561" s="45">
        <f t="shared" si="130"/>
        <v>1</v>
      </c>
      <c r="AC561" s="45">
        <f t="shared" si="131"/>
        <v>1</v>
      </c>
      <c r="AD561" s="45">
        <f t="shared" si="132"/>
        <v>0.94301115808904701</v>
      </c>
      <c r="AE561" s="45">
        <f t="shared" si="133"/>
        <v>0.99625883809550997</v>
      </c>
      <c r="AF561" s="45">
        <f t="shared" si="134"/>
        <v>0.97629950744693006</v>
      </c>
      <c r="AG561" s="45">
        <f t="shared" si="135"/>
        <v>0.95799798575879802</v>
      </c>
      <c r="AH561" s="45">
        <f t="shared" si="136"/>
        <v>1.0242758419647757</v>
      </c>
      <c r="AI561" s="45">
        <f t="shared" si="137"/>
        <v>1.0234583938079964</v>
      </c>
      <c r="AJ561" s="45">
        <f t="shared" si="138"/>
        <v>0.90915440577336559</v>
      </c>
      <c r="AK561" s="45">
        <f t="shared" si="139"/>
        <v>1.0242758419647757</v>
      </c>
      <c r="AL561" s="45">
        <f t="shared" si="140"/>
        <v>1.0007987116640256</v>
      </c>
      <c r="AM561" s="45">
        <f t="shared" si="141"/>
        <v>1</v>
      </c>
      <c r="AN561" s="45">
        <f t="shared" si="142"/>
        <v>1</v>
      </c>
      <c r="AS561" s="50" cm="1">
        <f t="array" ref="AS561">SUMPRODUCT(($V561:$AN561&lt;=$I276)*(1))/COUNT($V561:$AN561)</f>
        <v>0.10526315789473684</v>
      </c>
      <c r="AT561" s="50" cm="1">
        <f t="array" ref="AT561">SUMPRODUCT(($V561:$AN561&lt;=$J276)*(1))/COUNT($V561:$AN561)</f>
        <v>0</v>
      </c>
      <c r="AU561" s="50" cm="1">
        <f t="array" ref="AU561">SUMPRODUCT(($V561:$AN561&lt;=$K276)*(1))/COUNT($V561:$AN561)</f>
        <v>0</v>
      </c>
      <c r="AW561" s="52" cm="1">
        <f t="array" ref="AW561">SUMPRODUCT(($V561:$AN561&lt;=$I276)*(1))</f>
        <v>2</v>
      </c>
      <c r="AX561" s="52" cm="1">
        <f t="array" ref="AX561">SUMPRODUCT(($V561:$AN561&lt;=$J276)*(1))</f>
        <v>0</v>
      </c>
      <c r="AY561" s="52" cm="1">
        <f t="array" ref="AY561">SUMPRODUCT(($V561:$AN561&lt;=$K276)*(1))</f>
        <v>0</v>
      </c>
      <c r="BA561" s="52">
        <f t="shared" si="121"/>
        <v>2</v>
      </c>
      <c r="BB561" s="52">
        <f t="shared" si="122"/>
        <v>0</v>
      </c>
      <c r="BC561" s="52">
        <f t="shared" si="123"/>
        <v>0</v>
      </c>
      <c r="BE561" s="50">
        <f t="shared" si="143"/>
        <v>0.10526315789473684</v>
      </c>
      <c r="BF561" s="50">
        <f t="shared" si="144"/>
        <v>0</v>
      </c>
      <c r="BG561" s="50">
        <f t="shared" si="145"/>
        <v>0</v>
      </c>
    </row>
    <row r="562" spans="4:59" ht="15.6">
      <c r="D562" s="44"/>
      <c r="M562" s="42"/>
      <c r="N562" s="39" t="s">
        <v>27</v>
      </c>
      <c r="O562" s="39" t="s">
        <v>530</v>
      </c>
      <c r="P562" t="s">
        <v>867</v>
      </c>
      <c r="R562" s="41"/>
      <c r="S562" s="42"/>
      <c r="T562" s="42"/>
      <c r="U562" s="42"/>
      <c r="V562" s="45">
        <f t="shared" si="124"/>
        <v>1.0850593674075897</v>
      </c>
      <c r="W562" s="45">
        <f t="shared" si="125"/>
        <v>0.92950661023352177</v>
      </c>
      <c r="X562" s="45">
        <f t="shared" si="126"/>
        <v>1.110656337029041</v>
      </c>
      <c r="Y562" s="45">
        <f t="shared" si="127"/>
        <v>1.056701380867948</v>
      </c>
      <c r="Z562" s="45">
        <f t="shared" si="128"/>
        <v>0.72945885567488011</v>
      </c>
      <c r="AA562" s="45">
        <f t="shared" si="129"/>
        <v>0.9880796529335607</v>
      </c>
      <c r="AB562" s="45">
        <f t="shared" si="130"/>
        <v>1.0623525866494454</v>
      </c>
      <c r="AC562" s="45">
        <f t="shared" si="131"/>
        <v>1.0189234526196258</v>
      </c>
      <c r="AD562" s="45">
        <f t="shared" si="132"/>
        <v>0.85831261536545445</v>
      </c>
      <c r="AE562" s="45">
        <f t="shared" si="133"/>
        <v>0.86205840744467244</v>
      </c>
      <c r="AF562" s="45">
        <f t="shared" si="134"/>
        <v>0.83134265462827406</v>
      </c>
      <c r="AG562" s="45">
        <f t="shared" si="135"/>
        <v>1.0324196321761823</v>
      </c>
      <c r="AH562" s="45">
        <f t="shared" si="136"/>
        <v>1.14373683975586</v>
      </c>
      <c r="AI562" s="45">
        <f t="shared" si="137"/>
        <v>0.97730041365282649</v>
      </c>
      <c r="AJ562" s="45">
        <f t="shared" si="138"/>
        <v>1.0209297649570168</v>
      </c>
      <c r="AK562" s="45">
        <f t="shared" si="139"/>
        <v>1.1128063477389709</v>
      </c>
      <c r="AL562" s="45">
        <f t="shared" si="140"/>
        <v>1.1709235589988918</v>
      </c>
      <c r="AM562" s="45">
        <f t="shared" si="141"/>
        <v>1.0713383729774508</v>
      </c>
      <c r="AN562" s="45">
        <f t="shared" si="142"/>
        <v>0.93498069695159602</v>
      </c>
      <c r="AS562" s="50" cm="1">
        <f t="array" ref="AS562">SUMPRODUCT(($V562:$AN562&lt;=$I277)*(1))/COUNT($V562:$AN562)</f>
        <v>0.31578947368421051</v>
      </c>
      <c r="AT562" s="50" cm="1">
        <f t="array" ref="AT562">SUMPRODUCT(($V562:$AN562&lt;=$J277)*(1))/COUNT($V562:$AN562)</f>
        <v>0.10526315789473684</v>
      </c>
      <c r="AU562" s="50" cm="1">
        <f t="array" ref="AU562">SUMPRODUCT(($V562:$AN562&lt;=$K277)*(1))/COUNT($V562:$AN562)</f>
        <v>5.2631578947368418E-2</v>
      </c>
      <c r="AW562" s="52" cm="1">
        <f t="array" ref="AW562">SUMPRODUCT(($V562:$AN562&lt;=$I277)*(1))</f>
        <v>6</v>
      </c>
      <c r="AX562" s="52" cm="1">
        <f t="array" ref="AX562">SUMPRODUCT(($V562:$AN562&lt;=$J277)*(1))</f>
        <v>2</v>
      </c>
      <c r="AY562" s="52" cm="1">
        <f t="array" ref="AY562">SUMPRODUCT(($V562:$AN562&lt;=$K277)*(1))</f>
        <v>1</v>
      </c>
      <c r="BA562" s="52">
        <f t="shared" si="121"/>
        <v>4</v>
      </c>
      <c r="BB562" s="52">
        <f t="shared" si="122"/>
        <v>1</v>
      </c>
      <c r="BC562" s="52">
        <f t="shared" si="123"/>
        <v>1</v>
      </c>
      <c r="BE562" s="50">
        <f t="shared" si="143"/>
        <v>0.21052631578947367</v>
      </c>
      <c r="BF562" s="50">
        <f t="shared" si="144"/>
        <v>5.2631578947368418E-2</v>
      </c>
      <c r="BG562" s="50">
        <f t="shared" si="145"/>
        <v>5.2631578947368418E-2</v>
      </c>
    </row>
    <row r="563" spans="4:59" ht="15.6">
      <c r="D563" s="44"/>
      <c r="M563" s="42"/>
      <c r="N563" s="39" t="s">
        <v>27</v>
      </c>
      <c r="O563" s="39" t="s">
        <v>572</v>
      </c>
      <c r="P563" t="s">
        <v>868</v>
      </c>
      <c r="R563" s="41"/>
      <c r="S563" s="42"/>
      <c r="T563" s="42"/>
      <c r="U563" s="42"/>
      <c r="V563" s="45">
        <f t="shared" si="124"/>
        <v>1</v>
      </c>
      <c r="W563" s="45">
        <f t="shared" si="125"/>
        <v>0.99979315180212391</v>
      </c>
      <c r="X563" s="45">
        <f t="shared" si="126"/>
        <v>1</v>
      </c>
      <c r="Y563" s="45">
        <f t="shared" si="127"/>
        <v>1</v>
      </c>
      <c r="Z563" s="45">
        <f t="shared" si="128"/>
        <v>1</v>
      </c>
      <c r="AA563" s="45">
        <f t="shared" si="129"/>
        <v>1</v>
      </c>
      <c r="AB563" s="45">
        <f t="shared" si="130"/>
        <v>1</v>
      </c>
      <c r="AC563" s="45">
        <f t="shared" si="131"/>
        <v>1</v>
      </c>
      <c r="AD563" s="45">
        <f t="shared" si="132"/>
        <v>0.98813496572901505</v>
      </c>
      <c r="AE563" s="45">
        <f t="shared" si="133"/>
        <v>1</v>
      </c>
      <c r="AF563" s="45">
        <f t="shared" si="134"/>
        <v>1</v>
      </c>
      <c r="AG563" s="45">
        <f t="shared" si="135"/>
        <v>1</v>
      </c>
      <c r="AH563" s="45">
        <f t="shared" si="136"/>
        <v>1</v>
      </c>
      <c r="AI563" s="45">
        <f t="shared" si="137"/>
        <v>1</v>
      </c>
      <c r="AJ563" s="45">
        <f t="shared" si="138"/>
        <v>1</v>
      </c>
      <c r="AK563" s="45">
        <f t="shared" si="139"/>
        <v>1</v>
      </c>
      <c r="AL563" s="45">
        <f t="shared" si="140"/>
        <v>1</v>
      </c>
      <c r="AM563" s="45">
        <f t="shared" si="141"/>
        <v>1</v>
      </c>
      <c r="AN563" s="45">
        <f t="shared" si="142"/>
        <v>1</v>
      </c>
      <c r="AS563" s="50" cm="1">
        <f t="array" ref="AS563">SUMPRODUCT(($V563:$AN563&lt;=$I278)*(1))/COUNT($V563:$AN563)</f>
        <v>0</v>
      </c>
      <c r="AT563" s="50" cm="1">
        <f t="array" ref="AT563">SUMPRODUCT(($V563:$AN563&lt;=$J278)*(1))/COUNT($V563:$AN563)</f>
        <v>0</v>
      </c>
      <c r="AU563" s="50" cm="1">
        <f t="array" ref="AU563">SUMPRODUCT(($V563:$AN563&lt;=$K278)*(1))/COUNT($V563:$AN563)</f>
        <v>0</v>
      </c>
      <c r="AW563" s="52" cm="1">
        <f t="array" ref="AW563">SUMPRODUCT(($V563:$AN563&lt;=$I278)*(1))</f>
        <v>0</v>
      </c>
      <c r="AX563" s="52" cm="1">
        <f t="array" ref="AX563">SUMPRODUCT(($V563:$AN563&lt;=$J278)*(1))</f>
        <v>0</v>
      </c>
      <c r="AY563" s="52" cm="1">
        <f t="array" ref="AY563">SUMPRODUCT(($V563:$AN563&lt;=$K278)*(1))</f>
        <v>0</v>
      </c>
      <c r="BA563" s="52">
        <f t="shared" ref="BA563:BB569" si="146">AW563-AX563</f>
        <v>0</v>
      </c>
      <c r="BB563" s="52">
        <f t="shared" si="146"/>
        <v>0</v>
      </c>
      <c r="BC563" s="52">
        <f t="shared" ref="BC563:BC569" si="147">AY563</f>
        <v>0</v>
      </c>
      <c r="BE563" s="50">
        <f t="shared" si="143"/>
        <v>0</v>
      </c>
      <c r="BF563" s="50">
        <f t="shared" si="144"/>
        <v>0</v>
      </c>
      <c r="BG563" s="50">
        <f t="shared" si="145"/>
        <v>0</v>
      </c>
    </row>
    <row r="564" spans="4:59" ht="15.6">
      <c r="D564" s="44"/>
      <c r="M564" s="42"/>
      <c r="N564" s="39" t="s">
        <v>27</v>
      </c>
      <c r="O564" s="39" t="s">
        <v>618</v>
      </c>
      <c r="P564" t="s">
        <v>869</v>
      </c>
      <c r="R564" s="41"/>
      <c r="S564" s="42"/>
      <c r="T564" s="42"/>
      <c r="U564" s="42"/>
      <c r="V564" s="45">
        <f t="shared" si="124"/>
        <v>1.054152675863463</v>
      </c>
      <c r="W564" s="45">
        <f t="shared" si="125"/>
        <v>0.87750917737504619</v>
      </c>
      <c r="X564" s="45">
        <f t="shared" si="126"/>
        <v>1.1055556945009393</v>
      </c>
      <c r="Y564" s="45">
        <f t="shared" si="127"/>
        <v>1.098225974732105</v>
      </c>
      <c r="Z564" s="45">
        <f t="shared" si="128"/>
        <v>0.94806733614647387</v>
      </c>
      <c r="AA564" s="45">
        <f t="shared" si="129"/>
        <v>1.0066100128416007</v>
      </c>
      <c r="AB564" s="45">
        <f t="shared" si="130"/>
        <v>1.0052440090849726</v>
      </c>
      <c r="AC564" s="45">
        <f t="shared" si="131"/>
        <v>1.0003036803132552</v>
      </c>
      <c r="AD564" s="45">
        <f t="shared" si="132"/>
        <v>0.83334418016568623</v>
      </c>
      <c r="AE564" s="45">
        <f t="shared" si="133"/>
        <v>0.93791551498626691</v>
      </c>
      <c r="AF564" s="45">
        <f t="shared" si="134"/>
        <v>0.91524310405184972</v>
      </c>
      <c r="AG564" s="45">
        <f t="shared" si="135"/>
        <v>0.952535528627244</v>
      </c>
      <c r="AH564" s="45">
        <f t="shared" si="136"/>
        <v>1.089111408530909</v>
      </c>
      <c r="AI564" s="45">
        <f t="shared" si="137"/>
        <v>0.98724777629417515</v>
      </c>
      <c r="AJ564" s="45">
        <f t="shared" si="138"/>
        <v>1.001277987490008</v>
      </c>
      <c r="AK564" s="45">
        <f t="shared" si="139"/>
        <v>1.0941603070209003</v>
      </c>
      <c r="AL564" s="45">
        <f t="shared" si="140"/>
        <v>1.0867464928049357</v>
      </c>
      <c r="AM564" s="45">
        <f t="shared" si="141"/>
        <v>1.0055369636157143</v>
      </c>
      <c r="AN564" s="45">
        <f t="shared" si="142"/>
        <v>0.89279741169873716</v>
      </c>
      <c r="AS564" s="50" cm="1">
        <f t="array" ref="AS564">SUMPRODUCT(($V564:$AN564&lt;=$I279)*(1))/COUNT($V564:$AN564)</f>
        <v>0.31578947368421051</v>
      </c>
      <c r="AT564" s="50" cm="1">
        <f t="array" ref="AT564">SUMPRODUCT(($V564:$AN564&lt;=$J279)*(1))/COUNT($V564:$AN564)</f>
        <v>5.2631578947368418E-2</v>
      </c>
      <c r="AU564" s="50" cm="1">
        <f t="array" ref="AU564">SUMPRODUCT(($V564:$AN564&lt;=$K279)*(1))/COUNT($V564:$AN564)</f>
        <v>0</v>
      </c>
      <c r="AW564" s="52" cm="1">
        <f t="array" ref="AW564">SUMPRODUCT(($V564:$AN564&lt;=$I279)*(1))</f>
        <v>6</v>
      </c>
      <c r="AX564" s="52" cm="1">
        <f t="array" ref="AX564">SUMPRODUCT(($V564:$AN564&lt;=$J279)*(1))</f>
        <v>1</v>
      </c>
      <c r="AY564" s="52" cm="1">
        <f t="array" ref="AY564">SUMPRODUCT(($V564:$AN564&lt;=$K279)*(1))</f>
        <v>0</v>
      </c>
      <c r="BA564" s="52">
        <f t="shared" si="146"/>
        <v>5</v>
      </c>
      <c r="BB564" s="52">
        <f t="shared" si="146"/>
        <v>1</v>
      </c>
      <c r="BC564" s="52">
        <f t="shared" si="147"/>
        <v>0</v>
      </c>
      <c r="BE564" s="50">
        <f t="shared" si="143"/>
        <v>0.26315789473684209</v>
      </c>
      <c r="BF564" s="50">
        <f t="shared" si="144"/>
        <v>5.2631578947368418E-2</v>
      </c>
      <c r="BG564" s="50">
        <f t="shared" si="145"/>
        <v>0</v>
      </c>
    </row>
    <row r="565" spans="4:59" ht="15.6">
      <c r="D565" s="44"/>
      <c r="M565" s="42"/>
      <c r="N565" s="39" t="s">
        <v>27</v>
      </c>
      <c r="O565" s="39" t="s">
        <v>479</v>
      </c>
      <c r="P565" t="s">
        <v>870</v>
      </c>
      <c r="R565" s="41"/>
      <c r="S565" s="42"/>
      <c r="T565" s="42"/>
      <c r="U565" s="42"/>
      <c r="V565" s="45">
        <f t="shared" si="124"/>
        <v>1</v>
      </c>
      <c r="W565" s="45">
        <f t="shared" si="125"/>
        <v>1</v>
      </c>
      <c r="X565" s="45">
        <f t="shared" si="126"/>
        <v>1</v>
      </c>
      <c r="Y565" s="45">
        <f t="shared" si="127"/>
        <v>1</v>
      </c>
      <c r="Z565" s="45">
        <f t="shared" si="128"/>
        <v>1</v>
      </c>
      <c r="AA565" s="45">
        <f t="shared" si="129"/>
        <v>1</v>
      </c>
      <c r="AB565" s="45">
        <f t="shared" si="130"/>
        <v>1</v>
      </c>
      <c r="AC565" s="45">
        <f t="shared" si="131"/>
        <v>1</v>
      </c>
      <c r="AD565" s="45">
        <f t="shared" si="132"/>
        <v>0.97955125439331792</v>
      </c>
      <c r="AE565" s="45">
        <f t="shared" si="133"/>
        <v>0.95749381183007098</v>
      </c>
      <c r="AF565" s="45">
        <f t="shared" si="134"/>
        <v>0.99362340263888493</v>
      </c>
      <c r="AG565" s="45">
        <f t="shared" si="135"/>
        <v>1.0064175192977338</v>
      </c>
      <c r="AH565" s="45">
        <f t="shared" si="136"/>
        <v>1.0064175192977338</v>
      </c>
      <c r="AI565" s="45">
        <f t="shared" si="137"/>
        <v>1.0064175192977338</v>
      </c>
      <c r="AJ565" s="45">
        <f t="shared" si="138"/>
        <v>0.96341585714052402</v>
      </c>
      <c r="AK565" s="45">
        <f t="shared" si="139"/>
        <v>1</v>
      </c>
      <c r="AL565" s="45">
        <f t="shared" si="140"/>
        <v>1</v>
      </c>
      <c r="AM565" s="45">
        <f t="shared" si="141"/>
        <v>1</v>
      </c>
      <c r="AN565" s="45">
        <f t="shared" si="142"/>
        <v>1</v>
      </c>
      <c r="AS565" s="50" cm="1">
        <f t="array" ref="AS565">SUMPRODUCT(($V565:$AN565&lt;=$I280)*(1))/COUNT($V565:$AN565)</f>
        <v>0</v>
      </c>
      <c r="AT565" s="50" cm="1">
        <f t="array" ref="AT565">SUMPRODUCT(($V565:$AN565&lt;=$J280)*(1))/COUNT($V565:$AN565)</f>
        <v>0</v>
      </c>
      <c r="AU565" s="50" cm="1">
        <f t="array" ref="AU565">SUMPRODUCT(($V565:$AN565&lt;=$K280)*(1))/COUNT($V565:$AN565)</f>
        <v>0</v>
      </c>
      <c r="AW565" s="52" cm="1">
        <f t="array" ref="AW565">SUMPRODUCT(($V565:$AN565&lt;=$I280)*(1))</f>
        <v>0</v>
      </c>
      <c r="AX565" s="52" cm="1">
        <f t="array" ref="AX565">SUMPRODUCT(($V565:$AN565&lt;=$J280)*(1))</f>
        <v>0</v>
      </c>
      <c r="AY565" s="52" cm="1">
        <f t="array" ref="AY565">SUMPRODUCT(($V565:$AN565&lt;=$K280)*(1))</f>
        <v>0</v>
      </c>
      <c r="BA565" s="52">
        <f t="shared" si="146"/>
        <v>0</v>
      </c>
      <c r="BB565" s="52">
        <f t="shared" si="146"/>
        <v>0</v>
      </c>
      <c r="BC565" s="52">
        <f t="shared" si="147"/>
        <v>0</v>
      </c>
      <c r="BE565" s="50">
        <f t="shared" si="143"/>
        <v>0</v>
      </c>
      <c r="BF565" s="50">
        <f t="shared" si="144"/>
        <v>0</v>
      </c>
      <c r="BG565" s="50">
        <f t="shared" si="145"/>
        <v>0</v>
      </c>
    </row>
    <row r="566" spans="4:59" ht="15.6">
      <c r="D566" s="44"/>
      <c r="M566" s="42"/>
      <c r="N566" s="39" t="s">
        <v>27</v>
      </c>
      <c r="O566" s="39" t="s">
        <v>542</v>
      </c>
      <c r="P566" t="s">
        <v>871</v>
      </c>
      <c r="R566" s="41"/>
      <c r="S566" s="42"/>
      <c r="T566" s="42"/>
      <c r="U566" s="42"/>
      <c r="V566" s="45">
        <f t="shared" si="124"/>
        <v>1.0028921336396712</v>
      </c>
      <c r="W566" s="45">
        <f t="shared" si="125"/>
        <v>0.94542614589675911</v>
      </c>
      <c r="X566" s="45">
        <f t="shared" si="126"/>
        <v>1.0129870129870131</v>
      </c>
      <c r="Y566" s="45">
        <f t="shared" si="127"/>
        <v>0.99871524084358099</v>
      </c>
      <c r="Z566" s="45">
        <f t="shared" si="128"/>
        <v>0.99831964736089407</v>
      </c>
      <c r="AA566" s="45">
        <f t="shared" si="129"/>
        <v>0.98681966083829531</v>
      </c>
      <c r="AB566" s="45">
        <f t="shared" si="130"/>
        <v>1.0016831809767022</v>
      </c>
      <c r="AC566" s="45">
        <f t="shared" si="131"/>
        <v>1.0012864118858682</v>
      </c>
      <c r="AD566" s="45">
        <f t="shared" si="132"/>
        <v>0.9674971578660978</v>
      </c>
      <c r="AE566" s="45">
        <f t="shared" si="133"/>
        <v>0.99056438439918759</v>
      </c>
      <c r="AF566" s="45">
        <f t="shared" si="134"/>
        <v>0.97610157275580289</v>
      </c>
      <c r="AG566" s="45">
        <f t="shared" si="135"/>
        <v>1.0058634044434482</v>
      </c>
      <c r="AH566" s="45">
        <f t="shared" si="136"/>
        <v>1.0112247086132202</v>
      </c>
      <c r="AI566" s="45">
        <f t="shared" si="137"/>
        <v>1.0112247086132202</v>
      </c>
      <c r="AJ566" s="45">
        <f t="shared" si="138"/>
        <v>0.99603763503042619</v>
      </c>
      <c r="AK566" s="45">
        <f t="shared" si="139"/>
        <v>1.0053300519196624</v>
      </c>
      <c r="AL566" s="45">
        <f t="shared" si="140"/>
        <v>1</v>
      </c>
      <c r="AM566" s="45">
        <f t="shared" si="141"/>
        <v>1</v>
      </c>
      <c r="AN566" s="45">
        <f t="shared" si="142"/>
        <v>0.99714661644409996</v>
      </c>
      <c r="AS566" s="50" cm="1">
        <f t="array" ref="AS566">SUMPRODUCT(($V566:$AN566&lt;=$I281)*(1))/COUNT($V566:$AN566)</f>
        <v>5.2631578947368418E-2</v>
      </c>
      <c r="AT566" s="50" cm="1">
        <f t="array" ref="AT566">SUMPRODUCT(($V566:$AN566&lt;=$J281)*(1))/COUNT($V566:$AN566)</f>
        <v>0</v>
      </c>
      <c r="AU566" s="50" cm="1">
        <f t="array" ref="AU566">SUMPRODUCT(($V566:$AN566&lt;=$K281)*(1))/COUNT($V566:$AN566)</f>
        <v>0</v>
      </c>
      <c r="AW566" s="52" cm="1">
        <f t="array" ref="AW566">SUMPRODUCT(($V566:$AN566&lt;=$I281)*(1))</f>
        <v>1</v>
      </c>
      <c r="AX566" s="52" cm="1">
        <f t="array" ref="AX566">SUMPRODUCT(($V566:$AN566&lt;=$J281)*(1))</f>
        <v>0</v>
      </c>
      <c r="AY566" s="52" cm="1">
        <f t="array" ref="AY566">SUMPRODUCT(($V566:$AN566&lt;=$K281)*(1))</f>
        <v>0</v>
      </c>
      <c r="BA566" s="52">
        <f t="shared" si="146"/>
        <v>1</v>
      </c>
      <c r="BB566" s="52">
        <f t="shared" si="146"/>
        <v>0</v>
      </c>
      <c r="BC566" s="52">
        <f t="shared" si="147"/>
        <v>0</v>
      </c>
      <c r="BE566" s="50">
        <f t="shared" si="143"/>
        <v>5.2631578947368418E-2</v>
      </c>
      <c r="BF566" s="50">
        <f t="shared" si="144"/>
        <v>0</v>
      </c>
      <c r="BG566" s="50">
        <f t="shared" si="145"/>
        <v>0</v>
      </c>
    </row>
    <row r="567" spans="4:59" ht="15.6">
      <c r="D567" s="44"/>
      <c r="M567" s="42"/>
      <c r="N567" s="39" t="s">
        <v>27</v>
      </c>
      <c r="O567" s="39" t="s">
        <v>517</v>
      </c>
      <c r="P567" t="s">
        <v>872</v>
      </c>
      <c r="R567" s="41"/>
      <c r="S567" s="42"/>
      <c r="T567" s="42"/>
      <c r="U567" s="42"/>
      <c r="V567" s="45">
        <f t="shared" si="124"/>
        <v>1.095176226750336</v>
      </c>
      <c r="W567" s="45">
        <f t="shared" si="125"/>
        <v>1.0296168411270155</v>
      </c>
      <c r="X567" s="45">
        <f t="shared" si="126"/>
        <v>1.1945732000202747</v>
      </c>
      <c r="Y567" s="45">
        <f t="shared" si="127"/>
        <v>1.0369882031130315</v>
      </c>
      <c r="Z567" s="45">
        <f t="shared" si="128"/>
        <v>1.1312859386032974</v>
      </c>
      <c r="AA567" s="45">
        <f t="shared" si="129"/>
        <v>1.1379118598194233</v>
      </c>
      <c r="AB567" s="45">
        <f t="shared" si="130"/>
        <v>0.93501231853482969</v>
      </c>
      <c r="AC567" s="45">
        <f t="shared" si="131"/>
        <v>0.71589017661766685</v>
      </c>
      <c r="AD567" s="45">
        <f t="shared" si="132"/>
        <v>0.80920851504511115</v>
      </c>
      <c r="AE567" s="45">
        <f t="shared" si="133"/>
        <v>0.78459052714904953</v>
      </c>
      <c r="AF567" s="45">
        <f t="shared" si="134"/>
        <v>0.82848807523244594</v>
      </c>
      <c r="AG567" s="45">
        <f t="shared" si="135"/>
        <v>1.3380270477817837</v>
      </c>
      <c r="AH567" s="45">
        <f t="shared" si="136"/>
        <v>1.2085729511744134</v>
      </c>
      <c r="AI567" s="45">
        <f t="shared" si="137"/>
        <v>1.2111369296448136</v>
      </c>
      <c r="AJ567" s="45">
        <f t="shared" si="138"/>
        <v>0.89254732051034391</v>
      </c>
      <c r="AK567" s="45">
        <f t="shared" si="139"/>
        <v>1.1567286103156047</v>
      </c>
      <c r="AL567" s="45">
        <f t="shared" si="140"/>
        <v>1.0621335348052057</v>
      </c>
      <c r="AM567" s="45">
        <f t="shared" si="141"/>
        <v>1.050872212868998</v>
      </c>
      <c r="AN567" s="45">
        <f t="shared" si="142"/>
        <v>0.86471836110686884</v>
      </c>
      <c r="AS567" s="50" cm="1">
        <f t="array" ref="AS567">SUMPRODUCT(($V567:$AN567&lt;=$I282)*(1))/COUNT($V567:$AN567)</f>
        <v>0.36842105263157893</v>
      </c>
      <c r="AT567" s="50" cm="1">
        <f t="array" ref="AT567">SUMPRODUCT(($V567:$AN567&lt;=$J282)*(1))/COUNT($V567:$AN567)</f>
        <v>0.21052631578947367</v>
      </c>
      <c r="AU567" s="50" cm="1">
        <f t="array" ref="AU567">SUMPRODUCT(($V567:$AN567&lt;=$K282)*(1))/COUNT($V567:$AN567)</f>
        <v>5.2631578947368418E-2</v>
      </c>
      <c r="AW567" s="52" cm="1">
        <f t="array" ref="AW567">SUMPRODUCT(($V567:$AN567&lt;=$I282)*(1))</f>
        <v>7</v>
      </c>
      <c r="AX567" s="52" cm="1">
        <f t="array" ref="AX567">SUMPRODUCT(($V567:$AN567&lt;=$J282)*(1))</f>
        <v>4</v>
      </c>
      <c r="AY567" s="52" cm="1">
        <f t="array" ref="AY567">SUMPRODUCT(($V567:$AN567&lt;=$K282)*(1))</f>
        <v>1</v>
      </c>
      <c r="BA567" s="52">
        <f t="shared" si="146"/>
        <v>3</v>
      </c>
      <c r="BB567" s="52">
        <f t="shared" si="146"/>
        <v>3</v>
      </c>
      <c r="BC567" s="52">
        <f t="shared" si="147"/>
        <v>1</v>
      </c>
      <c r="BE567" s="50">
        <f t="shared" si="143"/>
        <v>0.15789473684210525</v>
      </c>
      <c r="BF567" s="50">
        <f t="shared" si="144"/>
        <v>0.15789473684210525</v>
      </c>
      <c r="BG567" s="50">
        <f t="shared" si="145"/>
        <v>5.2631578947368418E-2</v>
      </c>
    </row>
    <row r="568" spans="4:59" ht="15.6">
      <c r="D568" s="44"/>
      <c r="M568" s="42"/>
      <c r="N568" s="39" t="s">
        <v>26</v>
      </c>
      <c r="O568" s="39" t="s">
        <v>594</v>
      </c>
      <c r="P568" t="s">
        <v>729</v>
      </c>
      <c r="R568" s="41"/>
      <c r="S568" s="42"/>
      <c r="T568" s="42"/>
      <c r="U568" s="42"/>
      <c r="V568" s="45">
        <f t="shared" si="124"/>
        <v>1.1531956817472968</v>
      </c>
      <c r="W568" s="45">
        <f t="shared" si="125"/>
        <v>0.95551554488492052</v>
      </c>
      <c r="X568" s="45">
        <f t="shared" si="126"/>
        <v>1.266762165680134</v>
      </c>
      <c r="Y568" s="45">
        <f t="shared" si="127"/>
        <v>1.0292762012063943</v>
      </c>
      <c r="Z568" s="45">
        <f t="shared" si="128"/>
        <v>1.2006514111155238</v>
      </c>
      <c r="AA568" s="45">
        <f t="shared" si="129"/>
        <v>1.1367532459625778</v>
      </c>
      <c r="AB568" s="45">
        <f t="shared" si="130"/>
        <v>0.96570824918582354</v>
      </c>
      <c r="AC568" s="45">
        <f t="shared" si="131"/>
        <v>0.74551279407875104</v>
      </c>
      <c r="AD568" s="45">
        <f t="shared" si="132"/>
        <v>0.75417575091011457</v>
      </c>
      <c r="AE568" s="45">
        <f t="shared" si="133"/>
        <v>0.72619093122079503</v>
      </c>
      <c r="AF568" s="45">
        <f t="shared" si="134"/>
        <v>0.87904544295412657</v>
      </c>
      <c r="AG568" s="45">
        <f t="shared" si="135"/>
        <v>1.2762889142759073</v>
      </c>
      <c r="AH568" s="45">
        <f t="shared" si="136"/>
        <v>1.0166435162952494</v>
      </c>
      <c r="AI568" s="45">
        <f t="shared" si="137"/>
        <v>1.2758862632833428</v>
      </c>
      <c r="AJ568" s="45">
        <f t="shared" si="138"/>
        <v>1.069155593471135</v>
      </c>
      <c r="AK568" s="45">
        <f t="shared" si="139"/>
        <v>1.2894700875038319</v>
      </c>
      <c r="AL568" s="45">
        <f t="shared" si="140"/>
        <v>0.97653927197154244</v>
      </c>
      <c r="AM568" s="45">
        <f t="shared" si="141"/>
        <v>1.0837590225919045</v>
      </c>
      <c r="AN568" s="45">
        <f t="shared" si="142"/>
        <v>0.85743095826324234</v>
      </c>
      <c r="AS568" s="50" cm="1">
        <f t="array" ref="AS568">SUMPRODUCT(($V568:$AN568&lt;=$I283)*(1))/COUNT($V568:$AN568)</f>
        <v>0.26315789473684209</v>
      </c>
      <c r="AT568" s="50" cm="1">
        <f t="array" ref="AT568">SUMPRODUCT(($V568:$AN568&lt;=$J283)*(1))/COUNT($V568:$AN568)</f>
        <v>0.15789473684210525</v>
      </c>
      <c r="AU568" s="50" cm="1">
        <f t="array" ref="AU568">SUMPRODUCT(($V568:$AN568&lt;=$K283)*(1))/COUNT($V568:$AN568)</f>
        <v>0.10526315789473684</v>
      </c>
      <c r="AW568" s="52" cm="1">
        <f t="array" ref="AW568">SUMPRODUCT(($V568:$AN568&lt;=$I283)*(1))</f>
        <v>5</v>
      </c>
      <c r="AX568" s="52" cm="1">
        <f t="array" ref="AX568">SUMPRODUCT(($V568:$AN568&lt;=$J283)*(1))</f>
        <v>3</v>
      </c>
      <c r="AY568" s="52" cm="1">
        <f t="array" ref="AY568">SUMPRODUCT(($V568:$AN568&lt;=$K283)*(1))</f>
        <v>2</v>
      </c>
      <c r="BA568" s="52">
        <f t="shared" si="146"/>
        <v>2</v>
      </c>
      <c r="BB568" s="52">
        <f t="shared" si="146"/>
        <v>1</v>
      </c>
      <c r="BC568" s="52">
        <f t="shared" si="147"/>
        <v>2</v>
      </c>
      <c r="BE568" s="50">
        <f t="shared" si="143"/>
        <v>0.10526315789473684</v>
      </c>
      <c r="BF568" s="50">
        <f t="shared" si="144"/>
        <v>5.2631578947368418E-2</v>
      </c>
      <c r="BG568" s="50">
        <f t="shared" si="145"/>
        <v>0.10526315789473684</v>
      </c>
    </row>
    <row r="569" spans="4:59" ht="15.6">
      <c r="D569" s="44"/>
      <c r="M569" s="42"/>
      <c r="N569" s="39" t="s">
        <v>27</v>
      </c>
      <c r="O569" s="39" t="s">
        <v>605</v>
      </c>
      <c r="P569" t="s">
        <v>873</v>
      </c>
      <c r="R569" s="41"/>
      <c r="S569" s="42"/>
      <c r="T569" s="42"/>
      <c r="U569" s="42"/>
      <c r="V569" s="45">
        <f t="shared" si="124"/>
        <v>1.0405225282724202</v>
      </c>
      <c r="W569" s="45">
        <f t="shared" si="125"/>
        <v>0.97944700270778184</v>
      </c>
      <c r="X569" s="45">
        <f t="shared" si="126"/>
        <v>1.0679251294351588</v>
      </c>
      <c r="Y569" s="45">
        <f t="shared" si="127"/>
        <v>1.0459760671415863</v>
      </c>
      <c r="Z569" s="45">
        <f t="shared" si="128"/>
        <v>1.0284759528269656</v>
      </c>
      <c r="AA569" s="45">
        <f t="shared" si="129"/>
        <v>1.0142498171246559</v>
      </c>
      <c r="AB569" s="45">
        <f t="shared" si="130"/>
        <v>0.99912798528017532</v>
      </c>
      <c r="AC569" s="45">
        <f t="shared" si="131"/>
        <v>0.75138277283885968</v>
      </c>
      <c r="AD569" s="45">
        <f t="shared" si="132"/>
        <v>0.91823339981679442</v>
      </c>
      <c r="AE569" s="45">
        <f t="shared" si="133"/>
        <v>0.8245905527070978</v>
      </c>
      <c r="AF569" s="45">
        <f t="shared" si="134"/>
        <v>1.0099161702853765</v>
      </c>
      <c r="AG569" s="45">
        <f t="shared" si="135"/>
        <v>0.93856289288160877</v>
      </c>
      <c r="AH569" s="45">
        <f t="shared" si="136"/>
        <v>0.99652251502229472</v>
      </c>
      <c r="AI569" s="45">
        <f t="shared" si="137"/>
        <v>1.1561973087826087</v>
      </c>
      <c r="AJ569" s="45">
        <f t="shared" si="138"/>
        <v>1.0324424800352094</v>
      </c>
      <c r="AK569" s="45">
        <f t="shared" si="139"/>
        <v>1.1254826081324047</v>
      </c>
      <c r="AL569" s="45">
        <f t="shared" si="140"/>
        <v>1.1185599832822337</v>
      </c>
      <c r="AM569" s="45">
        <f t="shared" si="141"/>
        <v>1.0061888722586496</v>
      </c>
      <c r="AN569" s="45">
        <f t="shared" si="142"/>
        <v>0.82474685501193468</v>
      </c>
      <c r="AS569" s="50" cm="1">
        <f t="array" ref="AS569">SUMPRODUCT(($V569:$AN569&lt;=$I284)*(1))/COUNT($V569:$AN569)</f>
        <v>0.26315789473684209</v>
      </c>
      <c r="AT569" s="50" cm="1">
        <f t="array" ref="AT569">SUMPRODUCT(($V569:$AN569&lt;=$J284)*(1))/COUNT($V569:$AN569)</f>
        <v>0.15789473684210525</v>
      </c>
      <c r="AU569" s="50" cm="1">
        <f t="array" ref="AU569">SUMPRODUCT(($V569:$AN569&lt;=$K284)*(1))/COUNT($V569:$AN569)</f>
        <v>0</v>
      </c>
      <c r="AW569" s="52" cm="1">
        <f t="array" ref="AW569">SUMPRODUCT(($V569:$AN569&lt;=$I284)*(1))</f>
        <v>5</v>
      </c>
      <c r="AX569" s="52" cm="1">
        <f t="array" ref="AX569">SUMPRODUCT(($V569:$AN569&lt;=$J284)*(1))</f>
        <v>3</v>
      </c>
      <c r="AY569" s="52" cm="1">
        <f t="array" ref="AY569">SUMPRODUCT(($V569:$AN569&lt;=$K284)*(1))</f>
        <v>0</v>
      </c>
      <c r="BA569" s="52">
        <f t="shared" si="146"/>
        <v>2</v>
      </c>
      <c r="BB569" s="52">
        <f t="shared" si="146"/>
        <v>3</v>
      </c>
      <c r="BC569" s="52">
        <f t="shared" si="147"/>
        <v>0</v>
      </c>
      <c r="BE569" s="50">
        <f t="shared" si="143"/>
        <v>0.10526315789473684</v>
      </c>
      <c r="BF569" s="50">
        <f t="shared" si="144"/>
        <v>0.15789473684210525</v>
      </c>
      <c r="BG569" s="50">
        <f t="shared" si="145"/>
        <v>0</v>
      </c>
    </row>
    <row r="570" spans="4:59">
      <c r="U570" s="36"/>
    </row>
    <row r="571" spans="4:59">
      <c r="U571" s="36"/>
    </row>
    <row r="572" spans="4:59">
      <c r="U572" s="36"/>
    </row>
    <row r="573" spans="4:59">
      <c r="U573" s="36"/>
    </row>
    <row r="574" spans="4:59">
      <c r="U574" s="36"/>
    </row>
    <row r="575" spans="4:59">
      <c r="U575" s="36"/>
    </row>
    <row r="576" spans="4:59">
      <c r="U576" s="36"/>
    </row>
    <row r="577" spans="14:43">
      <c r="U577" s="36"/>
    </row>
    <row r="578" spans="14:43">
      <c r="U578" s="36"/>
    </row>
    <row r="579" spans="14:43" ht="15.6">
      <c r="N579" s="35"/>
      <c r="O579" s="35"/>
      <c r="P579" s="35"/>
      <c r="Q579" s="34" t="s">
        <v>904</v>
      </c>
      <c r="U579" s="36"/>
    </row>
    <row r="580" spans="14:43" ht="15.6">
      <c r="N580" s="35"/>
      <c r="O580" s="35"/>
      <c r="P580" s="35"/>
      <c r="U580" s="36"/>
    </row>
    <row r="581" spans="14:43" ht="15.6">
      <c r="N581" s="35"/>
      <c r="O581" s="35"/>
      <c r="P581" s="35"/>
      <c r="Q581" s="34"/>
    </row>
    <row r="582" spans="14:43" ht="15.6">
      <c r="N582" s="38" t="s">
        <v>25</v>
      </c>
      <c r="O582" s="40" t="s">
        <v>875</v>
      </c>
      <c r="P582" s="40" t="s">
        <v>874</v>
      </c>
      <c r="Q582" s="41">
        <v>2001</v>
      </c>
      <c r="R582" s="41">
        <v>2002</v>
      </c>
      <c r="S582" s="41">
        <v>2003</v>
      </c>
      <c r="T582" s="41">
        <v>2004</v>
      </c>
      <c r="U582" s="41">
        <v>2005</v>
      </c>
      <c r="V582" s="41">
        <v>2006</v>
      </c>
      <c r="W582" s="41">
        <v>2007</v>
      </c>
      <c r="X582" s="41">
        <v>2008</v>
      </c>
      <c r="Y582" s="41">
        <v>2009</v>
      </c>
      <c r="Z582" s="41">
        <v>2010</v>
      </c>
      <c r="AA582" s="41">
        <v>2011</v>
      </c>
      <c r="AB582" s="41">
        <v>2012</v>
      </c>
      <c r="AC582" s="41">
        <v>2013</v>
      </c>
      <c r="AD582" s="41">
        <v>2014</v>
      </c>
      <c r="AE582" s="41">
        <v>2015</v>
      </c>
      <c r="AF582" s="41">
        <v>2016</v>
      </c>
      <c r="AG582" s="41">
        <v>2017</v>
      </c>
      <c r="AH582" s="41">
        <v>2018</v>
      </c>
      <c r="AI582" s="41">
        <v>2019</v>
      </c>
      <c r="AJ582" s="41">
        <v>2020</v>
      </c>
      <c r="AK582" s="41">
        <v>2021</v>
      </c>
      <c r="AL582" s="41">
        <v>2022</v>
      </c>
      <c r="AM582" s="41">
        <v>2023</v>
      </c>
      <c r="AN582" s="41">
        <v>2024</v>
      </c>
      <c r="AQ582" s="53" t="s">
        <v>30</v>
      </c>
    </row>
    <row r="583" spans="14:43" ht="15.6">
      <c r="N583" s="39" t="s">
        <v>26</v>
      </c>
      <c r="O583" s="39" t="s">
        <v>262</v>
      </c>
      <c r="P583" t="s">
        <v>620</v>
      </c>
      <c r="Q583" s="39"/>
      <c r="V583" s="37">
        <f>IF(AND(V293&lt;=$I8,V293&gt;$J8),Tarification!$D$8,IF(AND(V293&lt;=$J8,V293&gt;$K8),Tarification!$D$9,IF(AND(V293&lt;=$K8,V293&gt;0),Tarification!$D$10,0)))</f>
        <v>0</v>
      </c>
      <c r="W583" s="37">
        <f>IF(AND(W293&lt;=$I8,W293&gt;$J8),Tarification!$D$8,IF(AND(W293&lt;=$J8,W293&gt;$K8),Tarification!$D$9,IF(AND(W293&lt;=$K8,W293&gt;0),Tarification!$D$10,0)))</f>
        <v>0</v>
      </c>
      <c r="X583" s="37">
        <f>IF(AND(X293&lt;=$I8,X293&gt;$J8),Tarification!$D$8,IF(AND(X293&lt;=$J8,X293&gt;$K8),Tarification!$D$9,IF(AND(X293&lt;=$K8,X293&gt;0),Tarification!$D$10,0)))</f>
        <v>0</v>
      </c>
      <c r="Y583" s="37">
        <f>IF(AND(Y293&lt;=$I8,Y293&gt;$J8),Tarification!$D$8,IF(AND(Y293&lt;=$J8,Y293&gt;$K8),Tarification!$D$9,IF(AND(Y293&lt;=$K8,Y293&gt;0),Tarification!$D$10,0)))</f>
        <v>0</v>
      </c>
      <c r="Z583" s="37">
        <f>IF(AND(Z293&lt;=$I8,Z293&gt;$J8),Tarification!$D$8,IF(AND(Z293&lt;=$J8,Z293&gt;$K8),Tarification!$D$9,IF(AND(Z293&lt;=$K8,Z293&gt;0),Tarification!$D$10,0)))</f>
        <v>0</v>
      </c>
      <c r="AA583" s="37">
        <f>IF(AND(AA293&lt;=$I8,AA293&gt;$J8),Tarification!$D$8,IF(AND(AA293&lt;=$J8,AA293&gt;$K8),Tarification!$D$9,IF(AND(AA293&lt;=$K8,AA293&gt;0),Tarification!$D$10,0)))</f>
        <v>0</v>
      </c>
      <c r="AB583" s="37">
        <f>IF(AND(AB293&lt;=$I8,AB293&gt;$J8),Tarification!$D$8,IF(AND(AB293&lt;=$J8,AB293&gt;$K8),Tarification!$D$9,IF(AND(AB293&lt;=$K8,AB293&gt;0),Tarification!$D$10,0)))</f>
        <v>0</v>
      </c>
      <c r="AC583" s="37">
        <f>IF(AND(AC293&lt;=$I8,AC293&gt;$J8),Tarification!$D$8,IF(AND(AC293&lt;=$J8,AC293&gt;$K8),Tarification!$D$9,IF(AND(AC293&lt;=$K8,AC293&gt;0),Tarification!$D$10,0)))</f>
        <v>0</v>
      </c>
      <c r="AD583" s="37">
        <f>IF(AND(AD293&lt;=$I8,AD293&gt;$J8),Tarification!$D$8,IF(AND(AD293&lt;=$J8,AD293&gt;$K8),Tarification!$D$9,IF(AND(AD293&lt;=$K8,AD293&gt;0),Tarification!$D$10,0)))</f>
        <v>0</v>
      </c>
      <c r="AE583" s="37">
        <f>IF(AND(AE293&lt;=$I8,AE293&gt;$J8),Tarification!$D$8,IF(AND(AE293&lt;=$J8,AE293&gt;$K8),Tarification!$D$9,IF(AND(AE293&lt;=$K8,AE293&gt;0),Tarification!$D$10,0)))</f>
        <v>0</v>
      </c>
      <c r="AF583" s="37">
        <f>IF(AND(AF293&lt;=$I8,AF293&gt;$J8),Tarification!$D$8,IF(AND(AF293&lt;=$J8,AF293&gt;$K8),Tarification!$D$9,IF(AND(AF293&lt;=$K8,AF293&gt;0),Tarification!$D$10,0)))</f>
        <v>0</v>
      </c>
      <c r="AG583" s="37">
        <f>IF(AND(AG293&lt;=$I8,AG293&gt;$J8),Tarification!$D$8,IF(AND(AG293&lt;=$J8,AG293&gt;$K8),Tarification!$D$9,IF(AND(AG293&lt;=$K8,AG293&gt;0),Tarification!$D$10,0)))</f>
        <v>0</v>
      </c>
      <c r="AH583" s="37">
        <f>IF(AND(AH293&lt;=$I8,AH293&gt;$J8),Tarification!$D$8,IF(AND(AH293&lt;=$J8,AH293&gt;$K8),Tarification!$D$9,IF(AND(AH293&lt;=$K8,AH293&gt;0),Tarification!$D$10,0)))</f>
        <v>0</v>
      </c>
      <c r="AI583" s="37">
        <f>IF(AND(AI293&lt;=$I8,AI293&gt;$J8),Tarification!$D$8,IF(AND(AI293&lt;=$J8,AI293&gt;$K8),Tarification!$D$9,IF(AND(AI293&lt;=$K8,AI293&gt;0),Tarification!$D$10,0)))</f>
        <v>0</v>
      </c>
      <c r="AJ583" s="37">
        <f>IF(AND(AJ293&lt;=$I8,AJ293&gt;$J8),Tarification!$D$8,IF(AND(AJ293&lt;=$J8,AJ293&gt;$K8),Tarification!$D$9,IF(AND(AJ293&lt;=$K8,AJ293&gt;0),Tarification!$D$10,0)))</f>
        <v>0</v>
      </c>
      <c r="AK583" s="37">
        <f>IF(AND(AK293&lt;=$I8,AK293&gt;$J8),Tarification!$D$8,IF(AND(AK293&lt;=$J8,AK293&gt;$K8),Tarification!$D$9,IF(AND(AK293&lt;=$K8,AK293&gt;0),Tarification!$D$10,0)))</f>
        <v>0</v>
      </c>
      <c r="AL583" s="37">
        <f>IF(AND(AL293&lt;=$I8,AL293&gt;$J8),Tarification!$D$8,IF(AND(AL293&lt;=$J8,AL293&gt;$K8),Tarification!$D$9,IF(AND(AL293&lt;=$K8,AL293&gt;0),Tarification!$D$10,0)))</f>
        <v>0</v>
      </c>
      <c r="AM583" s="37">
        <f>IF(AND(AM293&lt;=$I8,AM293&gt;$J8),Tarification!$D$8,IF(AND(AM293&lt;=$J8,AM293&gt;$K8),Tarification!$D$9,IF(AND(AM293&lt;=$K8,AM293&gt;0),Tarification!$D$10,0)))</f>
        <v>0</v>
      </c>
      <c r="AN583" s="37">
        <f>IF(AND(AN293&lt;=$I8,AN293&gt;$J8),Tarification!$D$8,IF(AND(AN293&lt;=$J8,AN293&gt;$K8),Tarification!$D$9,IF(AND(AN293&lt;=$K8,AN293&gt;0),Tarification!$D$10,0)))</f>
        <v>0</v>
      </c>
      <c r="AQ583" s="101">
        <f>AVERAGE(V583:AN583)</f>
        <v>0</v>
      </c>
    </row>
    <row r="584" spans="14:43" ht="15.6">
      <c r="N584" s="39" t="s">
        <v>26</v>
      </c>
      <c r="O584" s="39" t="s">
        <v>248</v>
      </c>
      <c r="P584" t="s">
        <v>621</v>
      </c>
      <c r="Q584" s="39"/>
      <c r="V584" s="37">
        <f>IF(AND(V294&lt;=$I9,V294&gt;$J9),Tarification!$D$8,IF(AND(V294&lt;=$J9,V294&gt;$K9),Tarification!$D$9,IF(AND(V294&lt;=$K9,V294&gt;0),Tarification!$D$10,0)))</f>
        <v>0</v>
      </c>
      <c r="W584" s="37">
        <f>IF(AND(W294&lt;=$I9,W294&gt;$J9),Tarification!$D$8,IF(AND(W294&lt;=$J9,W294&gt;$K9),Tarification!$D$9,IF(AND(W294&lt;=$K9,W294&gt;0),Tarification!$D$10,0)))</f>
        <v>50000</v>
      </c>
      <c r="X584" s="37">
        <f>IF(AND(X294&lt;=$I9,X294&gt;$J9),Tarification!$D$8,IF(AND(X294&lt;=$J9,X294&gt;$K9),Tarification!$D$9,IF(AND(X294&lt;=$K9,X294&gt;0),Tarification!$D$10,0)))</f>
        <v>0</v>
      </c>
      <c r="Y584" s="37">
        <f>IF(AND(Y294&lt;=$I9,Y294&gt;$J9),Tarification!$D$8,IF(AND(Y294&lt;=$J9,Y294&gt;$K9),Tarification!$D$9,IF(AND(Y294&lt;=$K9,Y294&gt;0),Tarification!$D$10,0)))</f>
        <v>0</v>
      </c>
      <c r="Z584" s="37">
        <f>IF(AND(Z294&lt;=$I9,Z294&gt;$J9),Tarification!$D$8,IF(AND(Z294&lt;=$J9,Z294&gt;$K9),Tarification!$D$9,IF(AND(Z294&lt;=$K9,Z294&gt;0),Tarification!$D$10,0)))</f>
        <v>0</v>
      </c>
      <c r="AA584" s="37">
        <f>IF(AND(AA294&lt;=$I9,AA294&gt;$J9),Tarification!$D$8,IF(AND(AA294&lt;=$J9,AA294&gt;$K9),Tarification!$D$9,IF(AND(AA294&lt;=$K9,AA294&gt;0),Tarification!$D$10,0)))</f>
        <v>0</v>
      </c>
      <c r="AB584" s="37">
        <f>IF(AND(AB294&lt;=$I9,AB294&gt;$J9),Tarification!$D$8,IF(AND(AB294&lt;=$J9,AB294&gt;$K9),Tarification!$D$9,IF(AND(AB294&lt;=$K9,AB294&gt;0),Tarification!$D$10,0)))</f>
        <v>0</v>
      </c>
      <c r="AC584" s="37">
        <f>IF(AND(AC294&lt;=$I9,AC294&gt;$J9),Tarification!$D$8,IF(AND(AC294&lt;=$J9,AC294&gt;$K9),Tarification!$D$9,IF(AND(AC294&lt;=$K9,AC294&gt;0),Tarification!$D$10,0)))</f>
        <v>0</v>
      </c>
      <c r="AD584" s="37">
        <f>IF(AND(AD294&lt;=$I9,AD294&gt;$J9),Tarification!$D$8,IF(AND(AD294&lt;=$J9,AD294&gt;$K9),Tarification!$D$9,IF(AND(AD294&lt;=$K9,AD294&gt;0),Tarification!$D$10,0)))</f>
        <v>0</v>
      </c>
      <c r="AE584" s="37">
        <f>IF(AND(AE294&lt;=$I9,AE294&gt;$J9),Tarification!$D$8,IF(AND(AE294&lt;=$J9,AE294&gt;$K9),Tarification!$D$9,IF(AND(AE294&lt;=$K9,AE294&gt;0),Tarification!$D$10,0)))</f>
        <v>50000</v>
      </c>
      <c r="AF584" s="37">
        <f>IF(AND(AF294&lt;=$I9,AF294&gt;$J9),Tarification!$D$8,IF(AND(AF294&lt;=$J9,AF294&gt;$K9),Tarification!$D$9,IF(AND(AF294&lt;=$K9,AF294&gt;0),Tarification!$D$10,0)))</f>
        <v>0</v>
      </c>
      <c r="AG584" s="37">
        <f>IF(AND(AG294&lt;=$I9,AG294&gt;$J9),Tarification!$D$8,IF(AND(AG294&lt;=$J9,AG294&gt;$K9),Tarification!$D$9,IF(AND(AG294&lt;=$K9,AG294&gt;0),Tarification!$D$10,0)))</f>
        <v>0</v>
      </c>
      <c r="AH584" s="37">
        <f>IF(AND(AH294&lt;=$I9,AH294&gt;$J9),Tarification!$D$8,IF(AND(AH294&lt;=$J9,AH294&gt;$K9),Tarification!$D$9,IF(AND(AH294&lt;=$K9,AH294&gt;0),Tarification!$D$10,0)))</f>
        <v>0</v>
      </c>
      <c r="AI584" s="37">
        <f>IF(AND(AI294&lt;=$I9,AI294&gt;$J9),Tarification!$D$8,IF(AND(AI294&lt;=$J9,AI294&gt;$K9),Tarification!$D$9,IF(AND(AI294&lt;=$K9,AI294&gt;0),Tarification!$D$10,0)))</f>
        <v>0</v>
      </c>
      <c r="AJ584" s="37">
        <f>IF(AND(AJ294&lt;=$I9,AJ294&gt;$J9),Tarification!$D$8,IF(AND(AJ294&lt;=$J9,AJ294&gt;$K9),Tarification!$D$9,IF(AND(AJ294&lt;=$K9,AJ294&gt;0),Tarification!$D$10,0)))</f>
        <v>0</v>
      </c>
      <c r="AK584" s="37">
        <f>IF(AND(AK294&lt;=$I9,AK294&gt;$J9),Tarification!$D$8,IF(AND(AK294&lt;=$J9,AK294&gt;$K9),Tarification!$D$9,IF(AND(AK294&lt;=$K9,AK294&gt;0),Tarification!$D$10,0)))</f>
        <v>0</v>
      </c>
      <c r="AL584" s="37">
        <f>IF(AND(AL294&lt;=$I9,AL294&gt;$J9),Tarification!$D$8,IF(AND(AL294&lt;=$J9,AL294&gt;$K9),Tarification!$D$9,IF(AND(AL294&lt;=$K9,AL294&gt;0),Tarification!$D$10,0)))</f>
        <v>0</v>
      </c>
      <c r="AM584" s="37">
        <f>IF(AND(AM294&lt;=$I9,AM294&gt;$J9),Tarification!$D$8,IF(AND(AM294&lt;=$J9,AM294&gt;$K9),Tarification!$D$9,IF(AND(AM294&lt;=$K9,AM294&gt;0),Tarification!$D$10,0)))</f>
        <v>0</v>
      </c>
      <c r="AN584" s="37">
        <f>IF(AND(AN294&lt;=$I9,AN294&gt;$J9),Tarification!$D$8,IF(AND(AN294&lt;=$J9,AN294&gt;$K9),Tarification!$D$9,IF(AND(AN294&lt;=$K9,AN294&gt;0),Tarification!$D$10,0)))</f>
        <v>0</v>
      </c>
      <c r="AQ584" s="101">
        <f t="shared" ref="AQ584:AQ647" si="148">AVERAGE(V584:AN584)</f>
        <v>5263.1578947368425</v>
      </c>
    </row>
    <row r="585" spans="14:43" ht="15.6">
      <c r="N585" s="39" t="s">
        <v>26</v>
      </c>
      <c r="O585" s="39" t="s">
        <v>601</v>
      </c>
      <c r="P585" t="s">
        <v>622</v>
      </c>
      <c r="Q585" s="39"/>
      <c r="V585" s="37">
        <f>IF(AND(V295&lt;=$I10,V295&gt;$J10),Tarification!$D$8,IF(AND(V295&lt;=$J10,V295&gt;$K10),Tarification!$D$9,IF(AND(V295&lt;=$K10,V295&gt;0),Tarification!$D$10,0)))</f>
        <v>0</v>
      </c>
      <c r="W585" s="37">
        <f>IF(AND(W295&lt;=$I10,W295&gt;$J10),Tarification!$D$8,IF(AND(W295&lt;=$J10,W295&gt;$K10),Tarification!$D$9,IF(AND(W295&lt;=$K10,W295&gt;0),Tarification!$D$10,0)))</f>
        <v>0</v>
      </c>
      <c r="X585" s="37">
        <f>IF(AND(X295&lt;=$I10,X295&gt;$J10),Tarification!$D$8,IF(AND(X295&lt;=$J10,X295&gt;$K10),Tarification!$D$9,IF(AND(X295&lt;=$K10,X295&gt;0),Tarification!$D$10,0)))</f>
        <v>0</v>
      </c>
      <c r="Y585" s="37">
        <f>IF(AND(Y295&lt;=$I10,Y295&gt;$J10),Tarification!$D$8,IF(AND(Y295&lt;=$J10,Y295&gt;$K10),Tarification!$D$9,IF(AND(Y295&lt;=$K10,Y295&gt;0),Tarification!$D$10,0)))</f>
        <v>0</v>
      </c>
      <c r="Z585" s="37">
        <f>IF(AND(Z295&lt;=$I10,Z295&gt;$J10),Tarification!$D$8,IF(AND(Z295&lt;=$J10,Z295&gt;$K10),Tarification!$D$9,IF(AND(Z295&lt;=$K10,Z295&gt;0),Tarification!$D$10,0)))</f>
        <v>0</v>
      </c>
      <c r="AA585" s="37">
        <f>IF(AND(AA295&lt;=$I10,AA295&gt;$J10),Tarification!$D$8,IF(AND(AA295&lt;=$J10,AA295&gt;$K10),Tarification!$D$9,IF(AND(AA295&lt;=$K10,AA295&gt;0),Tarification!$D$10,0)))</f>
        <v>0</v>
      </c>
      <c r="AB585" s="37">
        <f>IF(AND(AB295&lt;=$I10,AB295&gt;$J10),Tarification!$D$8,IF(AND(AB295&lt;=$J10,AB295&gt;$K10),Tarification!$D$9,IF(AND(AB295&lt;=$K10,AB295&gt;0),Tarification!$D$10,0)))</f>
        <v>0</v>
      </c>
      <c r="AC585" s="37">
        <f>IF(AND(AC295&lt;=$I10,AC295&gt;$J10),Tarification!$D$8,IF(AND(AC295&lt;=$J10,AC295&gt;$K10),Tarification!$D$9,IF(AND(AC295&lt;=$K10,AC295&gt;0),Tarification!$D$10,0)))</f>
        <v>50000</v>
      </c>
      <c r="AD585" s="37">
        <f>IF(AND(AD295&lt;=$I10,AD295&gt;$J10),Tarification!$D$8,IF(AND(AD295&lt;=$J10,AD295&gt;$K10),Tarification!$D$9,IF(AND(AD295&lt;=$K10,AD295&gt;0),Tarification!$D$10,0)))</f>
        <v>0</v>
      </c>
      <c r="AE585" s="37">
        <f>IF(AND(AE295&lt;=$I10,AE295&gt;$J10),Tarification!$D$8,IF(AND(AE295&lt;=$J10,AE295&gt;$K10),Tarification!$D$9,IF(AND(AE295&lt;=$K10,AE295&gt;0),Tarification!$D$10,0)))</f>
        <v>125000</v>
      </c>
      <c r="AF585" s="37">
        <f>IF(AND(AF295&lt;=$I10,AF295&gt;$J10),Tarification!$D$8,IF(AND(AF295&lt;=$J10,AF295&gt;$K10),Tarification!$D$9,IF(AND(AF295&lt;=$K10,AF295&gt;0),Tarification!$D$10,0)))</f>
        <v>50000</v>
      </c>
      <c r="AG585" s="37">
        <f>IF(AND(AG295&lt;=$I10,AG295&gt;$J10),Tarification!$D$8,IF(AND(AG295&lt;=$J10,AG295&gt;$K10),Tarification!$D$9,IF(AND(AG295&lt;=$K10,AG295&gt;0),Tarification!$D$10,0)))</f>
        <v>0</v>
      </c>
      <c r="AH585" s="37">
        <f>IF(AND(AH295&lt;=$I10,AH295&gt;$J10),Tarification!$D$8,IF(AND(AH295&lt;=$J10,AH295&gt;$K10),Tarification!$D$9,IF(AND(AH295&lt;=$K10,AH295&gt;0),Tarification!$D$10,0)))</f>
        <v>0</v>
      </c>
      <c r="AI585" s="37">
        <f>IF(AND(AI295&lt;=$I10,AI295&gt;$J10),Tarification!$D$8,IF(AND(AI295&lt;=$J10,AI295&gt;$K10),Tarification!$D$9,IF(AND(AI295&lt;=$K10,AI295&gt;0),Tarification!$D$10,0)))</f>
        <v>0</v>
      </c>
      <c r="AJ585" s="37">
        <f>IF(AND(AJ295&lt;=$I10,AJ295&gt;$J10),Tarification!$D$8,IF(AND(AJ295&lt;=$J10,AJ295&gt;$K10),Tarification!$D$9,IF(AND(AJ295&lt;=$K10,AJ295&gt;0),Tarification!$D$10,0)))</f>
        <v>0</v>
      </c>
      <c r="AK585" s="37">
        <f>IF(AND(AK295&lt;=$I10,AK295&gt;$J10),Tarification!$D$8,IF(AND(AK295&lt;=$J10,AK295&gt;$K10),Tarification!$D$9,IF(AND(AK295&lt;=$K10,AK295&gt;0),Tarification!$D$10,0)))</f>
        <v>0</v>
      </c>
      <c r="AL585" s="37">
        <f>IF(AND(AL295&lt;=$I10,AL295&gt;$J10),Tarification!$D$8,IF(AND(AL295&lt;=$J10,AL295&gt;$K10),Tarification!$D$9,IF(AND(AL295&lt;=$K10,AL295&gt;0),Tarification!$D$10,0)))</f>
        <v>0</v>
      </c>
      <c r="AM585" s="37">
        <f>IF(AND(AM295&lt;=$I10,AM295&gt;$J10),Tarification!$D$8,IF(AND(AM295&lt;=$J10,AM295&gt;$K10),Tarification!$D$9,IF(AND(AM295&lt;=$K10,AM295&gt;0),Tarification!$D$10,0)))</f>
        <v>0</v>
      </c>
      <c r="AN585" s="37">
        <f>IF(AND(AN295&lt;=$I10,AN295&gt;$J10),Tarification!$D$8,IF(AND(AN295&lt;=$J10,AN295&gt;$K10),Tarification!$D$9,IF(AND(AN295&lt;=$K10,AN295&gt;0),Tarification!$D$10,0)))</f>
        <v>0</v>
      </c>
      <c r="AQ585" s="101">
        <f t="shared" si="148"/>
        <v>11842.105263157895</v>
      </c>
    </row>
    <row r="586" spans="14:43" ht="15.6">
      <c r="N586" s="39" t="s">
        <v>26</v>
      </c>
      <c r="O586" s="39" t="s">
        <v>248</v>
      </c>
      <c r="P586" t="s">
        <v>623</v>
      </c>
      <c r="Q586" s="39"/>
      <c r="V586" s="37">
        <f>IF(AND(V296&lt;=$I11,V296&gt;$J11),Tarification!$D$8,IF(AND(V296&lt;=$J11,V296&gt;$K11),Tarification!$D$9,IF(AND(V296&lt;=$K11,V296&gt;0),Tarification!$D$10,0)))</f>
        <v>0</v>
      </c>
      <c r="W586" s="37">
        <f>IF(AND(W296&lt;=$I11,W296&gt;$J11),Tarification!$D$8,IF(AND(W296&lt;=$J11,W296&gt;$K11),Tarification!$D$9,IF(AND(W296&lt;=$K11,W296&gt;0),Tarification!$D$10,0)))</f>
        <v>50000</v>
      </c>
      <c r="X586" s="37">
        <f>IF(AND(X296&lt;=$I11,X296&gt;$J11),Tarification!$D$8,IF(AND(X296&lt;=$J11,X296&gt;$K11),Tarification!$D$9,IF(AND(X296&lt;=$K11,X296&gt;0),Tarification!$D$10,0)))</f>
        <v>0</v>
      </c>
      <c r="Y586" s="37">
        <f>IF(AND(Y296&lt;=$I11,Y296&gt;$J11),Tarification!$D$8,IF(AND(Y296&lt;=$J11,Y296&gt;$K11),Tarification!$D$9,IF(AND(Y296&lt;=$K11,Y296&gt;0),Tarification!$D$10,0)))</f>
        <v>0</v>
      </c>
      <c r="Z586" s="37">
        <f>IF(AND(Z296&lt;=$I11,Z296&gt;$J11),Tarification!$D$8,IF(AND(Z296&lt;=$J11,Z296&gt;$K11),Tarification!$D$9,IF(AND(Z296&lt;=$K11,Z296&gt;0),Tarification!$D$10,0)))</f>
        <v>0</v>
      </c>
      <c r="AA586" s="37">
        <f>IF(AND(AA296&lt;=$I11,AA296&gt;$J11),Tarification!$D$8,IF(AND(AA296&lt;=$J11,AA296&gt;$K11),Tarification!$D$9,IF(AND(AA296&lt;=$K11,AA296&gt;0),Tarification!$D$10,0)))</f>
        <v>0</v>
      </c>
      <c r="AB586" s="37">
        <f>IF(AND(AB296&lt;=$I11,AB296&gt;$J11),Tarification!$D$8,IF(AND(AB296&lt;=$J11,AB296&gt;$K11),Tarification!$D$9,IF(AND(AB296&lt;=$K11,AB296&gt;0),Tarification!$D$10,0)))</f>
        <v>0</v>
      </c>
      <c r="AC586" s="37">
        <f>IF(AND(AC296&lt;=$I11,AC296&gt;$J11),Tarification!$D$8,IF(AND(AC296&lt;=$J11,AC296&gt;$K11),Tarification!$D$9,IF(AND(AC296&lt;=$K11,AC296&gt;0),Tarification!$D$10,0)))</f>
        <v>0</v>
      </c>
      <c r="AD586" s="37">
        <f>IF(AND(AD296&lt;=$I11,AD296&gt;$J11),Tarification!$D$8,IF(AND(AD296&lt;=$J11,AD296&gt;$K11),Tarification!$D$9,IF(AND(AD296&lt;=$K11,AD296&gt;0),Tarification!$D$10,0)))</f>
        <v>0</v>
      </c>
      <c r="AE586" s="37">
        <f>IF(AND(AE296&lt;=$I11,AE296&gt;$J11),Tarification!$D$8,IF(AND(AE296&lt;=$J11,AE296&gt;$K11),Tarification!$D$9,IF(AND(AE296&lt;=$K11,AE296&gt;0),Tarification!$D$10,0)))</f>
        <v>50000</v>
      </c>
      <c r="AF586" s="37">
        <f>IF(AND(AF296&lt;=$I11,AF296&gt;$J11),Tarification!$D$8,IF(AND(AF296&lt;=$J11,AF296&gt;$K11),Tarification!$D$9,IF(AND(AF296&lt;=$K11,AF296&gt;0),Tarification!$D$10,0)))</f>
        <v>0</v>
      </c>
      <c r="AG586" s="37">
        <f>IF(AND(AG296&lt;=$I11,AG296&gt;$J11),Tarification!$D$8,IF(AND(AG296&lt;=$J11,AG296&gt;$K11),Tarification!$D$9,IF(AND(AG296&lt;=$K11,AG296&gt;0),Tarification!$D$10,0)))</f>
        <v>0</v>
      </c>
      <c r="AH586" s="37">
        <f>IF(AND(AH296&lt;=$I11,AH296&gt;$J11),Tarification!$D$8,IF(AND(AH296&lt;=$J11,AH296&gt;$K11),Tarification!$D$9,IF(AND(AH296&lt;=$K11,AH296&gt;0),Tarification!$D$10,0)))</f>
        <v>0</v>
      </c>
      <c r="AI586" s="37">
        <f>IF(AND(AI296&lt;=$I11,AI296&gt;$J11),Tarification!$D$8,IF(AND(AI296&lt;=$J11,AI296&gt;$K11),Tarification!$D$9,IF(AND(AI296&lt;=$K11,AI296&gt;0),Tarification!$D$10,0)))</f>
        <v>0</v>
      </c>
      <c r="AJ586" s="37">
        <f>IF(AND(AJ296&lt;=$I11,AJ296&gt;$J11),Tarification!$D$8,IF(AND(AJ296&lt;=$J11,AJ296&gt;$K11),Tarification!$D$9,IF(AND(AJ296&lt;=$K11,AJ296&gt;0),Tarification!$D$10,0)))</f>
        <v>0</v>
      </c>
      <c r="AK586" s="37">
        <f>IF(AND(AK296&lt;=$I11,AK296&gt;$J11),Tarification!$D$8,IF(AND(AK296&lt;=$J11,AK296&gt;$K11),Tarification!$D$9,IF(AND(AK296&lt;=$K11,AK296&gt;0),Tarification!$D$10,0)))</f>
        <v>0</v>
      </c>
      <c r="AL586" s="37">
        <f>IF(AND(AL296&lt;=$I11,AL296&gt;$J11),Tarification!$D$8,IF(AND(AL296&lt;=$J11,AL296&gt;$K11),Tarification!$D$9,IF(AND(AL296&lt;=$K11,AL296&gt;0),Tarification!$D$10,0)))</f>
        <v>0</v>
      </c>
      <c r="AM586" s="37">
        <f>IF(AND(AM296&lt;=$I11,AM296&gt;$J11),Tarification!$D$8,IF(AND(AM296&lt;=$J11,AM296&gt;$K11),Tarification!$D$9,IF(AND(AM296&lt;=$K11,AM296&gt;0),Tarification!$D$10,0)))</f>
        <v>0</v>
      </c>
      <c r="AN586" s="37">
        <f>IF(AND(AN296&lt;=$I11,AN296&gt;$J11),Tarification!$D$8,IF(AND(AN296&lt;=$J11,AN296&gt;$K11),Tarification!$D$9,IF(AND(AN296&lt;=$K11,AN296&gt;0),Tarification!$D$10,0)))</f>
        <v>0</v>
      </c>
      <c r="AQ586" s="101">
        <f t="shared" si="148"/>
        <v>5263.1578947368425</v>
      </c>
    </row>
    <row r="587" spans="14:43" ht="15.6">
      <c r="N587" s="39" t="s">
        <v>26</v>
      </c>
      <c r="O587" s="39" t="s">
        <v>273</v>
      </c>
      <c r="P587" t="s">
        <v>624</v>
      </c>
      <c r="Q587" s="39"/>
      <c r="V587" s="37">
        <f>IF(AND(V297&lt;=$I12,V297&gt;$J12),Tarification!$D$8,IF(AND(V297&lt;=$J12,V297&gt;$K12),Tarification!$D$9,IF(AND(V297&lt;=$K12,V297&gt;0),Tarification!$D$10,0)))</f>
        <v>0</v>
      </c>
      <c r="W587" s="37">
        <f>IF(AND(W297&lt;=$I12,W297&gt;$J12),Tarification!$D$8,IF(AND(W297&lt;=$J12,W297&gt;$K12),Tarification!$D$9,IF(AND(W297&lt;=$K12,W297&gt;0),Tarification!$D$10,0)))</f>
        <v>0</v>
      </c>
      <c r="X587" s="37">
        <f>IF(AND(X297&lt;=$I12,X297&gt;$J12),Tarification!$D$8,IF(AND(X297&lt;=$J12,X297&gt;$K12),Tarification!$D$9,IF(AND(X297&lt;=$K12,X297&gt;0),Tarification!$D$10,0)))</f>
        <v>0</v>
      </c>
      <c r="Y587" s="37">
        <f>IF(AND(Y297&lt;=$I12,Y297&gt;$J12),Tarification!$D$8,IF(AND(Y297&lt;=$J12,Y297&gt;$K12),Tarification!$D$9,IF(AND(Y297&lt;=$K12,Y297&gt;0),Tarification!$D$10,0)))</f>
        <v>0</v>
      </c>
      <c r="Z587" s="37">
        <f>IF(AND(Z297&lt;=$I12,Z297&gt;$J12),Tarification!$D$8,IF(AND(Z297&lt;=$J12,Z297&gt;$K12),Tarification!$D$9,IF(AND(Z297&lt;=$K12,Z297&gt;0),Tarification!$D$10,0)))</f>
        <v>0</v>
      </c>
      <c r="AA587" s="37">
        <f>IF(AND(AA297&lt;=$I12,AA297&gt;$J12),Tarification!$D$8,IF(AND(AA297&lt;=$J12,AA297&gt;$K12),Tarification!$D$9,IF(AND(AA297&lt;=$K12,AA297&gt;0),Tarification!$D$10,0)))</f>
        <v>0</v>
      </c>
      <c r="AB587" s="37">
        <f>IF(AND(AB297&lt;=$I12,AB297&gt;$J12),Tarification!$D$8,IF(AND(AB297&lt;=$J12,AB297&gt;$K12),Tarification!$D$9,IF(AND(AB297&lt;=$K12,AB297&gt;0),Tarification!$D$10,0)))</f>
        <v>0</v>
      </c>
      <c r="AC587" s="37">
        <f>IF(AND(AC297&lt;=$I12,AC297&gt;$J12),Tarification!$D$8,IF(AND(AC297&lt;=$J12,AC297&gt;$K12),Tarification!$D$9,IF(AND(AC297&lt;=$K12,AC297&gt;0),Tarification!$D$10,0)))</f>
        <v>0</v>
      </c>
      <c r="AD587" s="37">
        <f>IF(AND(AD297&lt;=$I12,AD297&gt;$J12),Tarification!$D$8,IF(AND(AD297&lt;=$J12,AD297&gt;$K12),Tarification!$D$9,IF(AND(AD297&lt;=$K12,AD297&gt;0),Tarification!$D$10,0)))</f>
        <v>0</v>
      </c>
      <c r="AE587" s="37">
        <f>IF(AND(AE297&lt;=$I12,AE297&gt;$J12),Tarification!$D$8,IF(AND(AE297&lt;=$J12,AE297&gt;$K12),Tarification!$D$9,IF(AND(AE297&lt;=$K12,AE297&gt;0),Tarification!$D$10,0)))</f>
        <v>0</v>
      </c>
      <c r="AF587" s="37">
        <f>IF(AND(AF297&lt;=$I12,AF297&gt;$J12),Tarification!$D$8,IF(AND(AF297&lt;=$J12,AF297&gt;$K12),Tarification!$D$9,IF(AND(AF297&lt;=$K12,AF297&gt;0),Tarification!$D$10,0)))</f>
        <v>0</v>
      </c>
      <c r="AG587" s="37">
        <f>IF(AND(AG297&lt;=$I12,AG297&gt;$J12),Tarification!$D$8,IF(AND(AG297&lt;=$J12,AG297&gt;$K12),Tarification!$D$9,IF(AND(AG297&lt;=$K12,AG297&gt;0),Tarification!$D$10,0)))</f>
        <v>0</v>
      </c>
      <c r="AH587" s="37">
        <f>IF(AND(AH297&lt;=$I12,AH297&gt;$J12),Tarification!$D$8,IF(AND(AH297&lt;=$J12,AH297&gt;$K12),Tarification!$D$9,IF(AND(AH297&lt;=$K12,AH297&gt;0),Tarification!$D$10,0)))</f>
        <v>0</v>
      </c>
      <c r="AI587" s="37">
        <f>IF(AND(AI297&lt;=$I12,AI297&gt;$J12),Tarification!$D$8,IF(AND(AI297&lt;=$J12,AI297&gt;$K12),Tarification!$D$9,IF(AND(AI297&lt;=$K12,AI297&gt;0),Tarification!$D$10,0)))</f>
        <v>0</v>
      </c>
      <c r="AJ587" s="37">
        <f>IF(AND(AJ297&lt;=$I12,AJ297&gt;$J12),Tarification!$D$8,IF(AND(AJ297&lt;=$J12,AJ297&gt;$K12),Tarification!$D$9,IF(AND(AJ297&lt;=$K12,AJ297&gt;0),Tarification!$D$10,0)))</f>
        <v>0</v>
      </c>
      <c r="AK587" s="37">
        <f>IF(AND(AK297&lt;=$I12,AK297&gt;$J12),Tarification!$D$8,IF(AND(AK297&lt;=$J12,AK297&gt;$K12),Tarification!$D$9,IF(AND(AK297&lt;=$K12,AK297&gt;0),Tarification!$D$10,0)))</f>
        <v>0</v>
      </c>
      <c r="AL587" s="37">
        <f>IF(AND(AL297&lt;=$I12,AL297&gt;$J12),Tarification!$D$8,IF(AND(AL297&lt;=$J12,AL297&gt;$K12),Tarification!$D$9,IF(AND(AL297&lt;=$K12,AL297&gt;0),Tarification!$D$10,0)))</f>
        <v>0</v>
      </c>
      <c r="AM587" s="37">
        <f>IF(AND(AM297&lt;=$I12,AM297&gt;$J12),Tarification!$D$8,IF(AND(AM297&lt;=$J12,AM297&gt;$K12),Tarification!$D$9,IF(AND(AM297&lt;=$K12,AM297&gt;0),Tarification!$D$10,0)))</f>
        <v>0</v>
      </c>
      <c r="AN587" s="37">
        <f>IF(AND(AN297&lt;=$I12,AN297&gt;$J12),Tarification!$D$8,IF(AND(AN297&lt;=$J12,AN297&gt;$K12),Tarification!$D$9,IF(AND(AN297&lt;=$K12,AN297&gt;0),Tarification!$D$10,0)))</f>
        <v>0</v>
      </c>
      <c r="AQ587" s="101">
        <f t="shared" si="148"/>
        <v>0</v>
      </c>
    </row>
    <row r="588" spans="14:43" ht="15.6">
      <c r="N588" s="39" t="s">
        <v>26</v>
      </c>
      <c r="O588" s="39" t="s">
        <v>498</v>
      </c>
      <c r="P588" t="s">
        <v>625</v>
      </c>
      <c r="Q588" s="39"/>
      <c r="V588" s="37">
        <f>IF(AND(V298&lt;=$I13,V298&gt;$J13),Tarification!$D$8,IF(AND(V298&lt;=$J13,V298&gt;$K13),Tarification!$D$9,IF(AND(V298&lt;=$K13,V298&gt;0),Tarification!$D$10,0)))</f>
        <v>0</v>
      </c>
      <c r="W588" s="37">
        <f>IF(AND(W298&lt;=$I13,W298&gt;$J13),Tarification!$D$8,IF(AND(W298&lt;=$J13,W298&gt;$K13),Tarification!$D$9,IF(AND(W298&lt;=$K13,W298&gt;0),Tarification!$D$10,0)))</f>
        <v>50000</v>
      </c>
      <c r="X588" s="37">
        <f>IF(AND(X298&lt;=$I13,X298&gt;$J13),Tarification!$D$8,IF(AND(X298&lt;=$J13,X298&gt;$K13),Tarification!$D$9,IF(AND(X298&lt;=$K13,X298&gt;0),Tarification!$D$10,0)))</f>
        <v>0</v>
      </c>
      <c r="Y588" s="37">
        <f>IF(AND(Y298&lt;=$I13,Y298&gt;$J13),Tarification!$D$8,IF(AND(Y298&lt;=$J13,Y298&gt;$K13),Tarification!$D$9,IF(AND(Y298&lt;=$K13,Y298&gt;0),Tarification!$D$10,0)))</f>
        <v>0</v>
      </c>
      <c r="Z588" s="37">
        <f>IF(AND(Z298&lt;=$I13,Z298&gt;$J13),Tarification!$D$8,IF(AND(Z298&lt;=$J13,Z298&gt;$K13),Tarification!$D$9,IF(AND(Z298&lt;=$K13,Z298&gt;0),Tarification!$D$10,0)))</f>
        <v>0</v>
      </c>
      <c r="AA588" s="37">
        <f>IF(AND(AA298&lt;=$I13,AA298&gt;$J13),Tarification!$D$8,IF(AND(AA298&lt;=$J13,AA298&gt;$K13),Tarification!$D$9,IF(AND(AA298&lt;=$K13,AA298&gt;0),Tarification!$D$10,0)))</f>
        <v>0</v>
      </c>
      <c r="AB588" s="37">
        <f>IF(AND(AB298&lt;=$I13,AB298&gt;$J13),Tarification!$D$8,IF(AND(AB298&lt;=$J13,AB298&gt;$K13),Tarification!$D$9,IF(AND(AB298&lt;=$K13,AB298&gt;0),Tarification!$D$10,0)))</f>
        <v>0</v>
      </c>
      <c r="AC588" s="37">
        <f>IF(AND(AC298&lt;=$I13,AC298&gt;$J13),Tarification!$D$8,IF(AND(AC298&lt;=$J13,AC298&gt;$K13),Tarification!$D$9,IF(AND(AC298&lt;=$K13,AC298&gt;0),Tarification!$D$10,0)))</f>
        <v>0</v>
      </c>
      <c r="AD588" s="37">
        <f>IF(AND(AD298&lt;=$I13,AD298&gt;$J13),Tarification!$D$8,IF(AND(AD298&lt;=$J13,AD298&gt;$K13),Tarification!$D$9,IF(AND(AD298&lt;=$K13,AD298&gt;0),Tarification!$D$10,0)))</f>
        <v>0</v>
      </c>
      <c r="AE588" s="37">
        <f>IF(AND(AE298&lt;=$I13,AE298&gt;$J13),Tarification!$D$8,IF(AND(AE298&lt;=$J13,AE298&gt;$K13),Tarification!$D$9,IF(AND(AE298&lt;=$K13,AE298&gt;0),Tarification!$D$10,0)))</f>
        <v>50000</v>
      </c>
      <c r="AF588" s="37">
        <f>IF(AND(AF298&lt;=$I13,AF298&gt;$J13),Tarification!$D$8,IF(AND(AF298&lt;=$J13,AF298&gt;$K13),Tarification!$D$9,IF(AND(AF298&lt;=$K13,AF298&gt;0),Tarification!$D$10,0)))</f>
        <v>0</v>
      </c>
      <c r="AG588" s="37">
        <f>IF(AND(AG298&lt;=$I13,AG298&gt;$J13),Tarification!$D$8,IF(AND(AG298&lt;=$J13,AG298&gt;$K13),Tarification!$D$9,IF(AND(AG298&lt;=$K13,AG298&gt;0),Tarification!$D$10,0)))</f>
        <v>0</v>
      </c>
      <c r="AH588" s="37">
        <f>IF(AND(AH298&lt;=$I13,AH298&gt;$J13),Tarification!$D$8,IF(AND(AH298&lt;=$J13,AH298&gt;$K13),Tarification!$D$9,IF(AND(AH298&lt;=$K13,AH298&gt;0),Tarification!$D$10,0)))</f>
        <v>0</v>
      </c>
      <c r="AI588" s="37">
        <f>IF(AND(AI298&lt;=$I13,AI298&gt;$J13),Tarification!$D$8,IF(AND(AI298&lt;=$J13,AI298&gt;$K13),Tarification!$D$9,IF(AND(AI298&lt;=$K13,AI298&gt;0),Tarification!$D$10,0)))</f>
        <v>0</v>
      </c>
      <c r="AJ588" s="37">
        <f>IF(AND(AJ298&lt;=$I13,AJ298&gt;$J13),Tarification!$D$8,IF(AND(AJ298&lt;=$J13,AJ298&gt;$K13),Tarification!$D$9,IF(AND(AJ298&lt;=$K13,AJ298&gt;0),Tarification!$D$10,0)))</f>
        <v>0</v>
      </c>
      <c r="AK588" s="37">
        <f>IF(AND(AK298&lt;=$I13,AK298&gt;$J13),Tarification!$D$8,IF(AND(AK298&lt;=$J13,AK298&gt;$K13),Tarification!$D$9,IF(AND(AK298&lt;=$K13,AK298&gt;0),Tarification!$D$10,0)))</f>
        <v>0</v>
      </c>
      <c r="AL588" s="37">
        <f>IF(AND(AL298&lt;=$I13,AL298&gt;$J13),Tarification!$D$8,IF(AND(AL298&lt;=$J13,AL298&gt;$K13),Tarification!$D$9,IF(AND(AL298&lt;=$K13,AL298&gt;0),Tarification!$D$10,0)))</f>
        <v>0</v>
      </c>
      <c r="AM588" s="37">
        <f>IF(AND(AM298&lt;=$I13,AM298&gt;$J13),Tarification!$D$8,IF(AND(AM298&lt;=$J13,AM298&gt;$K13),Tarification!$D$9,IF(AND(AM298&lt;=$K13,AM298&gt;0),Tarification!$D$10,0)))</f>
        <v>0</v>
      </c>
      <c r="AN588" s="37">
        <f>IF(AND(AN298&lt;=$I13,AN298&gt;$J13),Tarification!$D$8,IF(AND(AN298&lt;=$J13,AN298&gt;$K13),Tarification!$D$9,IF(AND(AN298&lt;=$K13,AN298&gt;0),Tarification!$D$10,0)))</f>
        <v>50000</v>
      </c>
      <c r="AQ588" s="101">
        <f t="shared" si="148"/>
        <v>7894.7368421052633</v>
      </c>
    </row>
    <row r="589" spans="14:43" ht="15.6">
      <c r="N589" s="39" t="s">
        <v>26</v>
      </c>
      <c r="O589" s="39" t="s">
        <v>235</v>
      </c>
      <c r="P589" t="s">
        <v>626</v>
      </c>
      <c r="Q589" s="39"/>
      <c r="V589" s="37">
        <f>IF(AND(V299&lt;=$I14,V299&gt;$J14),Tarification!$D$8,IF(AND(V299&lt;=$J14,V299&gt;$K14),Tarification!$D$9,IF(AND(V299&lt;=$K14,V299&gt;0),Tarification!$D$10,0)))</f>
        <v>0</v>
      </c>
      <c r="W589" s="37">
        <f>IF(AND(W299&lt;=$I14,W299&gt;$J14),Tarification!$D$8,IF(AND(W299&lt;=$J14,W299&gt;$K14),Tarification!$D$9,IF(AND(W299&lt;=$K14,W299&gt;0),Tarification!$D$10,0)))</f>
        <v>0</v>
      </c>
      <c r="X589" s="37">
        <f>IF(AND(X299&lt;=$I14,X299&gt;$J14),Tarification!$D$8,IF(AND(X299&lt;=$J14,X299&gt;$K14),Tarification!$D$9,IF(AND(X299&lt;=$K14,X299&gt;0),Tarification!$D$10,0)))</f>
        <v>0</v>
      </c>
      <c r="Y589" s="37">
        <f>IF(AND(Y299&lt;=$I14,Y299&gt;$J14),Tarification!$D$8,IF(AND(Y299&lt;=$J14,Y299&gt;$K14),Tarification!$D$9,IF(AND(Y299&lt;=$K14,Y299&gt;0),Tarification!$D$10,0)))</f>
        <v>0</v>
      </c>
      <c r="Z589" s="37">
        <f>IF(AND(Z299&lt;=$I14,Z299&gt;$J14),Tarification!$D$8,IF(AND(Z299&lt;=$J14,Z299&gt;$K14),Tarification!$D$9,IF(AND(Z299&lt;=$K14,Z299&gt;0),Tarification!$D$10,0)))</f>
        <v>0</v>
      </c>
      <c r="AA589" s="37">
        <f>IF(AND(AA299&lt;=$I14,AA299&gt;$J14),Tarification!$D$8,IF(AND(AA299&lt;=$J14,AA299&gt;$K14),Tarification!$D$9,IF(AND(AA299&lt;=$K14,AA299&gt;0),Tarification!$D$10,0)))</f>
        <v>0</v>
      </c>
      <c r="AB589" s="37">
        <f>IF(AND(AB299&lt;=$I14,AB299&gt;$J14),Tarification!$D$8,IF(AND(AB299&lt;=$J14,AB299&gt;$K14),Tarification!$D$9,IF(AND(AB299&lt;=$K14,AB299&gt;0),Tarification!$D$10,0)))</f>
        <v>0</v>
      </c>
      <c r="AC589" s="37">
        <f>IF(AND(AC299&lt;=$I14,AC299&gt;$J14),Tarification!$D$8,IF(AND(AC299&lt;=$J14,AC299&gt;$K14),Tarification!$D$9,IF(AND(AC299&lt;=$K14,AC299&gt;0),Tarification!$D$10,0)))</f>
        <v>0</v>
      </c>
      <c r="AD589" s="37">
        <f>IF(AND(AD299&lt;=$I14,AD299&gt;$J14),Tarification!$D$8,IF(AND(AD299&lt;=$J14,AD299&gt;$K14),Tarification!$D$9,IF(AND(AD299&lt;=$K14,AD299&gt;0),Tarification!$D$10,0)))</f>
        <v>0</v>
      </c>
      <c r="AE589" s="37">
        <f>IF(AND(AE299&lt;=$I14,AE299&gt;$J14),Tarification!$D$8,IF(AND(AE299&lt;=$J14,AE299&gt;$K14),Tarification!$D$9,IF(AND(AE299&lt;=$K14,AE299&gt;0),Tarification!$D$10,0)))</f>
        <v>0</v>
      </c>
      <c r="AF589" s="37">
        <f>IF(AND(AF299&lt;=$I14,AF299&gt;$J14),Tarification!$D$8,IF(AND(AF299&lt;=$J14,AF299&gt;$K14),Tarification!$D$9,IF(AND(AF299&lt;=$K14,AF299&gt;0),Tarification!$D$10,0)))</f>
        <v>0</v>
      </c>
      <c r="AG589" s="37">
        <f>IF(AND(AG299&lt;=$I14,AG299&gt;$J14),Tarification!$D$8,IF(AND(AG299&lt;=$J14,AG299&gt;$K14),Tarification!$D$9,IF(AND(AG299&lt;=$K14,AG299&gt;0),Tarification!$D$10,0)))</f>
        <v>0</v>
      </c>
      <c r="AH589" s="37">
        <f>IF(AND(AH299&lt;=$I14,AH299&gt;$J14),Tarification!$D$8,IF(AND(AH299&lt;=$J14,AH299&gt;$K14),Tarification!$D$9,IF(AND(AH299&lt;=$K14,AH299&gt;0),Tarification!$D$10,0)))</f>
        <v>0</v>
      </c>
      <c r="AI589" s="37">
        <f>IF(AND(AI299&lt;=$I14,AI299&gt;$J14),Tarification!$D$8,IF(AND(AI299&lt;=$J14,AI299&gt;$K14),Tarification!$D$9,IF(AND(AI299&lt;=$K14,AI299&gt;0),Tarification!$D$10,0)))</f>
        <v>0</v>
      </c>
      <c r="AJ589" s="37">
        <f>IF(AND(AJ299&lt;=$I14,AJ299&gt;$J14),Tarification!$D$8,IF(AND(AJ299&lt;=$J14,AJ299&gt;$K14),Tarification!$D$9,IF(AND(AJ299&lt;=$K14,AJ299&gt;0),Tarification!$D$10,0)))</f>
        <v>0</v>
      </c>
      <c r="AK589" s="37">
        <f>IF(AND(AK299&lt;=$I14,AK299&gt;$J14),Tarification!$D$8,IF(AND(AK299&lt;=$J14,AK299&gt;$K14),Tarification!$D$9,IF(AND(AK299&lt;=$K14,AK299&gt;0),Tarification!$D$10,0)))</f>
        <v>0</v>
      </c>
      <c r="AL589" s="37">
        <f>IF(AND(AL299&lt;=$I14,AL299&gt;$J14),Tarification!$D$8,IF(AND(AL299&lt;=$J14,AL299&gt;$K14),Tarification!$D$9,IF(AND(AL299&lt;=$K14,AL299&gt;0),Tarification!$D$10,0)))</f>
        <v>0</v>
      </c>
      <c r="AM589" s="37">
        <f>IF(AND(AM299&lt;=$I14,AM299&gt;$J14),Tarification!$D$8,IF(AND(AM299&lt;=$J14,AM299&gt;$K14),Tarification!$D$9,IF(AND(AM299&lt;=$K14,AM299&gt;0),Tarification!$D$10,0)))</f>
        <v>0</v>
      </c>
      <c r="AN589" s="37">
        <f>IF(AND(AN299&lt;=$I14,AN299&gt;$J14),Tarification!$D$8,IF(AND(AN299&lt;=$J14,AN299&gt;$K14),Tarification!$D$9,IF(AND(AN299&lt;=$K14,AN299&gt;0),Tarification!$D$10,0)))</f>
        <v>0</v>
      </c>
      <c r="AQ589" s="101">
        <f t="shared" si="148"/>
        <v>0</v>
      </c>
    </row>
    <row r="590" spans="14:43" ht="15.6">
      <c r="N590" s="39" t="s">
        <v>26</v>
      </c>
      <c r="O590" s="39" t="s">
        <v>251</v>
      </c>
      <c r="P590" t="s">
        <v>627</v>
      </c>
      <c r="Q590" s="39"/>
      <c r="V590" s="37">
        <f>IF(AND(V300&lt;=$I15,V300&gt;$J15),Tarification!$D$8,IF(AND(V300&lt;=$J15,V300&gt;$K15),Tarification!$D$9,IF(AND(V300&lt;=$K15,V300&gt;0),Tarification!$D$10,0)))</f>
        <v>0</v>
      </c>
      <c r="W590" s="37">
        <f>IF(AND(W300&lt;=$I15,W300&gt;$J15),Tarification!$D$8,IF(AND(W300&lt;=$J15,W300&gt;$K15),Tarification!$D$9,IF(AND(W300&lt;=$K15,W300&gt;0),Tarification!$D$10,0)))</f>
        <v>50000</v>
      </c>
      <c r="X590" s="37">
        <f>IF(AND(X300&lt;=$I15,X300&gt;$J15),Tarification!$D$8,IF(AND(X300&lt;=$J15,X300&gt;$K15),Tarification!$D$9,IF(AND(X300&lt;=$K15,X300&gt;0),Tarification!$D$10,0)))</f>
        <v>0</v>
      </c>
      <c r="Y590" s="37">
        <f>IF(AND(Y300&lt;=$I15,Y300&gt;$J15),Tarification!$D$8,IF(AND(Y300&lt;=$J15,Y300&gt;$K15),Tarification!$D$9,IF(AND(Y300&lt;=$K15,Y300&gt;0),Tarification!$D$10,0)))</f>
        <v>0</v>
      </c>
      <c r="Z590" s="37">
        <f>IF(AND(Z300&lt;=$I15,Z300&gt;$J15),Tarification!$D$8,IF(AND(Z300&lt;=$J15,Z300&gt;$K15),Tarification!$D$9,IF(AND(Z300&lt;=$K15,Z300&gt;0),Tarification!$D$10,0)))</f>
        <v>0</v>
      </c>
      <c r="AA590" s="37">
        <f>IF(AND(AA300&lt;=$I15,AA300&gt;$J15),Tarification!$D$8,IF(AND(AA300&lt;=$J15,AA300&gt;$K15),Tarification!$D$9,IF(AND(AA300&lt;=$K15,AA300&gt;0),Tarification!$D$10,0)))</f>
        <v>0</v>
      </c>
      <c r="AB590" s="37">
        <f>IF(AND(AB300&lt;=$I15,AB300&gt;$J15),Tarification!$D$8,IF(AND(AB300&lt;=$J15,AB300&gt;$K15),Tarification!$D$9,IF(AND(AB300&lt;=$K15,AB300&gt;0),Tarification!$D$10,0)))</f>
        <v>0</v>
      </c>
      <c r="AC590" s="37">
        <f>IF(AND(AC300&lt;=$I15,AC300&gt;$J15),Tarification!$D$8,IF(AND(AC300&lt;=$J15,AC300&gt;$K15),Tarification!$D$9,IF(AND(AC300&lt;=$K15,AC300&gt;0),Tarification!$D$10,0)))</f>
        <v>0</v>
      </c>
      <c r="AD590" s="37">
        <f>IF(AND(AD300&lt;=$I15,AD300&gt;$J15),Tarification!$D$8,IF(AND(AD300&lt;=$J15,AD300&gt;$K15),Tarification!$D$9,IF(AND(AD300&lt;=$K15,AD300&gt;0),Tarification!$D$10,0)))</f>
        <v>0</v>
      </c>
      <c r="AE590" s="37">
        <f>IF(AND(AE300&lt;=$I15,AE300&gt;$J15),Tarification!$D$8,IF(AND(AE300&lt;=$J15,AE300&gt;$K15),Tarification!$D$9,IF(AND(AE300&lt;=$K15,AE300&gt;0),Tarification!$D$10,0)))</f>
        <v>50000</v>
      </c>
      <c r="AF590" s="37">
        <f>IF(AND(AF300&lt;=$I15,AF300&gt;$J15),Tarification!$D$8,IF(AND(AF300&lt;=$J15,AF300&gt;$K15),Tarification!$D$9,IF(AND(AF300&lt;=$K15,AF300&gt;0),Tarification!$D$10,0)))</f>
        <v>50000</v>
      </c>
      <c r="AG590" s="37">
        <f>IF(AND(AG300&lt;=$I15,AG300&gt;$J15),Tarification!$D$8,IF(AND(AG300&lt;=$J15,AG300&gt;$K15),Tarification!$D$9,IF(AND(AG300&lt;=$K15,AG300&gt;0),Tarification!$D$10,0)))</f>
        <v>0</v>
      </c>
      <c r="AH590" s="37">
        <f>IF(AND(AH300&lt;=$I15,AH300&gt;$J15),Tarification!$D$8,IF(AND(AH300&lt;=$J15,AH300&gt;$K15),Tarification!$D$9,IF(AND(AH300&lt;=$K15,AH300&gt;0),Tarification!$D$10,0)))</f>
        <v>0</v>
      </c>
      <c r="AI590" s="37">
        <f>IF(AND(AI300&lt;=$I15,AI300&gt;$J15),Tarification!$D$8,IF(AND(AI300&lt;=$J15,AI300&gt;$K15),Tarification!$D$9,IF(AND(AI300&lt;=$K15,AI300&gt;0),Tarification!$D$10,0)))</f>
        <v>0</v>
      </c>
      <c r="AJ590" s="37">
        <f>IF(AND(AJ300&lt;=$I15,AJ300&gt;$J15),Tarification!$D$8,IF(AND(AJ300&lt;=$J15,AJ300&gt;$K15),Tarification!$D$9,IF(AND(AJ300&lt;=$K15,AJ300&gt;0),Tarification!$D$10,0)))</f>
        <v>0</v>
      </c>
      <c r="AK590" s="37">
        <f>IF(AND(AK300&lt;=$I15,AK300&gt;$J15),Tarification!$D$8,IF(AND(AK300&lt;=$J15,AK300&gt;$K15),Tarification!$D$9,IF(AND(AK300&lt;=$K15,AK300&gt;0),Tarification!$D$10,0)))</f>
        <v>0</v>
      </c>
      <c r="AL590" s="37">
        <f>IF(AND(AL300&lt;=$I15,AL300&gt;$J15),Tarification!$D$8,IF(AND(AL300&lt;=$J15,AL300&gt;$K15),Tarification!$D$9,IF(AND(AL300&lt;=$K15,AL300&gt;0),Tarification!$D$10,0)))</f>
        <v>0</v>
      </c>
      <c r="AM590" s="37">
        <f>IF(AND(AM300&lt;=$I15,AM300&gt;$J15),Tarification!$D$8,IF(AND(AM300&lt;=$J15,AM300&gt;$K15),Tarification!$D$9,IF(AND(AM300&lt;=$K15,AM300&gt;0),Tarification!$D$10,0)))</f>
        <v>0</v>
      </c>
      <c r="AN590" s="37">
        <f>IF(AND(AN300&lt;=$I15,AN300&gt;$J15),Tarification!$D$8,IF(AND(AN300&lt;=$J15,AN300&gt;$K15),Tarification!$D$9,IF(AND(AN300&lt;=$K15,AN300&gt;0),Tarification!$D$10,0)))</f>
        <v>50000</v>
      </c>
      <c r="AQ590" s="101">
        <f t="shared" si="148"/>
        <v>10526.315789473685</v>
      </c>
    </row>
    <row r="591" spans="14:43" ht="15.6">
      <c r="N591" s="39" t="s">
        <v>26</v>
      </c>
      <c r="O591" s="39" t="s">
        <v>278</v>
      </c>
      <c r="P591" t="s">
        <v>628</v>
      </c>
      <c r="Q591" s="39"/>
      <c r="V591" s="37">
        <f>IF(AND(V301&lt;=$I16,V301&gt;$J16),Tarification!$D$8,IF(AND(V301&lt;=$J16,V301&gt;$K16),Tarification!$D$9,IF(AND(V301&lt;=$K16,V301&gt;0),Tarification!$D$10,0)))</f>
        <v>0</v>
      </c>
      <c r="W591" s="37">
        <f>IF(AND(W301&lt;=$I16,W301&gt;$J16),Tarification!$D$8,IF(AND(W301&lt;=$J16,W301&gt;$K16),Tarification!$D$9,IF(AND(W301&lt;=$K16,W301&gt;0),Tarification!$D$10,0)))</f>
        <v>0</v>
      </c>
      <c r="X591" s="37">
        <f>IF(AND(X301&lt;=$I16,X301&gt;$J16),Tarification!$D$8,IF(AND(X301&lt;=$J16,X301&gt;$K16),Tarification!$D$9,IF(AND(X301&lt;=$K16,X301&gt;0),Tarification!$D$10,0)))</f>
        <v>0</v>
      </c>
      <c r="Y591" s="37">
        <f>IF(AND(Y301&lt;=$I16,Y301&gt;$J16),Tarification!$D$8,IF(AND(Y301&lt;=$J16,Y301&gt;$K16),Tarification!$D$9,IF(AND(Y301&lt;=$K16,Y301&gt;0),Tarification!$D$10,0)))</f>
        <v>0</v>
      </c>
      <c r="Z591" s="37">
        <f>IF(AND(Z301&lt;=$I16,Z301&gt;$J16),Tarification!$D$8,IF(AND(Z301&lt;=$J16,Z301&gt;$K16),Tarification!$D$9,IF(AND(Z301&lt;=$K16,Z301&gt;0),Tarification!$D$10,0)))</f>
        <v>0</v>
      </c>
      <c r="AA591" s="37">
        <f>IF(AND(AA301&lt;=$I16,AA301&gt;$J16),Tarification!$D$8,IF(AND(AA301&lt;=$J16,AA301&gt;$K16),Tarification!$D$9,IF(AND(AA301&lt;=$K16,AA301&gt;0),Tarification!$D$10,0)))</f>
        <v>0</v>
      </c>
      <c r="AB591" s="37">
        <f>IF(AND(AB301&lt;=$I16,AB301&gt;$J16),Tarification!$D$8,IF(AND(AB301&lt;=$J16,AB301&gt;$K16),Tarification!$D$9,IF(AND(AB301&lt;=$K16,AB301&gt;0),Tarification!$D$10,0)))</f>
        <v>0</v>
      </c>
      <c r="AC591" s="37">
        <f>IF(AND(AC301&lt;=$I16,AC301&gt;$J16),Tarification!$D$8,IF(AND(AC301&lt;=$J16,AC301&gt;$K16),Tarification!$D$9,IF(AND(AC301&lt;=$K16,AC301&gt;0),Tarification!$D$10,0)))</f>
        <v>0</v>
      </c>
      <c r="AD591" s="37">
        <f>IF(AND(AD301&lt;=$I16,AD301&gt;$J16),Tarification!$D$8,IF(AND(AD301&lt;=$J16,AD301&gt;$K16),Tarification!$D$9,IF(AND(AD301&lt;=$K16,AD301&gt;0),Tarification!$D$10,0)))</f>
        <v>0</v>
      </c>
      <c r="AE591" s="37">
        <f>IF(AND(AE301&lt;=$I16,AE301&gt;$J16),Tarification!$D$8,IF(AND(AE301&lt;=$J16,AE301&gt;$K16),Tarification!$D$9,IF(AND(AE301&lt;=$K16,AE301&gt;0),Tarification!$D$10,0)))</f>
        <v>0</v>
      </c>
      <c r="AF591" s="37">
        <f>IF(AND(AF301&lt;=$I16,AF301&gt;$J16),Tarification!$D$8,IF(AND(AF301&lt;=$J16,AF301&gt;$K16),Tarification!$D$9,IF(AND(AF301&lt;=$K16,AF301&gt;0),Tarification!$D$10,0)))</f>
        <v>0</v>
      </c>
      <c r="AG591" s="37">
        <f>IF(AND(AG301&lt;=$I16,AG301&gt;$J16),Tarification!$D$8,IF(AND(AG301&lt;=$J16,AG301&gt;$K16),Tarification!$D$9,IF(AND(AG301&lt;=$K16,AG301&gt;0),Tarification!$D$10,0)))</f>
        <v>0</v>
      </c>
      <c r="AH591" s="37">
        <f>IF(AND(AH301&lt;=$I16,AH301&gt;$J16),Tarification!$D$8,IF(AND(AH301&lt;=$J16,AH301&gt;$K16),Tarification!$D$9,IF(AND(AH301&lt;=$K16,AH301&gt;0),Tarification!$D$10,0)))</f>
        <v>0</v>
      </c>
      <c r="AI591" s="37">
        <f>IF(AND(AI301&lt;=$I16,AI301&gt;$J16),Tarification!$D$8,IF(AND(AI301&lt;=$J16,AI301&gt;$K16),Tarification!$D$9,IF(AND(AI301&lt;=$K16,AI301&gt;0),Tarification!$D$10,0)))</f>
        <v>0</v>
      </c>
      <c r="AJ591" s="37">
        <f>IF(AND(AJ301&lt;=$I16,AJ301&gt;$J16),Tarification!$D$8,IF(AND(AJ301&lt;=$J16,AJ301&gt;$K16),Tarification!$D$9,IF(AND(AJ301&lt;=$K16,AJ301&gt;0),Tarification!$D$10,0)))</f>
        <v>0</v>
      </c>
      <c r="AK591" s="37">
        <f>IF(AND(AK301&lt;=$I16,AK301&gt;$J16),Tarification!$D$8,IF(AND(AK301&lt;=$J16,AK301&gt;$K16),Tarification!$D$9,IF(AND(AK301&lt;=$K16,AK301&gt;0),Tarification!$D$10,0)))</f>
        <v>0</v>
      </c>
      <c r="AL591" s="37">
        <f>IF(AND(AL301&lt;=$I16,AL301&gt;$J16),Tarification!$D$8,IF(AND(AL301&lt;=$J16,AL301&gt;$K16),Tarification!$D$9,IF(AND(AL301&lt;=$K16,AL301&gt;0),Tarification!$D$10,0)))</f>
        <v>0</v>
      </c>
      <c r="AM591" s="37">
        <f>IF(AND(AM301&lt;=$I16,AM301&gt;$J16),Tarification!$D$8,IF(AND(AM301&lt;=$J16,AM301&gt;$K16),Tarification!$D$9,IF(AND(AM301&lt;=$K16,AM301&gt;0),Tarification!$D$10,0)))</f>
        <v>0</v>
      </c>
      <c r="AN591" s="37">
        <f>IF(AND(AN301&lt;=$I16,AN301&gt;$J16),Tarification!$D$8,IF(AND(AN301&lt;=$J16,AN301&gt;$K16),Tarification!$D$9,IF(AND(AN301&lt;=$K16,AN301&gt;0),Tarification!$D$10,0)))</f>
        <v>0</v>
      </c>
      <c r="AQ591" s="101">
        <f t="shared" si="148"/>
        <v>0</v>
      </c>
    </row>
    <row r="592" spans="14:43" ht="15.6">
      <c r="N592" s="39" t="s">
        <v>26</v>
      </c>
      <c r="O592" s="39" t="s">
        <v>576</v>
      </c>
      <c r="P592" t="s">
        <v>629</v>
      </c>
      <c r="Q592" s="39"/>
      <c r="V592" s="37">
        <f>IF(AND(V302&lt;=$I17,V302&gt;$J17),Tarification!$D$8,IF(AND(V302&lt;=$J17,V302&gt;$K17),Tarification!$D$9,IF(AND(V302&lt;=$K17,V302&gt;0),Tarification!$D$10,0)))</f>
        <v>0</v>
      </c>
      <c r="W592" s="37">
        <f>IF(AND(W302&lt;=$I17,W302&gt;$J17),Tarification!$D$8,IF(AND(W302&lt;=$J17,W302&gt;$K17),Tarification!$D$9,IF(AND(W302&lt;=$K17,W302&gt;0),Tarification!$D$10,0)))</f>
        <v>0</v>
      </c>
      <c r="X592" s="37">
        <f>IF(AND(X302&lt;=$I17,X302&gt;$J17),Tarification!$D$8,IF(AND(X302&lt;=$J17,X302&gt;$K17),Tarification!$D$9,IF(AND(X302&lt;=$K17,X302&gt;0),Tarification!$D$10,0)))</f>
        <v>0</v>
      </c>
      <c r="Y592" s="37">
        <f>IF(AND(Y302&lt;=$I17,Y302&gt;$J17),Tarification!$D$8,IF(AND(Y302&lt;=$J17,Y302&gt;$K17),Tarification!$D$9,IF(AND(Y302&lt;=$K17,Y302&gt;0),Tarification!$D$10,0)))</f>
        <v>0</v>
      </c>
      <c r="Z592" s="37">
        <f>IF(AND(Z302&lt;=$I17,Z302&gt;$J17),Tarification!$D$8,IF(AND(Z302&lt;=$J17,Z302&gt;$K17),Tarification!$D$9,IF(AND(Z302&lt;=$K17,Z302&gt;0),Tarification!$D$10,0)))</f>
        <v>0</v>
      </c>
      <c r="AA592" s="37">
        <f>IF(AND(AA302&lt;=$I17,AA302&gt;$J17),Tarification!$D$8,IF(AND(AA302&lt;=$J17,AA302&gt;$K17),Tarification!$D$9,IF(AND(AA302&lt;=$K17,AA302&gt;0),Tarification!$D$10,0)))</f>
        <v>0</v>
      </c>
      <c r="AB592" s="37">
        <f>IF(AND(AB302&lt;=$I17,AB302&gt;$J17),Tarification!$D$8,IF(AND(AB302&lt;=$J17,AB302&gt;$K17),Tarification!$D$9,IF(AND(AB302&lt;=$K17,AB302&gt;0),Tarification!$D$10,0)))</f>
        <v>0</v>
      </c>
      <c r="AC592" s="37">
        <f>IF(AND(AC302&lt;=$I17,AC302&gt;$J17),Tarification!$D$8,IF(AND(AC302&lt;=$J17,AC302&gt;$K17),Tarification!$D$9,IF(AND(AC302&lt;=$K17,AC302&gt;0),Tarification!$D$10,0)))</f>
        <v>0</v>
      </c>
      <c r="AD592" s="37">
        <f>IF(AND(AD302&lt;=$I17,AD302&gt;$J17),Tarification!$D$8,IF(AND(AD302&lt;=$J17,AD302&gt;$K17),Tarification!$D$9,IF(AND(AD302&lt;=$K17,AD302&gt;0),Tarification!$D$10,0)))</f>
        <v>0</v>
      </c>
      <c r="AE592" s="37">
        <f>IF(AND(AE302&lt;=$I17,AE302&gt;$J17),Tarification!$D$8,IF(AND(AE302&lt;=$J17,AE302&gt;$K17),Tarification!$D$9,IF(AND(AE302&lt;=$K17,AE302&gt;0),Tarification!$D$10,0)))</f>
        <v>50000</v>
      </c>
      <c r="AF592" s="37">
        <f>IF(AND(AF302&lt;=$I17,AF302&gt;$J17),Tarification!$D$8,IF(AND(AF302&lt;=$J17,AF302&gt;$K17),Tarification!$D$9,IF(AND(AF302&lt;=$K17,AF302&gt;0),Tarification!$D$10,0)))</f>
        <v>0</v>
      </c>
      <c r="AG592" s="37">
        <f>IF(AND(AG302&lt;=$I17,AG302&gt;$J17),Tarification!$D$8,IF(AND(AG302&lt;=$J17,AG302&gt;$K17),Tarification!$D$9,IF(AND(AG302&lt;=$K17,AG302&gt;0),Tarification!$D$10,0)))</f>
        <v>0</v>
      </c>
      <c r="AH592" s="37">
        <f>IF(AND(AH302&lt;=$I17,AH302&gt;$J17),Tarification!$D$8,IF(AND(AH302&lt;=$J17,AH302&gt;$K17),Tarification!$D$9,IF(AND(AH302&lt;=$K17,AH302&gt;0),Tarification!$D$10,0)))</f>
        <v>0</v>
      </c>
      <c r="AI592" s="37">
        <f>IF(AND(AI302&lt;=$I17,AI302&gt;$J17),Tarification!$D$8,IF(AND(AI302&lt;=$J17,AI302&gt;$K17),Tarification!$D$9,IF(AND(AI302&lt;=$K17,AI302&gt;0),Tarification!$D$10,0)))</f>
        <v>0</v>
      </c>
      <c r="AJ592" s="37">
        <f>IF(AND(AJ302&lt;=$I17,AJ302&gt;$J17),Tarification!$D$8,IF(AND(AJ302&lt;=$J17,AJ302&gt;$K17),Tarification!$D$9,IF(AND(AJ302&lt;=$K17,AJ302&gt;0),Tarification!$D$10,0)))</f>
        <v>0</v>
      </c>
      <c r="AK592" s="37">
        <f>IF(AND(AK302&lt;=$I17,AK302&gt;$J17),Tarification!$D$8,IF(AND(AK302&lt;=$J17,AK302&gt;$K17),Tarification!$D$9,IF(AND(AK302&lt;=$K17,AK302&gt;0),Tarification!$D$10,0)))</f>
        <v>0</v>
      </c>
      <c r="AL592" s="37">
        <f>IF(AND(AL302&lt;=$I17,AL302&gt;$J17),Tarification!$D$8,IF(AND(AL302&lt;=$J17,AL302&gt;$K17),Tarification!$D$9,IF(AND(AL302&lt;=$K17,AL302&gt;0),Tarification!$D$10,0)))</f>
        <v>0</v>
      </c>
      <c r="AM592" s="37">
        <f>IF(AND(AM302&lt;=$I17,AM302&gt;$J17),Tarification!$D$8,IF(AND(AM302&lt;=$J17,AM302&gt;$K17),Tarification!$D$9,IF(AND(AM302&lt;=$K17,AM302&gt;0),Tarification!$D$10,0)))</f>
        <v>0</v>
      </c>
      <c r="AN592" s="37">
        <f>IF(AND(AN302&lt;=$I17,AN302&gt;$J17),Tarification!$D$8,IF(AND(AN302&lt;=$J17,AN302&gt;$K17),Tarification!$D$9,IF(AND(AN302&lt;=$K17,AN302&gt;0),Tarification!$D$10,0)))</f>
        <v>0</v>
      </c>
      <c r="AQ592" s="101">
        <f t="shared" si="148"/>
        <v>2631.5789473684213</v>
      </c>
    </row>
    <row r="593" spans="14:43" ht="15.6">
      <c r="N593" s="39" t="s">
        <v>26</v>
      </c>
      <c r="O593" s="39" t="s">
        <v>270</v>
      </c>
      <c r="P593" t="s">
        <v>630</v>
      </c>
      <c r="Q593" s="39"/>
      <c r="V593" s="37">
        <f>IF(AND(V303&lt;=$I18,V303&gt;$J18),Tarification!$D$8,IF(AND(V303&lt;=$J18,V303&gt;$K18),Tarification!$D$9,IF(AND(V303&lt;=$K18,V303&gt;0),Tarification!$D$10,0)))</f>
        <v>0</v>
      </c>
      <c r="W593" s="37">
        <f>IF(AND(W303&lt;=$I18,W303&gt;$J18),Tarification!$D$8,IF(AND(W303&lt;=$J18,W303&gt;$K18),Tarification!$D$9,IF(AND(W303&lt;=$K18,W303&gt;0),Tarification!$D$10,0)))</f>
        <v>0</v>
      </c>
      <c r="X593" s="37">
        <f>IF(AND(X303&lt;=$I18,X303&gt;$J18),Tarification!$D$8,IF(AND(X303&lt;=$J18,X303&gt;$K18),Tarification!$D$9,IF(AND(X303&lt;=$K18,X303&gt;0),Tarification!$D$10,0)))</f>
        <v>0</v>
      </c>
      <c r="Y593" s="37">
        <f>IF(AND(Y303&lt;=$I18,Y303&gt;$J18),Tarification!$D$8,IF(AND(Y303&lt;=$J18,Y303&gt;$K18),Tarification!$D$9,IF(AND(Y303&lt;=$K18,Y303&gt;0),Tarification!$D$10,0)))</f>
        <v>0</v>
      </c>
      <c r="Z593" s="37">
        <f>IF(AND(Z303&lt;=$I18,Z303&gt;$J18),Tarification!$D$8,IF(AND(Z303&lt;=$J18,Z303&gt;$K18),Tarification!$D$9,IF(AND(Z303&lt;=$K18,Z303&gt;0),Tarification!$D$10,0)))</f>
        <v>0</v>
      </c>
      <c r="AA593" s="37">
        <f>IF(AND(AA303&lt;=$I18,AA303&gt;$J18),Tarification!$D$8,IF(AND(AA303&lt;=$J18,AA303&gt;$K18),Tarification!$D$9,IF(AND(AA303&lt;=$K18,AA303&gt;0),Tarification!$D$10,0)))</f>
        <v>0</v>
      </c>
      <c r="AB593" s="37">
        <f>IF(AND(AB303&lt;=$I18,AB303&gt;$J18),Tarification!$D$8,IF(AND(AB303&lt;=$J18,AB303&gt;$K18),Tarification!$D$9,IF(AND(AB303&lt;=$K18,AB303&gt;0),Tarification!$D$10,0)))</f>
        <v>0</v>
      </c>
      <c r="AC593" s="37">
        <f>IF(AND(AC303&lt;=$I18,AC303&gt;$J18),Tarification!$D$8,IF(AND(AC303&lt;=$J18,AC303&gt;$K18),Tarification!$D$9,IF(AND(AC303&lt;=$K18,AC303&gt;0),Tarification!$D$10,0)))</f>
        <v>0</v>
      </c>
      <c r="AD593" s="37">
        <f>IF(AND(AD303&lt;=$I18,AD303&gt;$J18),Tarification!$D$8,IF(AND(AD303&lt;=$J18,AD303&gt;$K18),Tarification!$D$9,IF(AND(AD303&lt;=$K18,AD303&gt;0),Tarification!$D$10,0)))</f>
        <v>0</v>
      </c>
      <c r="AE593" s="37">
        <f>IF(AND(AE303&lt;=$I18,AE303&gt;$J18),Tarification!$D$8,IF(AND(AE303&lt;=$J18,AE303&gt;$K18),Tarification!$D$9,IF(AND(AE303&lt;=$K18,AE303&gt;0),Tarification!$D$10,0)))</f>
        <v>0</v>
      </c>
      <c r="AF593" s="37">
        <f>IF(AND(AF303&lt;=$I18,AF303&gt;$J18),Tarification!$D$8,IF(AND(AF303&lt;=$J18,AF303&gt;$K18),Tarification!$D$9,IF(AND(AF303&lt;=$K18,AF303&gt;0),Tarification!$D$10,0)))</f>
        <v>0</v>
      </c>
      <c r="AG593" s="37">
        <f>IF(AND(AG303&lt;=$I18,AG303&gt;$J18),Tarification!$D$8,IF(AND(AG303&lt;=$J18,AG303&gt;$K18),Tarification!$D$9,IF(AND(AG303&lt;=$K18,AG303&gt;0),Tarification!$D$10,0)))</f>
        <v>0</v>
      </c>
      <c r="AH593" s="37">
        <f>IF(AND(AH303&lt;=$I18,AH303&gt;$J18),Tarification!$D$8,IF(AND(AH303&lt;=$J18,AH303&gt;$K18),Tarification!$D$9,IF(AND(AH303&lt;=$K18,AH303&gt;0),Tarification!$D$10,0)))</f>
        <v>0</v>
      </c>
      <c r="AI593" s="37">
        <f>IF(AND(AI303&lt;=$I18,AI303&gt;$J18),Tarification!$D$8,IF(AND(AI303&lt;=$J18,AI303&gt;$K18),Tarification!$D$9,IF(AND(AI303&lt;=$K18,AI303&gt;0),Tarification!$D$10,0)))</f>
        <v>0</v>
      </c>
      <c r="AJ593" s="37">
        <f>IF(AND(AJ303&lt;=$I18,AJ303&gt;$J18),Tarification!$D$8,IF(AND(AJ303&lt;=$J18,AJ303&gt;$K18),Tarification!$D$9,IF(AND(AJ303&lt;=$K18,AJ303&gt;0),Tarification!$D$10,0)))</f>
        <v>0</v>
      </c>
      <c r="AK593" s="37">
        <f>IF(AND(AK303&lt;=$I18,AK303&gt;$J18),Tarification!$D$8,IF(AND(AK303&lt;=$J18,AK303&gt;$K18),Tarification!$D$9,IF(AND(AK303&lt;=$K18,AK303&gt;0),Tarification!$D$10,0)))</f>
        <v>0</v>
      </c>
      <c r="AL593" s="37">
        <f>IF(AND(AL303&lt;=$I18,AL303&gt;$J18),Tarification!$D$8,IF(AND(AL303&lt;=$J18,AL303&gt;$K18),Tarification!$D$9,IF(AND(AL303&lt;=$K18,AL303&gt;0),Tarification!$D$10,0)))</f>
        <v>0</v>
      </c>
      <c r="AM593" s="37">
        <f>IF(AND(AM303&lt;=$I18,AM303&gt;$J18),Tarification!$D$8,IF(AND(AM303&lt;=$J18,AM303&gt;$K18),Tarification!$D$9,IF(AND(AM303&lt;=$K18,AM303&gt;0),Tarification!$D$10,0)))</f>
        <v>0</v>
      </c>
      <c r="AN593" s="37">
        <f>IF(AND(AN303&lt;=$I18,AN303&gt;$J18),Tarification!$D$8,IF(AND(AN303&lt;=$J18,AN303&gt;$K18),Tarification!$D$9,IF(AND(AN303&lt;=$K18,AN303&gt;0),Tarification!$D$10,0)))</f>
        <v>0</v>
      </c>
      <c r="AQ593" s="101">
        <f t="shared" si="148"/>
        <v>0</v>
      </c>
    </row>
    <row r="594" spans="14:43" ht="15.6">
      <c r="N594" s="39" t="s">
        <v>26</v>
      </c>
      <c r="O594" s="39" t="s">
        <v>278</v>
      </c>
      <c r="P594" t="s">
        <v>631</v>
      </c>
      <c r="Q594" s="39"/>
      <c r="V594" s="37">
        <f>IF(AND(V304&lt;=$I19,V304&gt;$J19),Tarification!$D$8,IF(AND(V304&lt;=$J19,V304&gt;$K19),Tarification!$D$9,IF(AND(V304&lt;=$K19,V304&gt;0),Tarification!$D$10,0)))</f>
        <v>0</v>
      </c>
      <c r="W594" s="37">
        <f>IF(AND(W304&lt;=$I19,W304&gt;$J19),Tarification!$D$8,IF(AND(W304&lt;=$J19,W304&gt;$K19),Tarification!$D$9,IF(AND(W304&lt;=$K19,W304&gt;0),Tarification!$D$10,0)))</f>
        <v>0</v>
      </c>
      <c r="X594" s="37">
        <f>IF(AND(X304&lt;=$I19,X304&gt;$J19),Tarification!$D$8,IF(AND(X304&lt;=$J19,X304&gt;$K19),Tarification!$D$9,IF(AND(X304&lt;=$K19,X304&gt;0),Tarification!$D$10,0)))</f>
        <v>0</v>
      </c>
      <c r="Y594" s="37">
        <f>IF(AND(Y304&lt;=$I19,Y304&gt;$J19),Tarification!$D$8,IF(AND(Y304&lt;=$J19,Y304&gt;$K19),Tarification!$D$9,IF(AND(Y304&lt;=$K19,Y304&gt;0),Tarification!$D$10,0)))</f>
        <v>0</v>
      </c>
      <c r="Z594" s="37">
        <f>IF(AND(Z304&lt;=$I19,Z304&gt;$J19),Tarification!$D$8,IF(AND(Z304&lt;=$J19,Z304&gt;$K19),Tarification!$D$9,IF(AND(Z304&lt;=$K19,Z304&gt;0),Tarification!$D$10,0)))</f>
        <v>0</v>
      </c>
      <c r="AA594" s="37">
        <f>IF(AND(AA304&lt;=$I19,AA304&gt;$J19),Tarification!$D$8,IF(AND(AA304&lt;=$J19,AA304&gt;$K19),Tarification!$D$9,IF(AND(AA304&lt;=$K19,AA304&gt;0),Tarification!$D$10,0)))</f>
        <v>0</v>
      </c>
      <c r="AB594" s="37">
        <f>IF(AND(AB304&lt;=$I19,AB304&gt;$J19),Tarification!$D$8,IF(AND(AB304&lt;=$J19,AB304&gt;$K19),Tarification!$D$9,IF(AND(AB304&lt;=$K19,AB304&gt;0),Tarification!$D$10,0)))</f>
        <v>0</v>
      </c>
      <c r="AC594" s="37">
        <f>IF(AND(AC304&lt;=$I19,AC304&gt;$J19),Tarification!$D$8,IF(AND(AC304&lt;=$J19,AC304&gt;$K19),Tarification!$D$9,IF(AND(AC304&lt;=$K19,AC304&gt;0),Tarification!$D$10,0)))</f>
        <v>0</v>
      </c>
      <c r="AD594" s="37">
        <f>IF(AND(AD304&lt;=$I19,AD304&gt;$J19),Tarification!$D$8,IF(AND(AD304&lt;=$J19,AD304&gt;$K19),Tarification!$D$9,IF(AND(AD304&lt;=$K19,AD304&gt;0),Tarification!$D$10,0)))</f>
        <v>0</v>
      </c>
      <c r="AE594" s="37">
        <f>IF(AND(AE304&lt;=$I19,AE304&gt;$J19),Tarification!$D$8,IF(AND(AE304&lt;=$J19,AE304&gt;$K19),Tarification!$D$9,IF(AND(AE304&lt;=$K19,AE304&gt;0),Tarification!$D$10,0)))</f>
        <v>0</v>
      </c>
      <c r="AF594" s="37">
        <f>IF(AND(AF304&lt;=$I19,AF304&gt;$J19),Tarification!$D$8,IF(AND(AF304&lt;=$J19,AF304&gt;$K19),Tarification!$D$9,IF(AND(AF304&lt;=$K19,AF304&gt;0),Tarification!$D$10,0)))</f>
        <v>0</v>
      </c>
      <c r="AG594" s="37">
        <f>IF(AND(AG304&lt;=$I19,AG304&gt;$J19),Tarification!$D$8,IF(AND(AG304&lt;=$J19,AG304&gt;$K19),Tarification!$D$9,IF(AND(AG304&lt;=$K19,AG304&gt;0),Tarification!$D$10,0)))</f>
        <v>0</v>
      </c>
      <c r="AH594" s="37">
        <f>IF(AND(AH304&lt;=$I19,AH304&gt;$J19),Tarification!$D$8,IF(AND(AH304&lt;=$J19,AH304&gt;$K19),Tarification!$D$9,IF(AND(AH304&lt;=$K19,AH304&gt;0),Tarification!$D$10,0)))</f>
        <v>0</v>
      </c>
      <c r="AI594" s="37">
        <f>IF(AND(AI304&lt;=$I19,AI304&gt;$J19),Tarification!$D$8,IF(AND(AI304&lt;=$J19,AI304&gt;$K19),Tarification!$D$9,IF(AND(AI304&lt;=$K19,AI304&gt;0),Tarification!$D$10,0)))</f>
        <v>0</v>
      </c>
      <c r="AJ594" s="37">
        <f>IF(AND(AJ304&lt;=$I19,AJ304&gt;$J19),Tarification!$D$8,IF(AND(AJ304&lt;=$J19,AJ304&gt;$K19),Tarification!$D$9,IF(AND(AJ304&lt;=$K19,AJ304&gt;0),Tarification!$D$10,0)))</f>
        <v>0</v>
      </c>
      <c r="AK594" s="37">
        <f>IF(AND(AK304&lt;=$I19,AK304&gt;$J19),Tarification!$D$8,IF(AND(AK304&lt;=$J19,AK304&gt;$K19),Tarification!$D$9,IF(AND(AK304&lt;=$K19,AK304&gt;0),Tarification!$D$10,0)))</f>
        <v>0</v>
      </c>
      <c r="AL594" s="37">
        <f>IF(AND(AL304&lt;=$I19,AL304&gt;$J19),Tarification!$D$8,IF(AND(AL304&lt;=$J19,AL304&gt;$K19),Tarification!$D$9,IF(AND(AL304&lt;=$K19,AL304&gt;0),Tarification!$D$10,0)))</f>
        <v>0</v>
      </c>
      <c r="AM594" s="37">
        <f>IF(AND(AM304&lt;=$I19,AM304&gt;$J19),Tarification!$D$8,IF(AND(AM304&lt;=$J19,AM304&gt;$K19),Tarification!$D$9,IF(AND(AM304&lt;=$K19,AM304&gt;0),Tarification!$D$10,0)))</f>
        <v>0</v>
      </c>
      <c r="AN594" s="37">
        <f>IF(AND(AN304&lt;=$I19,AN304&gt;$J19),Tarification!$D$8,IF(AND(AN304&lt;=$J19,AN304&gt;$K19),Tarification!$D$9,IF(AND(AN304&lt;=$K19,AN304&gt;0),Tarification!$D$10,0)))</f>
        <v>0</v>
      </c>
      <c r="AQ594" s="101">
        <f t="shared" si="148"/>
        <v>0</v>
      </c>
    </row>
    <row r="595" spans="14:43" ht="15.6">
      <c r="N595" s="39" t="s">
        <v>26</v>
      </c>
      <c r="O595" s="39" t="s">
        <v>273</v>
      </c>
      <c r="P595" t="s">
        <v>632</v>
      </c>
      <c r="Q595" s="39"/>
      <c r="V595" s="37">
        <f>IF(AND(V305&lt;=$I20,V305&gt;$J20),Tarification!$D$8,IF(AND(V305&lt;=$J20,V305&gt;$K20),Tarification!$D$9,IF(AND(V305&lt;=$K20,V305&gt;0),Tarification!$D$10,0)))</f>
        <v>0</v>
      </c>
      <c r="W595" s="37">
        <f>IF(AND(W305&lt;=$I20,W305&gt;$J20),Tarification!$D$8,IF(AND(W305&lt;=$J20,W305&gt;$K20),Tarification!$D$9,IF(AND(W305&lt;=$K20,W305&gt;0),Tarification!$D$10,0)))</f>
        <v>0</v>
      </c>
      <c r="X595" s="37">
        <f>IF(AND(X305&lt;=$I20,X305&gt;$J20),Tarification!$D$8,IF(AND(X305&lt;=$J20,X305&gt;$K20),Tarification!$D$9,IF(AND(X305&lt;=$K20,X305&gt;0),Tarification!$D$10,0)))</f>
        <v>0</v>
      </c>
      <c r="Y595" s="37">
        <f>IF(AND(Y305&lt;=$I20,Y305&gt;$J20),Tarification!$D$8,IF(AND(Y305&lt;=$J20,Y305&gt;$K20),Tarification!$D$9,IF(AND(Y305&lt;=$K20,Y305&gt;0),Tarification!$D$10,0)))</f>
        <v>0</v>
      </c>
      <c r="Z595" s="37">
        <f>IF(AND(Z305&lt;=$I20,Z305&gt;$J20),Tarification!$D$8,IF(AND(Z305&lt;=$J20,Z305&gt;$K20),Tarification!$D$9,IF(AND(Z305&lt;=$K20,Z305&gt;0),Tarification!$D$10,0)))</f>
        <v>0</v>
      </c>
      <c r="AA595" s="37">
        <f>IF(AND(AA305&lt;=$I20,AA305&gt;$J20),Tarification!$D$8,IF(AND(AA305&lt;=$J20,AA305&gt;$K20),Tarification!$D$9,IF(AND(AA305&lt;=$K20,AA305&gt;0),Tarification!$D$10,0)))</f>
        <v>0</v>
      </c>
      <c r="AB595" s="37">
        <f>IF(AND(AB305&lt;=$I20,AB305&gt;$J20),Tarification!$D$8,IF(AND(AB305&lt;=$J20,AB305&gt;$K20),Tarification!$D$9,IF(AND(AB305&lt;=$K20,AB305&gt;0),Tarification!$D$10,0)))</f>
        <v>0</v>
      </c>
      <c r="AC595" s="37">
        <f>IF(AND(AC305&lt;=$I20,AC305&gt;$J20),Tarification!$D$8,IF(AND(AC305&lt;=$J20,AC305&gt;$K20),Tarification!$D$9,IF(AND(AC305&lt;=$K20,AC305&gt;0),Tarification!$D$10,0)))</f>
        <v>0</v>
      </c>
      <c r="AD595" s="37">
        <f>IF(AND(AD305&lt;=$I20,AD305&gt;$J20),Tarification!$D$8,IF(AND(AD305&lt;=$J20,AD305&gt;$K20),Tarification!$D$9,IF(AND(AD305&lt;=$K20,AD305&gt;0),Tarification!$D$10,0)))</f>
        <v>0</v>
      </c>
      <c r="AE595" s="37">
        <f>IF(AND(AE305&lt;=$I20,AE305&gt;$J20),Tarification!$D$8,IF(AND(AE305&lt;=$J20,AE305&gt;$K20),Tarification!$D$9,IF(AND(AE305&lt;=$K20,AE305&gt;0),Tarification!$D$10,0)))</f>
        <v>0</v>
      </c>
      <c r="AF595" s="37">
        <f>IF(AND(AF305&lt;=$I20,AF305&gt;$J20),Tarification!$D$8,IF(AND(AF305&lt;=$J20,AF305&gt;$K20),Tarification!$D$9,IF(AND(AF305&lt;=$K20,AF305&gt;0),Tarification!$D$10,0)))</f>
        <v>0</v>
      </c>
      <c r="AG595" s="37">
        <f>IF(AND(AG305&lt;=$I20,AG305&gt;$J20),Tarification!$D$8,IF(AND(AG305&lt;=$J20,AG305&gt;$K20),Tarification!$D$9,IF(AND(AG305&lt;=$K20,AG305&gt;0),Tarification!$D$10,0)))</f>
        <v>0</v>
      </c>
      <c r="AH595" s="37">
        <f>IF(AND(AH305&lt;=$I20,AH305&gt;$J20),Tarification!$D$8,IF(AND(AH305&lt;=$J20,AH305&gt;$K20),Tarification!$D$9,IF(AND(AH305&lt;=$K20,AH305&gt;0),Tarification!$D$10,0)))</f>
        <v>0</v>
      </c>
      <c r="AI595" s="37">
        <f>IF(AND(AI305&lt;=$I20,AI305&gt;$J20),Tarification!$D$8,IF(AND(AI305&lt;=$J20,AI305&gt;$K20),Tarification!$D$9,IF(AND(AI305&lt;=$K20,AI305&gt;0),Tarification!$D$10,0)))</f>
        <v>0</v>
      </c>
      <c r="AJ595" s="37">
        <f>IF(AND(AJ305&lt;=$I20,AJ305&gt;$J20),Tarification!$D$8,IF(AND(AJ305&lt;=$J20,AJ305&gt;$K20),Tarification!$D$9,IF(AND(AJ305&lt;=$K20,AJ305&gt;0),Tarification!$D$10,0)))</f>
        <v>0</v>
      </c>
      <c r="AK595" s="37">
        <f>IF(AND(AK305&lt;=$I20,AK305&gt;$J20),Tarification!$D$8,IF(AND(AK305&lt;=$J20,AK305&gt;$K20),Tarification!$D$9,IF(AND(AK305&lt;=$K20,AK305&gt;0),Tarification!$D$10,0)))</f>
        <v>0</v>
      </c>
      <c r="AL595" s="37">
        <f>IF(AND(AL305&lt;=$I20,AL305&gt;$J20),Tarification!$D$8,IF(AND(AL305&lt;=$J20,AL305&gt;$K20),Tarification!$D$9,IF(AND(AL305&lt;=$K20,AL305&gt;0),Tarification!$D$10,0)))</f>
        <v>0</v>
      </c>
      <c r="AM595" s="37">
        <f>IF(AND(AM305&lt;=$I20,AM305&gt;$J20),Tarification!$D$8,IF(AND(AM305&lt;=$J20,AM305&gt;$K20),Tarification!$D$9,IF(AND(AM305&lt;=$K20,AM305&gt;0),Tarification!$D$10,0)))</f>
        <v>0</v>
      </c>
      <c r="AN595" s="37">
        <f>IF(AND(AN305&lt;=$I20,AN305&gt;$J20),Tarification!$D$8,IF(AND(AN305&lt;=$J20,AN305&gt;$K20),Tarification!$D$9,IF(AND(AN305&lt;=$K20,AN305&gt;0),Tarification!$D$10,0)))</f>
        <v>0</v>
      </c>
      <c r="AQ595" s="101">
        <f t="shared" si="148"/>
        <v>0</v>
      </c>
    </row>
    <row r="596" spans="14:43" ht="15.6">
      <c r="N596" s="39" t="s">
        <v>26</v>
      </c>
      <c r="O596" s="39" t="s">
        <v>598</v>
      </c>
      <c r="P596" t="s">
        <v>633</v>
      </c>
      <c r="Q596" s="39"/>
      <c r="V596" s="37">
        <f>IF(AND(V306&lt;=$I21,V306&gt;$J21),Tarification!$D$8,IF(AND(V306&lt;=$J21,V306&gt;$K21),Tarification!$D$9,IF(AND(V306&lt;=$K21,V306&gt;0),Tarification!$D$10,0)))</f>
        <v>0</v>
      </c>
      <c r="W596" s="37">
        <f>IF(AND(W306&lt;=$I21,W306&gt;$J21),Tarification!$D$8,IF(AND(W306&lt;=$J21,W306&gt;$K21),Tarification!$D$9,IF(AND(W306&lt;=$K21,W306&gt;0),Tarification!$D$10,0)))</f>
        <v>0</v>
      </c>
      <c r="X596" s="37">
        <f>IF(AND(X306&lt;=$I21,X306&gt;$J21),Tarification!$D$8,IF(AND(X306&lt;=$J21,X306&gt;$K21),Tarification!$D$9,IF(AND(X306&lt;=$K21,X306&gt;0),Tarification!$D$10,0)))</f>
        <v>0</v>
      </c>
      <c r="Y596" s="37">
        <f>IF(AND(Y306&lt;=$I21,Y306&gt;$J21),Tarification!$D$8,IF(AND(Y306&lt;=$J21,Y306&gt;$K21),Tarification!$D$9,IF(AND(Y306&lt;=$K21,Y306&gt;0),Tarification!$D$10,0)))</f>
        <v>0</v>
      </c>
      <c r="Z596" s="37">
        <f>IF(AND(Z306&lt;=$I21,Z306&gt;$J21),Tarification!$D$8,IF(AND(Z306&lt;=$J21,Z306&gt;$K21),Tarification!$D$9,IF(AND(Z306&lt;=$K21,Z306&gt;0),Tarification!$D$10,0)))</f>
        <v>0</v>
      </c>
      <c r="AA596" s="37">
        <f>IF(AND(AA306&lt;=$I21,AA306&gt;$J21),Tarification!$D$8,IF(AND(AA306&lt;=$J21,AA306&gt;$K21),Tarification!$D$9,IF(AND(AA306&lt;=$K21,AA306&gt;0),Tarification!$D$10,0)))</f>
        <v>0</v>
      </c>
      <c r="AB596" s="37">
        <f>IF(AND(AB306&lt;=$I21,AB306&gt;$J21),Tarification!$D$8,IF(AND(AB306&lt;=$J21,AB306&gt;$K21),Tarification!$D$9,IF(AND(AB306&lt;=$K21,AB306&gt;0),Tarification!$D$10,0)))</f>
        <v>0</v>
      </c>
      <c r="AC596" s="37">
        <f>IF(AND(AC306&lt;=$I21,AC306&gt;$J21),Tarification!$D$8,IF(AND(AC306&lt;=$J21,AC306&gt;$K21),Tarification!$D$9,IF(AND(AC306&lt;=$K21,AC306&gt;0),Tarification!$D$10,0)))</f>
        <v>50000</v>
      </c>
      <c r="AD596" s="37">
        <f>IF(AND(AD306&lt;=$I21,AD306&gt;$J21),Tarification!$D$8,IF(AND(AD306&lt;=$J21,AD306&gt;$K21),Tarification!$D$9,IF(AND(AD306&lt;=$K21,AD306&gt;0),Tarification!$D$10,0)))</f>
        <v>0</v>
      </c>
      <c r="AE596" s="37">
        <f>IF(AND(AE306&lt;=$I21,AE306&gt;$J21),Tarification!$D$8,IF(AND(AE306&lt;=$J21,AE306&gt;$K21),Tarification!$D$9,IF(AND(AE306&lt;=$K21,AE306&gt;0),Tarification!$D$10,0)))</f>
        <v>50000</v>
      </c>
      <c r="AF596" s="37">
        <f>IF(AND(AF306&lt;=$I21,AF306&gt;$J21),Tarification!$D$8,IF(AND(AF306&lt;=$J21,AF306&gt;$K21),Tarification!$D$9,IF(AND(AF306&lt;=$K21,AF306&gt;0),Tarification!$D$10,0)))</f>
        <v>0</v>
      </c>
      <c r="AG596" s="37">
        <f>IF(AND(AG306&lt;=$I21,AG306&gt;$J21),Tarification!$D$8,IF(AND(AG306&lt;=$J21,AG306&gt;$K21),Tarification!$D$9,IF(AND(AG306&lt;=$K21,AG306&gt;0),Tarification!$D$10,0)))</f>
        <v>0</v>
      </c>
      <c r="AH596" s="37">
        <f>IF(AND(AH306&lt;=$I21,AH306&gt;$J21),Tarification!$D$8,IF(AND(AH306&lt;=$J21,AH306&gt;$K21),Tarification!$D$9,IF(AND(AH306&lt;=$K21,AH306&gt;0),Tarification!$D$10,0)))</f>
        <v>0</v>
      </c>
      <c r="AI596" s="37">
        <f>IF(AND(AI306&lt;=$I21,AI306&gt;$J21),Tarification!$D$8,IF(AND(AI306&lt;=$J21,AI306&gt;$K21),Tarification!$D$9,IF(AND(AI306&lt;=$K21,AI306&gt;0),Tarification!$D$10,0)))</f>
        <v>0</v>
      </c>
      <c r="AJ596" s="37">
        <f>IF(AND(AJ306&lt;=$I21,AJ306&gt;$J21),Tarification!$D$8,IF(AND(AJ306&lt;=$J21,AJ306&gt;$K21),Tarification!$D$9,IF(AND(AJ306&lt;=$K21,AJ306&gt;0),Tarification!$D$10,0)))</f>
        <v>0</v>
      </c>
      <c r="AK596" s="37">
        <f>IF(AND(AK306&lt;=$I21,AK306&gt;$J21),Tarification!$D$8,IF(AND(AK306&lt;=$J21,AK306&gt;$K21),Tarification!$D$9,IF(AND(AK306&lt;=$K21,AK306&gt;0),Tarification!$D$10,0)))</f>
        <v>0</v>
      </c>
      <c r="AL596" s="37">
        <f>IF(AND(AL306&lt;=$I21,AL306&gt;$J21),Tarification!$D$8,IF(AND(AL306&lt;=$J21,AL306&gt;$K21),Tarification!$D$9,IF(AND(AL306&lt;=$K21,AL306&gt;0),Tarification!$D$10,0)))</f>
        <v>0</v>
      </c>
      <c r="AM596" s="37">
        <f>IF(AND(AM306&lt;=$I21,AM306&gt;$J21),Tarification!$D$8,IF(AND(AM306&lt;=$J21,AM306&gt;$K21),Tarification!$D$9,IF(AND(AM306&lt;=$K21,AM306&gt;0),Tarification!$D$10,0)))</f>
        <v>0</v>
      </c>
      <c r="AN596" s="37">
        <f>IF(AND(AN306&lt;=$I21,AN306&gt;$J21),Tarification!$D$8,IF(AND(AN306&lt;=$J21,AN306&gt;$K21),Tarification!$D$9,IF(AND(AN306&lt;=$K21,AN306&gt;0),Tarification!$D$10,0)))</f>
        <v>0</v>
      </c>
      <c r="AQ596" s="101">
        <f t="shared" si="148"/>
        <v>5263.1578947368425</v>
      </c>
    </row>
    <row r="597" spans="14:43" ht="15.6">
      <c r="N597" s="39" t="s">
        <v>26</v>
      </c>
      <c r="O597" s="39" t="s">
        <v>97</v>
      </c>
      <c r="P597" t="s">
        <v>634</v>
      </c>
      <c r="Q597" s="39"/>
      <c r="V597" s="37">
        <f>IF(AND(V307&lt;=$I22,V307&gt;$J22),Tarification!$D$8,IF(AND(V307&lt;=$J22,V307&gt;$K22),Tarification!$D$9,IF(AND(V307&lt;=$K22,V307&gt;0),Tarification!$D$10,0)))</f>
        <v>0</v>
      </c>
      <c r="W597" s="37">
        <f>IF(AND(W307&lt;=$I22,W307&gt;$J22),Tarification!$D$8,IF(AND(W307&lt;=$J22,W307&gt;$K22),Tarification!$D$9,IF(AND(W307&lt;=$K22,W307&gt;0),Tarification!$D$10,0)))</f>
        <v>0</v>
      </c>
      <c r="X597" s="37">
        <f>IF(AND(X307&lt;=$I22,X307&gt;$J22),Tarification!$D$8,IF(AND(X307&lt;=$J22,X307&gt;$K22),Tarification!$D$9,IF(AND(X307&lt;=$K22,X307&gt;0),Tarification!$D$10,0)))</f>
        <v>0</v>
      </c>
      <c r="Y597" s="37">
        <f>IF(AND(Y307&lt;=$I22,Y307&gt;$J22),Tarification!$D$8,IF(AND(Y307&lt;=$J22,Y307&gt;$K22),Tarification!$D$9,IF(AND(Y307&lt;=$K22,Y307&gt;0),Tarification!$D$10,0)))</f>
        <v>0</v>
      </c>
      <c r="Z597" s="37">
        <f>IF(AND(Z307&lt;=$I22,Z307&gt;$J22),Tarification!$D$8,IF(AND(Z307&lt;=$J22,Z307&gt;$K22),Tarification!$D$9,IF(AND(Z307&lt;=$K22,Z307&gt;0),Tarification!$D$10,0)))</f>
        <v>0</v>
      </c>
      <c r="AA597" s="37">
        <f>IF(AND(AA307&lt;=$I22,AA307&gt;$J22),Tarification!$D$8,IF(AND(AA307&lt;=$J22,AA307&gt;$K22),Tarification!$D$9,IF(AND(AA307&lt;=$K22,AA307&gt;0),Tarification!$D$10,0)))</f>
        <v>0</v>
      </c>
      <c r="AB597" s="37">
        <f>IF(AND(AB307&lt;=$I22,AB307&gt;$J22),Tarification!$D$8,IF(AND(AB307&lt;=$J22,AB307&gt;$K22),Tarification!$D$9,IF(AND(AB307&lt;=$K22,AB307&gt;0),Tarification!$D$10,0)))</f>
        <v>0</v>
      </c>
      <c r="AC597" s="37">
        <f>IF(AND(AC307&lt;=$I22,AC307&gt;$J22),Tarification!$D$8,IF(AND(AC307&lt;=$J22,AC307&gt;$K22),Tarification!$D$9,IF(AND(AC307&lt;=$K22,AC307&gt;0),Tarification!$D$10,0)))</f>
        <v>0</v>
      </c>
      <c r="AD597" s="37">
        <f>IF(AND(AD307&lt;=$I22,AD307&gt;$J22),Tarification!$D$8,IF(AND(AD307&lt;=$J22,AD307&gt;$K22),Tarification!$D$9,IF(AND(AD307&lt;=$K22,AD307&gt;0),Tarification!$D$10,0)))</f>
        <v>0</v>
      </c>
      <c r="AE597" s="37">
        <f>IF(AND(AE307&lt;=$I22,AE307&gt;$J22),Tarification!$D$8,IF(AND(AE307&lt;=$J22,AE307&gt;$K22),Tarification!$D$9,IF(AND(AE307&lt;=$K22,AE307&gt;0),Tarification!$D$10,0)))</f>
        <v>0</v>
      </c>
      <c r="AF597" s="37">
        <f>IF(AND(AF307&lt;=$I22,AF307&gt;$J22),Tarification!$D$8,IF(AND(AF307&lt;=$J22,AF307&gt;$K22),Tarification!$D$9,IF(AND(AF307&lt;=$K22,AF307&gt;0),Tarification!$D$10,0)))</f>
        <v>0</v>
      </c>
      <c r="AG597" s="37">
        <f>IF(AND(AG307&lt;=$I22,AG307&gt;$J22),Tarification!$D$8,IF(AND(AG307&lt;=$J22,AG307&gt;$K22),Tarification!$D$9,IF(AND(AG307&lt;=$K22,AG307&gt;0),Tarification!$D$10,0)))</f>
        <v>0</v>
      </c>
      <c r="AH597" s="37">
        <f>IF(AND(AH307&lt;=$I22,AH307&gt;$J22),Tarification!$D$8,IF(AND(AH307&lt;=$J22,AH307&gt;$K22),Tarification!$D$9,IF(AND(AH307&lt;=$K22,AH307&gt;0),Tarification!$D$10,0)))</f>
        <v>0</v>
      </c>
      <c r="AI597" s="37">
        <f>IF(AND(AI307&lt;=$I22,AI307&gt;$J22),Tarification!$D$8,IF(AND(AI307&lt;=$J22,AI307&gt;$K22),Tarification!$D$9,IF(AND(AI307&lt;=$K22,AI307&gt;0),Tarification!$D$10,0)))</f>
        <v>0</v>
      </c>
      <c r="AJ597" s="37">
        <f>IF(AND(AJ307&lt;=$I22,AJ307&gt;$J22),Tarification!$D$8,IF(AND(AJ307&lt;=$J22,AJ307&gt;$K22),Tarification!$D$9,IF(AND(AJ307&lt;=$K22,AJ307&gt;0),Tarification!$D$10,0)))</f>
        <v>0</v>
      </c>
      <c r="AK597" s="37">
        <f>IF(AND(AK307&lt;=$I22,AK307&gt;$J22),Tarification!$D$8,IF(AND(AK307&lt;=$J22,AK307&gt;$K22),Tarification!$D$9,IF(AND(AK307&lt;=$K22,AK307&gt;0),Tarification!$D$10,0)))</f>
        <v>0</v>
      </c>
      <c r="AL597" s="37">
        <f>IF(AND(AL307&lt;=$I22,AL307&gt;$J22),Tarification!$D$8,IF(AND(AL307&lt;=$J22,AL307&gt;$K22),Tarification!$D$9,IF(AND(AL307&lt;=$K22,AL307&gt;0),Tarification!$D$10,0)))</f>
        <v>0</v>
      </c>
      <c r="AM597" s="37">
        <f>IF(AND(AM307&lt;=$I22,AM307&gt;$J22),Tarification!$D$8,IF(AND(AM307&lt;=$J22,AM307&gt;$K22),Tarification!$D$9,IF(AND(AM307&lt;=$K22,AM307&gt;0),Tarification!$D$10,0)))</f>
        <v>0</v>
      </c>
      <c r="AN597" s="37">
        <f>IF(AND(AN307&lt;=$I22,AN307&gt;$J22),Tarification!$D$8,IF(AND(AN307&lt;=$J22,AN307&gt;$K22),Tarification!$D$9,IF(AND(AN307&lt;=$K22,AN307&gt;0),Tarification!$D$10,0)))</f>
        <v>0</v>
      </c>
      <c r="AQ597" s="101">
        <f t="shared" si="148"/>
        <v>0</v>
      </c>
    </row>
    <row r="598" spans="14:43" ht="15.6">
      <c r="N598" s="39" t="s">
        <v>26</v>
      </c>
      <c r="O598" s="39" t="s">
        <v>513</v>
      </c>
      <c r="P598" t="s">
        <v>635</v>
      </c>
      <c r="Q598" s="39"/>
      <c r="V598" s="37">
        <f>IF(AND(V308&lt;=$I23,V308&gt;$J23),Tarification!$D$8,IF(AND(V308&lt;=$J23,V308&gt;$K23),Tarification!$D$9,IF(AND(V308&lt;=$K23,V308&gt;0),Tarification!$D$10,0)))</f>
        <v>0</v>
      </c>
      <c r="W598" s="37">
        <f>IF(AND(W308&lt;=$I23,W308&gt;$J23),Tarification!$D$8,IF(AND(W308&lt;=$J23,W308&gt;$K23),Tarification!$D$9,IF(AND(W308&lt;=$K23,W308&gt;0),Tarification!$D$10,0)))</f>
        <v>0</v>
      </c>
      <c r="X598" s="37">
        <f>IF(AND(X308&lt;=$I23,X308&gt;$J23),Tarification!$D$8,IF(AND(X308&lt;=$J23,X308&gt;$K23),Tarification!$D$9,IF(AND(X308&lt;=$K23,X308&gt;0),Tarification!$D$10,0)))</f>
        <v>0</v>
      </c>
      <c r="Y598" s="37">
        <f>IF(AND(Y308&lt;=$I23,Y308&gt;$J23),Tarification!$D$8,IF(AND(Y308&lt;=$J23,Y308&gt;$K23),Tarification!$D$9,IF(AND(Y308&lt;=$K23,Y308&gt;0),Tarification!$D$10,0)))</f>
        <v>0</v>
      </c>
      <c r="Z598" s="37">
        <f>IF(AND(Z308&lt;=$I23,Z308&gt;$J23),Tarification!$D$8,IF(AND(Z308&lt;=$J23,Z308&gt;$K23),Tarification!$D$9,IF(AND(Z308&lt;=$K23,Z308&gt;0),Tarification!$D$10,0)))</f>
        <v>0</v>
      </c>
      <c r="AA598" s="37">
        <f>IF(AND(AA308&lt;=$I23,AA308&gt;$J23),Tarification!$D$8,IF(AND(AA308&lt;=$J23,AA308&gt;$K23),Tarification!$D$9,IF(AND(AA308&lt;=$K23,AA308&gt;0),Tarification!$D$10,0)))</f>
        <v>0</v>
      </c>
      <c r="AB598" s="37">
        <f>IF(AND(AB308&lt;=$I23,AB308&gt;$J23),Tarification!$D$8,IF(AND(AB308&lt;=$J23,AB308&gt;$K23),Tarification!$D$9,IF(AND(AB308&lt;=$K23,AB308&gt;0),Tarification!$D$10,0)))</f>
        <v>0</v>
      </c>
      <c r="AC598" s="37">
        <f>IF(AND(AC308&lt;=$I23,AC308&gt;$J23),Tarification!$D$8,IF(AND(AC308&lt;=$J23,AC308&gt;$K23),Tarification!$D$9,IF(AND(AC308&lt;=$K23,AC308&gt;0),Tarification!$D$10,0)))</f>
        <v>0</v>
      </c>
      <c r="AD598" s="37">
        <f>IF(AND(AD308&lt;=$I23,AD308&gt;$J23),Tarification!$D$8,IF(AND(AD308&lt;=$J23,AD308&gt;$K23),Tarification!$D$9,IF(AND(AD308&lt;=$K23,AD308&gt;0),Tarification!$D$10,0)))</f>
        <v>0</v>
      </c>
      <c r="AE598" s="37">
        <f>IF(AND(AE308&lt;=$I23,AE308&gt;$J23),Tarification!$D$8,IF(AND(AE308&lt;=$J23,AE308&gt;$K23),Tarification!$D$9,IF(AND(AE308&lt;=$K23,AE308&gt;0),Tarification!$D$10,0)))</f>
        <v>0</v>
      </c>
      <c r="AF598" s="37">
        <f>IF(AND(AF308&lt;=$I23,AF308&gt;$J23),Tarification!$D$8,IF(AND(AF308&lt;=$J23,AF308&gt;$K23),Tarification!$D$9,IF(AND(AF308&lt;=$K23,AF308&gt;0),Tarification!$D$10,0)))</f>
        <v>0</v>
      </c>
      <c r="AG598" s="37">
        <f>IF(AND(AG308&lt;=$I23,AG308&gt;$J23),Tarification!$D$8,IF(AND(AG308&lt;=$J23,AG308&gt;$K23),Tarification!$D$9,IF(AND(AG308&lt;=$K23,AG308&gt;0),Tarification!$D$10,0)))</f>
        <v>0</v>
      </c>
      <c r="AH598" s="37">
        <f>IF(AND(AH308&lt;=$I23,AH308&gt;$J23),Tarification!$D$8,IF(AND(AH308&lt;=$J23,AH308&gt;$K23),Tarification!$D$9,IF(AND(AH308&lt;=$K23,AH308&gt;0),Tarification!$D$10,0)))</f>
        <v>0</v>
      </c>
      <c r="AI598" s="37">
        <f>IF(AND(AI308&lt;=$I23,AI308&gt;$J23),Tarification!$D$8,IF(AND(AI308&lt;=$J23,AI308&gt;$K23),Tarification!$D$9,IF(AND(AI308&lt;=$K23,AI308&gt;0),Tarification!$D$10,0)))</f>
        <v>0</v>
      </c>
      <c r="AJ598" s="37">
        <f>IF(AND(AJ308&lt;=$I23,AJ308&gt;$J23),Tarification!$D$8,IF(AND(AJ308&lt;=$J23,AJ308&gt;$K23),Tarification!$D$9,IF(AND(AJ308&lt;=$K23,AJ308&gt;0),Tarification!$D$10,0)))</f>
        <v>0</v>
      </c>
      <c r="AK598" s="37">
        <f>IF(AND(AK308&lt;=$I23,AK308&gt;$J23),Tarification!$D$8,IF(AND(AK308&lt;=$J23,AK308&gt;$K23),Tarification!$D$9,IF(AND(AK308&lt;=$K23,AK308&gt;0),Tarification!$D$10,0)))</f>
        <v>0</v>
      </c>
      <c r="AL598" s="37">
        <f>IF(AND(AL308&lt;=$I23,AL308&gt;$J23),Tarification!$D$8,IF(AND(AL308&lt;=$J23,AL308&gt;$K23),Tarification!$D$9,IF(AND(AL308&lt;=$K23,AL308&gt;0),Tarification!$D$10,0)))</f>
        <v>0</v>
      </c>
      <c r="AM598" s="37">
        <f>IF(AND(AM308&lt;=$I23,AM308&gt;$J23),Tarification!$D$8,IF(AND(AM308&lt;=$J23,AM308&gt;$K23),Tarification!$D$9,IF(AND(AM308&lt;=$K23,AM308&gt;0),Tarification!$D$10,0)))</f>
        <v>0</v>
      </c>
      <c r="AN598" s="37">
        <f>IF(AND(AN308&lt;=$I23,AN308&gt;$J23),Tarification!$D$8,IF(AND(AN308&lt;=$J23,AN308&gt;$K23),Tarification!$D$9,IF(AND(AN308&lt;=$K23,AN308&gt;0),Tarification!$D$10,0)))</f>
        <v>0</v>
      </c>
      <c r="AQ598" s="101">
        <f t="shared" si="148"/>
        <v>0</v>
      </c>
    </row>
    <row r="599" spans="14:43" ht="15.6">
      <c r="N599" s="39" t="s">
        <v>26</v>
      </c>
      <c r="O599" s="39" t="s">
        <v>429</v>
      </c>
      <c r="P599" t="s">
        <v>636</v>
      </c>
      <c r="Q599" s="39"/>
      <c r="V599" s="37">
        <f>IF(AND(V309&lt;=$I24,V309&gt;$J24),Tarification!$D$8,IF(AND(V309&lt;=$J24,V309&gt;$K24),Tarification!$D$9,IF(AND(V309&lt;=$K24,V309&gt;0),Tarification!$D$10,0)))</f>
        <v>0</v>
      </c>
      <c r="W599" s="37">
        <f>IF(AND(W309&lt;=$I24,W309&gt;$J24),Tarification!$D$8,IF(AND(W309&lt;=$J24,W309&gt;$K24),Tarification!$D$9,IF(AND(W309&lt;=$K24,W309&gt;0),Tarification!$D$10,0)))</f>
        <v>0</v>
      </c>
      <c r="X599" s="37">
        <f>IF(AND(X309&lt;=$I24,X309&gt;$J24),Tarification!$D$8,IF(AND(X309&lt;=$J24,X309&gt;$K24),Tarification!$D$9,IF(AND(X309&lt;=$K24,X309&gt;0),Tarification!$D$10,0)))</f>
        <v>0</v>
      </c>
      <c r="Y599" s="37">
        <f>IF(AND(Y309&lt;=$I24,Y309&gt;$J24),Tarification!$D$8,IF(AND(Y309&lt;=$J24,Y309&gt;$K24),Tarification!$D$9,IF(AND(Y309&lt;=$K24,Y309&gt;0),Tarification!$D$10,0)))</f>
        <v>0</v>
      </c>
      <c r="Z599" s="37">
        <f>IF(AND(Z309&lt;=$I24,Z309&gt;$J24),Tarification!$D$8,IF(AND(Z309&lt;=$J24,Z309&gt;$K24),Tarification!$D$9,IF(AND(Z309&lt;=$K24,Z309&gt;0),Tarification!$D$10,0)))</f>
        <v>0</v>
      </c>
      <c r="AA599" s="37">
        <f>IF(AND(AA309&lt;=$I24,AA309&gt;$J24),Tarification!$D$8,IF(AND(AA309&lt;=$J24,AA309&gt;$K24),Tarification!$D$9,IF(AND(AA309&lt;=$K24,AA309&gt;0),Tarification!$D$10,0)))</f>
        <v>0</v>
      </c>
      <c r="AB599" s="37">
        <f>IF(AND(AB309&lt;=$I24,AB309&gt;$J24),Tarification!$D$8,IF(AND(AB309&lt;=$J24,AB309&gt;$K24),Tarification!$D$9,IF(AND(AB309&lt;=$K24,AB309&gt;0),Tarification!$D$10,0)))</f>
        <v>0</v>
      </c>
      <c r="AC599" s="37">
        <f>IF(AND(AC309&lt;=$I24,AC309&gt;$J24),Tarification!$D$8,IF(AND(AC309&lt;=$J24,AC309&gt;$K24),Tarification!$D$9,IF(AND(AC309&lt;=$K24,AC309&gt;0),Tarification!$D$10,0)))</f>
        <v>0</v>
      </c>
      <c r="AD599" s="37">
        <f>IF(AND(AD309&lt;=$I24,AD309&gt;$J24),Tarification!$D$8,IF(AND(AD309&lt;=$J24,AD309&gt;$K24),Tarification!$D$9,IF(AND(AD309&lt;=$K24,AD309&gt;0),Tarification!$D$10,0)))</f>
        <v>0</v>
      </c>
      <c r="AE599" s="37">
        <f>IF(AND(AE309&lt;=$I24,AE309&gt;$J24),Tarification!$D$8,IF(AND(AE309&lt;=$J24,AE309&gt;$K24),Tarification!$D$9,IF(AND(AE309&lt;=$K24,AE309&gt;0),Tarification!$D$10,0)))</f>
        <v>50000</v>
      </c>
      <c r="AF599" s="37">
        <f>IF(AND(AF309&lt;=$I24,AF309&gt;$J24),Tarification!$D$8,IF(AND(AF309&lt;=$J24,AF309&gt;$K24),Tarification!$D$9,IF(AND(AF309&lt;=$K24,AF309&gt;0),Tarification!$D$10,0)))</f>
        <v>0</v>
      </c>
      <c r="AG599" s="37">
        <f>IF(AND(AG309&lt;=$I24,AG309&gt;$J24),Tarification!$D$8,IF(AND(AG309&lt;=$J24,AG309&gt;$K24),Tarification!$D$9,IF(AND(AG309&lt;=$K24,AG309&gt;0),Tarification!$D$10,0)))</f>
        <v>0</v>
      </c>
      <c r="AH599" s="37">
        <f>IF(AND(AH309&lt;=$I24,AH309&gt;$J24),Tarification!$D$8,IF(AND(AH309&lt;=$J24,AH309&gt;$K24),Tarification!$D$9,IF(AND(AH309&lt;=$K24,AH309&gt;0),Tarification!$D$10,0)))</f>
        <v>0</v>
      </c>
      <c r="AI599" s="37">
        <f>IF(AND(AI309&lt;=$I24,AI309&gt;$J24),Tarification!$D$8,IF(AND(AI309&lt;=$J24,AI309&gt;$K24),Tarification!$D$9,IF(AND(AI309&lt;=$K24,AI309&gt;0),Tarification!$D$10,0)))</f>
        <v>0</v>
      </c>
      <c r="AJ599" s="37">
        <f>IF(AND(AJ309&lt;=$I24,AJ309&gt;$J24),Tarification!$D$8,IF(AND(AJ309&lt;=$J24,AJ309&gt;$K24),Tarification!$D$9,IF(AND(AJ309&lt;=$K24,AJ309&gt;0),Tarification!$D$10,0)))</f>
        <v>0</v>
      </c>
      <c r="AK599" s="37">
        <f>IF(AND(AK309&lt;=$I24,AK309&gt;$J24),Tarification!$D$8,IF(AND(AK309&lt;=$J24,AK309&gt;$K24),Tarification!$D$9,IF(AND(AK309&lt;=$K24,AK309&gt;0),Tarification!$D$10,0)))</f>
        <v>0</v>
      </c>
      <c r="AL599" s="37">
        <f>IF(AND(AL309&lt;=$I24,AL309&gt;$J24),Tarification!$D$8,IF(AND(AL309&lt;=$J24,AL309&gt;$K24),Tarification!$D$9,IF(AND(AL309&lt;=$K24,AL309&gt;0),Tarification!$D$10,0)))</f>
        <v>0</v>
      </c>
      <c r="AM599" s="37">
        <f>IF(AND(AM309&lt;=$I24,AM309&gt;$J24),Tarification!$D$8,IF(AND(AM309&lt;=$J24,AM309&gt;$K24),Tarification!$D$9,IF(AND(AM309&lt;=$K24,AM309&gt;0),Tarification!$D$10,0)))</f>
        <v>0</v>
      </c>
      <c r="AN599" s="37">
        <f>IF(AND(AN309&lt;=$I24,AN309&gt;$J24),Tarification!$D$8,IF(AND(AN309&lt;=$J24,AN309&gt;$K24),Tarification!$D$9,IF(AND(AN309&lt;=$K24,AN309&gt;0),Tarification!$D$10,0)))</f>
        <v>0</v>
      </c>
      <c r="AQ599" s="101">
        <f t="shared" si="148"/>
        <v>2631.5789473684213</v>
      </c>
    </row>
    <row r="600" spans="14:43" ht="15.6">
      <c r="N600" s="39" t="s">
        <v>26</v>
      </c>
      <c r="O600" s="39" t="s">
        <v>498</v>
      </c>
      <c r="P600" t="s">
        <v>637</v>
      </c>
      <c r="Q600" s="39"/>
      <c r="V600" s="37">
        <f>IF(AND(V310&lt;=$I25,V310&gt;$J25),Tarification!$D$8,IF(AND(V310&lt;=$J25,V310&gt;$K25),Tarification!$D$9,IF(AND(V310&lt;=$K25,V310&gt;0),Tarification!$D$10,0)))</f>
        <v>0</v>
      </c>
      <c r="W600" s="37">
        <f>IF(AND(W310&lt;=$I25,W310&gt;$J25),Tarification!$D$8,IF(AND(W310&lt;=$J25,W310&gt;$K25),Tarification!$D$9,IF(AND(W310&lt;=$K25,W310&gt;0),Tarification!$D$10,0)))</f>
        <v>50000</v>
      </c>
      <c r="X600" s="37">
        <f>IF(AND(X310&lt;=$I25,X310&gt;$J25),Tarification!$D$8,IF(AND(X310&lt;=$J25,X310&gt;$K25),Tarification!$D$9,IF(AND(X310&lt;=$K25,X310&gt;0),Tarification!$D$10,0)))</f>
        <v>0</v>
      </c>
      <c r="Y600" s="37">
        <f>IF(AND(Y310&lt;=$I25,Y310&gt;$J25),Tarification!$D$8,IF(AND(Y310&lt;=$J25,Y310&gt;$K25),Tarification!$D$9,IF(AND(Y310&lt;=$K25,Y310&gt;0),Tarification!$D$10,0)))</f>
        <v>0</v>
      </c>
      <c r="Z600" s="37">
        <f>IF(AND(Z310&lt;=$I25,Z310&gt;$J25),Tarification!$D$8,IF(AND(Z310&lt;=$J25,Z310&gt;$K25),Tarification!$D$9,IF(AND(Z310&lt;=$K25,Z310&gt;0),Tarification!$D$10,0)))</f>
        <v>0</v>
      </c>
      <c r="AA600" s="37">
        <f>IF(AND(AA310&lt;=$I25,AA310&gt;$J25),Tarification!$D$8,IF(AND(AA310&lt;=$J25,AA310&gt;$K25),Tarification!$D$9,IF(AND(AA310&lt;=$K25,AA310&gt;0),Tarification!$D$10,0)))</f>
        <v>0</v>
      </c>
      <c r="AB600" s="37">
        <f>IF(AND(AB310&lt;=$I25,AB310&gt;$J25),Tarification!$D$8,IF(AND(AB310&lt;=$J25,AB310&gt;$K25),Tarification!$D$9,IF(AND(AB310&lt;=$K25,AB310&gt;0),Tarification!$D$10,0)))</f>
        <v>0</v>
      </c>
      <c r="AC600" s="37">
        <f>IF(AND(AC310&lt;=$I25,AC310&gt;$J25),Tarification!$D$8,IF(AND(AC310&lt;=$J25,AC310&gt;$K25),Tarification!$D$9,IF(AND(AC310&lt;=$K25,AC310&gt;0),Tarification!$D$10,0)))</f>
        <v>0</v>
      </c>
      <c r="AD600" s="37">
        <f>IF(AND(AD310&lt;=$I25,AD310&gt;$J25),Tarification!$D$8,IF(AND(AD310&lt;=$J25,AD310&gt;$K25),Tarification!$D$9,IF(AND(AD310&lt;=$K25,AD310&gt;0),Tarification!$D$10,0)))</f>
        <v>0</v>
      </c>
      <c r="AE600" s="37">
        <f>IF(AND(AE310&lt;=$I25,AE310&gt;$J25),Tarification!$D$8,IF(AND(AE310&lt;=$J25,AE310&gt;$K25),Tarification!$D$9,IF(AND(AE310&lt;=$K25,AE310&gt;0),Tarification!$D$10,0)))</f>
        <v>50000</v>
      </c>
      <c r="AF600" s="37">
        <f>IF(AND(AF310&lt;=$I25,AF310&gt;$J25),Tarification!$D$8,IF(AND(AF310&lt;=$J25,AF310&gt;$K25),Tarification!$D$9,IF(AND(AF310&lt;=$K25,AF310&gt;0),Tarification!$D$10,0)))</f>
        <v>0</v>
      </c>
      <c r="AG600" s="37">
        <f>IF(AND(AG310&lt;=$I25,AG310&gt;$J25),Tarification!$D$8,IF(AND(AG310&lt;=$J25,AG310&gt;$K25),Tarification!$D$9,IF(AND(AG310&lt;=$K25,AG310&gt;0),Tarification!$D$10,0)))</f>
        <v>0</v>
      </c>
      <c r="AH600" s="37">
        <f>IF(AND(AH310&lt;=$I25,AH310&gt;$J25),Tarification!$D$8,IF(AND(AH310&lt;=$J25,AH310&gt;$K25),Tarification!$D$9,IF(AND(AH310&lt;=$K25,AH310&gt;0),Tarification!$D$10,0)))</f>
        <v>0</v>
      </c>
      <c r="AI600" s="37">
        <f>IF(AND(AI310&lt;=$I25,AI310&gt;$J25),Tarification!$D$8,IF(AND(AI310&lt;=$J25,AI310&gt;$K25),Tarification!$D$9,IF(AND(AI310&lt;=$K25,AI310&gt;0),Tarification!$D$10,0)))</f>
        <v>50000</v>
      </c>
      <c r="AJ600" s="37">
        <f>IF(AND(AJ310&lt;=$I25,AJ310&gt;$J25),Tarification!$D$8,IF(AND(AJ310&lt;=$J25,AJ310&gt;$K25),Tarification!$D$9,IF(AND(AJ310&lt;=$K25,AJ310&gt;0),Tarification!$D$10,0)))</f>
        <v>0</v>
      </c>
      <c r="AK600" s="37">
        <f>IF(AND(AK310&lt;=$I25,AK310&gt;$J25),Tarification!$D$8,IF(AND(AK310&lt;=$J25,AK310&gt;$K25),Tarification!$D$9,IF(AND(AK310&lt;=$K25,AK310&gt;0),Tarification!$D$10,0)))</f>
        <v>0</v>
      </c>
      <c r="AL600" s="37">
        <f>IF(AND(AL310&lt;=$I25,AL310&gt;$J25),Tarification!$D$8,IF(AND(AL310&lt;=$J25,AL310&gt;$K25),Tarification!$D$9,IF(AND(AL310&lt;=$K25,AL310&gt;0),Tarification!$D$10,0)))</f>
        <v>0</v>
      </c>
      <c r="AM600" s="37">
        <f>IF(AND(AM310&lt;=$I25,AM310&gt;$J25),Tarification!$D$8,IF(AND(AM310&lt;=$J25,AM310&gt;$K25),Tarification!$D$9,IF(AND(AM310&lt;=$K25,AM310&gt;0),Tarification!$D$10,0)))</f>
        <v>0</v>
      </c>
      <c r="AN600" s="37">
        <f>IF(AND(AN310&lt;=$I25,AN310&gt;$J25),Tarification!$D$8,IF(AND(AN310&lt;=$J25,AN310&gt;$K25),Tarification!$D$9,IF(AND(AN310&lt;=$K25,AN310&gt;0),Tarification!$D$10,0)))</f>
        <v>50000</v>
      </c>
      <c r="AQ600" s="101">
        <f t="shared" si="148"/>
        <v>10526.315789473685</v>
      </c>
    </row>
    <row r="601" spans="14:43" ht="15.6">
      <c r="N601" s="39" t="s">
        <v>26</v>
      </c>
      <c r="O601" s="39" t="s">
        <v>594</v>
      </c>
      <c r="P601" t="s">
        <v>638</v>
      </c>
      <c r="Q601" s="39"/>
      <c r="V601" s="37">
        <f>IF(AND(V311&lt;=$I26,V311&gt;$J26),Tarification!$D$8,IF(AND(V311&lt;=$J26,V311&gt;$K26),Tarification!$D$9,IF(AND(V311&lt;=$K26,V311&gt;0),Tarification!$D$10,0)))</f>
        <v>0</v>
      </c>
      <c r="W601" s="37">
        <f>IF(AND(W311&lt;=$I26,W311&gt;$J26),Tarification!$D$8,IF(AND(W311&lt;=$J26,W311&gt;$K26),Tarification!$D$9,IF(AND(W311&lt;=$K26,W311&gt;0),Tarification!$D$10,0)))</f>
        <v>50000</v>
      </c>
      <c r="X601" s="37">
        <f>IF(AND(X311&lt;=$I26,X311&gt;$J26),Tarification!$D$8,IF(AND(X311&lt;=$J26,X311&gt;$K26),Tarification!$D$9,IF(AND(X311&lt;=$K26,X311&gt;0),Tarification!$D$10,0)))</f>
        <v>0</v>
      </c>
      <c r="Y601" s="37">
        <f>IF(AND(Y311&lt;=$I26,Y311&gt;$J26),Tarification!$D$8,IF(AND(Y311&lt;=$J26,Y311&gt;$K26),Tarification!$D$9,IF(AND(Y311&lt;=$K26,Y311&gt;0),Tarification!$D$10,0)))</f>
        <v>0</v>
      </c>
      <c r="Z601" s="37">
        <f>IF(AND(Z311&lt;=$I26,Z311&gt;$J26),Tarification!$D$8,IF(AND(Z311&lt;=$J26,Z311&gt;$K26),Tarification!$D$9,IF(AND(Z311&lt;=$K26,Z311&gt;0),Tarification!$D$10,0)))</f>
        <v>0</v>
      </c>
      <c r="AA601" s="37">
        <f>IF(AND(AA311&lt;=$I26,AA311&gt;$J26),Tarification!$D$8,IF(AND(AA311&lt;=$J26,AA311&gt;$K26),Tarification!$D$9,IF(AND(AA311&lt;=$K26,AA311&gt;0),Tarification!$D$10,0)))</f>
        <v>0</v>
      </c>
      <c r="AB601" s="37">
        <f>IF(AND(AB311&lt;=$I26,AB311&gt;$J26),Tarification!$D$8,IF(AND(AB311&lt;=$J26,AB311&gt;$K26),Tarification!$D$9,IF(AND(AB311&lt;=$K26,AB311&gt;0),Tarification!$D$10,0)))</f>
        <v>0</v>
      </c>
      <c r="AC601" s="37">
        <f>IF(AND(AC311&lt;=$I26,AC311&gt;$J26),Tarification!$D$8,IF(AND(AC311&lt;=$J26,AC311&gt;$K26),Tarification!$D$9,IF(AND(AC311&lt;=$K26,AC311&gt;0),Tarification!$D$10,0)))</f>
        <v>125000</v>
      </c>
      <c r="AD601" s="37">
        <f>IF(AND(AD311&lt;=$I26,AD311&gt;$J26),Tarification!$D$8,IF(AND(AD311&lt;=$J26,AD311&gt;$K26),Tarification!$D$9,IF(AND(AD311&lt;=$K26,AD311&gt;0),Tarification!$D$10,0)))</f>
        <v>50000</v>
      </c>
      <c r="AE601" s="37">
        <f>IF(AND(AE311&lt;=$I26,AE311&gt;$J26),Tarification!$D$8,IF(AND(AE311&lt;=$J26,AE311&gt;$K26),Tarification!$D$9,IF(AND(AE311&lt;=$K26,AE311&gt;0),Tarification!$D$10,0)))</f>
        <v>250000</v>
      </c>
      <c r="AF601" s="37">
        <f>IF(AND(AF311&lt;=$I26,AF311&gt;$J26),Tarification!$D$8,IF(AND(AF311&lt;=$J26,AF311&gt;$K26),Tarification!$D$9,IF(AND(AF311&lt;=$K26,AF311&gt;0),Tarification!$D$10,0)))</f>
        <v>50000</v>
      </c>
      <c r="AG601" s="37">
        <f>IF(AND(AG311&lt;=$I26,AG311&gt;$J26),Tarification!$D$8,IF(AND(AG311&lt;=$J26,AG311&gt;$K26),Tarification!$D$9,IF(AND(AG311&lt;=$K26,AG311&gt;0),Tarification!$D$10,0)))</f>
        <v>0</v>
      </c>
      <c r="AH601" s="37">
        <f>IF(AND(AH311&lt;=$I26,AH311&gt;$J26),Tarification!$D$8,IF(AND(AH311&lt;=$J26,AH311&gt;$K26),Tarification!$D$9,IF(AND(AH311&lt;=$K26,AH311&gt;0),Tarification!$D$10,0)))</f>
        <v>0</v>
      </c>
      <c r="AI601" s="37">
        <f>IF(AND(AI311&lt;=$I26,AI311&gt;$J26),Tarification!$D$8,IF(AND(AI311&lt;=$J26,AI311&gt;$K26),Tarification!$D$9,IF(AND(AI311&lt;=$K26,AI311&gt;0),Tarification!$D$10,0)))</f>
        <v>0</v>
      </c>
      <c r="AJ601" s="37">
        <f>IF(AND(AJ311&lt;=$I26,AJ311&gt;$J26),Tarification!$D$8,IF(AND(AJ311&lt;=$J26,AJ311&gt;$K26),Tarification!$D$9,IF(AND(AJ311&lt;=$K26,AJ311&gt;0),Tarification!$D$10,0)))</f>
        <v>0</v>
      </c>
      <c r="AK601" s="37">
        <f>IF(AND(AK311&lt;=$I26,AK311&gt;$J26),Tarification!$D$8,IF(AND(AK311&lt;=$J26,AK311&gt;$K26),Tarification!$D$9,IF(AND(AK311&lt;=$K26,AK311&gt;0),Tarification!$D$10,0)))</f>
        <v>0</v>
      </c>
      <c r="AL601" s="37">
        <f>IF(AND(AL311&lt;=$I26,AL311&gt;$J26),Tarification!$D$8,IF(AND(AL311&lt;=$J26,AL311&gt;$K26),Tarification!$D$9,IF(AND(AL311&lt;=$K26,AL311&gt;0),Tarification!$D$10,0)))</f>
        <v>0</v>
      </c>
      <c r="AM601" s="37">
        <f>IF(AND(AM311&lt;=$I26,AM311&gt;$J26),Tarification!$D$8,IF(AND(AM311&lt;=$J26,AM311&gt;$K26),Tarification!$D$9,IF(AND(AM311&lt;=$K26,AM311&gt;0),Tarification!$D$10,0)))</f>
        <v>0</v>
      </c>
      <c r="AN601" s="37">
        <f>IF(AND(AN311&lt;=$I26,AN311&gt;$J26),Tarification!$D$8,IF(AND(AN311&lt;=$J26,AN311&gt;$K26),Tarification!$D$9,IF(AND(AN311&lt;=$K26,AN311&gt;0),Tarification!$D$10,0)))</f>
        <v>50000</v>
      </c>
      <c r="AQ601" s="101">
        <f t="shared" si="148"/>
        <v>30263.157894736843</v>
      </c>
    </row>
    <row r="602" spans="14:43" ht="15.6">
      <c r="N602" s="39" t="s">
        <v>26</v>
      </c>
      <c r="O602" s="39" t="s">
        <v>257</v>
      </c>
      <c r="P602" t="s">
        <v>639</v>
      </c>
      <c r="Q602" s="39"/>
      <c r="V602" s="37">
        <f>IF(AND(V312&lt;=$I27,V312&gt;$J27),Tarification!$D$8,IF(AND(V312&lt;=$J27,V312&gt;$K27),Tarification!$D$9,IF(AND(V312&lt;=$K27,V312&gt;0),Tarification!$D$10,0)))</f>
        <v>0</v>
      </c>
      <c r="W602" s="37">
        <f>IF(AND(W312&lt;=$I27,W312&gt;$J27),Tarification!$D$8,IF(AND(W312&lt;=$J27,W312&gt;$K27),Tarification!$D$9,IF(AND(W312&lt;=$K27,W312&gt;0),Tarification!$D$10,0)))</f>
        <v>0</v>
      </c>
      <c r="X602" s="37">
        <f>IF(AND(X312&lt;=$I27,X312&gt;$J27),Tarification!$D$8,IF(AND(X312&lt;=$J27,X312&gt;$K27),Tarification!$D$9,IF(AND(X312&lt;=$K27,X312&gt;0),Tarification!$D$10,0)))</f>
        <v>0</v>
      </c>
      <c r="Y602" s="37">
        <f>IF(AND(Y312&lt;=$I27,Y312&gt;$J27),Tarification!$D$8,IF(AND(Y312&lt;=$J27,Y312&gt;$K27),Tarification!$D$9,IF(AND(Y312&lt;=$K27,Y312&gt;0),Tarification!$D$10,0)))</f>
        <v>0</v>
      </c>
      <c r="Z602" s="37">
        <f>IF(AND(Z312&lt;=$I27,Z312&gt;$J27),Tarification!$D$8,IF(AND(Z312&lt;=$J27,Z312&gt;$K27),Tarification!$D$9,IF(AND(Z312&lt;=$K27,Z312&gt;0),Tarification!$D$10,0)))</f>
        <v>0</v>
      </c>
      <c r="AA602" s="37">
        <f>IF(AND(AA312&lt;=$I27,AA312&gt;$J27),Tarification!$D$8,IF(AND(AA312&lt;=$J27,AA312&gt;$K27),Tarification!$D$9,IF(AND(AA312&lt;=$K27,AA312&gt;0),Tarification!$D$10,0)))</f>
        <v>0</v>
      </c>
      <c r="AB602" s="37">
        <f>IF(AND(AB312&lt;=$I27,AB312&gt;$J27),Tarification!$D$8,IF(AND(AB312&lt;=$J27,AB312&gt;$K27),Tarification!$D$9,IF(AND(AB312&lt;=$K27,AB312&gt;0),Tarification!$D$10,0)))</f>
        <v>0</v>
      </c>
      <c r="AC602" s="37">
        <f>IF(AND(AC312&lt;=$I27,AC312&gt;$J27),Tarification!$D$8,IF(AND(AC312&lt;=$J27,AC312&gt;$K27),Tarification!$D$9,IF(AND(AC312&lt;=$K27,AC312&gt;0),Tarification!$D$10,0)))</f>
        <v>0</v>
      </c>
      <c r="AD602" s="37">
        <f>IF(AND(AD312&lt;=$I27,AD312&gt;$J27),Tarification!$D$8,IF(AND(AD312&lt;=$J27,AD312&gt;$K27),Tarification!$D$9,IF(AND(AD312&lt;=$K27,AD312&gt;0),Tarification!$D$10,0)))</f>
        <v>0</v>
      </c>
      <c r="AE602" s="37">
        <f>IF(AND(AE312&lt;=$I27,AE312&gt;$J27),Tarification!$D$8,IF(AND(AE312&lt;=$J27,AE312&gt;$K27),Tarification!$D$9,IF(AND(AE312&lt;=$K27,AE312&gt;0),Tarification!$D$10,0)))</f>
        <v>0</v>
      </c>
      <c r="AF602" s="37">
        <f>IF(AND(AF312&lt;=$I27,AF312&gt;$J27),Tarification!$D$8,IF(AND(AF312&lt;=$J27,AF312&gt;$K27),Tarification!$D$9,IF(AND(AF312&lt;=$K27,AF312&gt;0),Tarification!$D$10,0)))</f>
        <v>0</v>
      </c>
      <c r="AG602" s="37">
        <f>IF(AND(AG312&lt;=$I27,AG312&gt;$J27),Tarification!$D$8,IF(AND(AG312&lt;=$J27,AG312&gt;$K27),Tarification!$D$9,IF(AND(AG312&lt;=$K27,AG312&gt;0),Tarification!$D$10,0)))</f>
        <v>0</v>
      </c>
      <c r="AH602" s="37">
        <f>IF(AND(AH312&lt;=$I27,AH312&gt;$J27),Tarification!$D$8,IF(AND(AH312&lt;=$J27,AH312&gt;$K27),Tarification!$D$9,IF(AND(AH312&lt;=$K27,AH312&gt;0),Tarification!$D$10,0)))</f>
        <v>0</v>
      </c>
      <c r="AI602" s="37">
        <f>IF(AND(AI312&lt;=$I27,AI312&gt;$J27),Tarification!$D$8,IF(AND(AI312&lt;=$J27,AI312&gt;$K27),Tarification!$D$9,IF(AND(AI312&lt;=$K27,AI312&gt;0),Tarification!$D$10,0)))</f>
        <v>0</v>
      </c>
      <c r="AJ602" s="37">
        <f>IF(AND(AJ312&lt;=$I27,AJ312&gt;$J27),Tarification!$D$8,IF(AND(AJ312&lt;=$J27,AJ312&gt;$K27),Tarification!$D$9,IF(AND(AJ312&lt;=$K27,AJ312&gt;0),Tarification!$D$10,0)))</f>
        <v>0</v>
      </c>
      <c r="AK602" s="37">
        <f>IF(AND(AK312&lt;=$I27,AK312&gt;$J27),Tarification!$D$8,IF(AND(AK312&lt;=$J27,AK312&gt;$K27),Tarification!$D$9,IF(AND(AK312&lt;=$K27,AK312&gt;0),Tarification!$D$10,0)))</f>
        <v>0</v>
      </c>
      <c r="AL602" s="37">
        <f>IF(AND(AL312&lt;=$I27,AL312&gt;$J27),Tarification!$D$8,IF(AND(AL312&lt;=$J27,AL312&gt;$K27),Tarification!$D$9,IF(AND(AL312&lt;=$K27,AL312&gt;0),Tarification!$D$10,0)))</f>
        <v>0</v>
      </c>
      <c r="AM602" s="37">
        <f>IF(AND(AM312&lt;=$I27,AM312&gt;$J27),Tarification!$D$8,IF(AND(AM312&lt;=$J27,AM312&gt;$K27),Tarification!$D$9,IF(AND(AM312&lt;=$K27,AM312&gt;0),Tarification!$D$10,0)))</f>
        <v>0</v>
      </c>
      <c r="AN602" s="37">
        <f>IF(AND(AN312&lt;=$I27,AN312&gt;$J27),Tarification!$D$8,IF(AND(AN312&lt;=$J27,AN312&gt;$K27),Tarification!$D$9,IF(AND(AN312&lt;=$K27,AN312&gt;0),Tarification!$D$10,0)))</f>
        <v>0</v>
      </c>
      <c r="AQ602" s="101">
        <f t="shared" si="148"/>
        <v>0</v>
      </c>
    </row>
    <row r="603" spans="14:43" ht="15.6">
      <c r="N603" s="39" t="s">
        <v>26</v>
      </c>
      <c r="O603" s="39" t="s">
        <v>588</v>
      </c>
      <c r="P603" t="s">
        <v>640</v>
      </c>
      <c r="Q603" s="39"/>
      <c r="V603" s="37">
        <f>IF(AND(V313&lt;=$I28,V313&gt;$J28),Tarification!$D$8,IF(AND(V313&lt;=$J28,V313&gt;$K28),Tarification!$D$9,IF(AND(V313&lt;=$K28,V313&gt;0),Tarification!$D$10,0)))</f>
        <v>0</v>
      </c>
      <c r="W603" s="37">
        <f>IF(AND(W313&lt;=$I28,W313&gt;$J28),Tarification!$D$8,IF(AND(W313&lt;=$J28,W313&gt;$K28),Tarification!$D$9,IF(AND(W313&lt;=$K28,W313&gt;0),Tarification!$D$10,0)))</f>
        <v>50000</v>
      </c>
      <c r="X603" s="37">
        <f>IF(AND(X313&lt;=$I28,X313&gt;$J28),Tarification!$D$8,IF(AND(X313&lt;=$J28,X313&gt;$K28),Tarification!$D$9,IF(AND(X313&lt;=$K28,X313&gt;0),Tarification!$D$10,0)))</f>
        <v>0</v>
      </c>
      <c r="Y603" s="37">
        <f>IF(AND(Y313&lt;=$I28,Y313&gt;$J28),Tarification!$D$8,IF(AND(Y313&lt;=$J28,Y313&gt;$K28),Tarification!$D$9,IF(AND(Y313&lt;=$K28,Y313&gt;0),Tarification!$D$10,0)))</f>
        <v>0</v>
      </c>
      <c r="Z603" s="37">
        <f>IF(AND(Z313&lt;=$I28,Z313&gt;$J28),Tarification!$D$8,IF(AND(Z313&lt;=$J28,Z313&gt;$K28),Tarification!$D$9,IF(AND(Z313&lt;=$K28,Z313&gt;0),Tarification!$D$10,0)))</f>
        <v>0</v>
      </c>
      <c r="AA603" s="37">
        <f>IF(AND(AA313&lt;=$I28,AA313&gt;$J28),Tarification!$D$8,IF(AND(AA313&lt;=$J28,AA313&gt;$K28),Tarification!$D$9,IF(AND(AA313&lt;=$K28,AA313&gt;0),Tarification!$D$10,0)))</f>
        <v>0</v>
      </c>
      <c r="AB603" s="37">
        <f>IF(AND(AB313&lt;=$I28,AB313&gt;$J28),Tarification!$D$8,IF(AND(AB313&lt;=$J28,AB313&gt;$K28),Tarification!$D$9,IF(AND(AB313&lt;=$K28,AB313&gt;0),Tarification!$D$10,0)))</f>
        <v>0</v>
      </c>
      <c r="AC603" s="37">
        <f>IF(AND(AC313&lt;=$I28,AC313&gt;$J28),Tarification!$D$8,IF(AND(AC313&lt;=$J28,AC313&gt;$K28),Tarification!$D$9,IF(AND(AC313&lt;=$K28,AC313&gt;0),Tarification!$D$10,0)))</f>
        <v>50000</v>
      </c>
      <c r="AD603" s="37">
        <f>IF(AND(AD313&lt;=$I28,AD313&gt;$J28),Tarification!$D$8,IF(AND(AD313&lt;=$J28,AD313&gt;$K28),Tarification!$D$9,IF(AND(AD313&lt;=$K28,AD313&gt;0),Tarification!$D$10,0)))</f>
        <v>0</v>
      </c>
      <c r="AE603" s="37">
        <f>IF(AND(AE313&lt;=$I28,AE313&gt;$J28),Tarification!$D$8,IF(AND(AE313&lt;=$J28,AE313&gt;$K28),Tarification!$D$9,IF(AND(AE313&lt;=$K28,AE313&gt;0),Tarification!$D$10,0)))</f>
        <v>50000</v>
      </c>
      <c r="AF603" s="37">
        <f>IF(AND(AF313&lt;=$I28,AF313&gt;$J28),Tarification!$D$8,IF(AND(AF313&lt;=$J28,AF313&gt;$K28),Tarification!$D$9,IF(AND(AF313&lt;=$K28,AF313&gt;0),Tarification!$D$10,0)))</f>
        <v>0</v>
      </c>
      <c r="AG603" s="37">
        <f>IF(AND(AG313&lt;=$I28,AG313&gt;$J28),Tarification!$D$8,IF(AND(AG313&lt;=$J28,AG313&gt;$K28),Tarification!$D$9,IF(AND(AG313&lt;=$K28,AG313&gt;0),Tarification!$D$10,0)))</f>
        <v>0</v>
      </c>
      <c r="AH603" s="37">
        <f>IF(AND(AH313&lt;=$I28,AH313&gt;$J28),Tarification!$D$8,IF(AND(AH313&lt;=$J28,AH313&gt;$K28),Tarification!$D$9,IF(AND(AH313&lt;=$K28,AH313&gt;0),Tarification!$D$10,0)))</f>
        <v>0</v>
      </c>
      <c r="AI603" s="37">
        <f>IF(AND(AI313&lt;=$I28,AI313&gt;$J28),Tarification!$D$8,IF(AND(AI313&lt;=$J28,AI313&gt;$K28),Tarification!$D$9,IF(AND(AI313&lt;=$K28,AI313&gt;0),Tarification!$D$10,0)))</f>
        <v>0</v>
      </c>
      <c r="AJ603" s="37">
        <f>IF(AND(AJ313&lt;=$I28,AJ313&gt;$J28),Tarification!$D$8,IF(AND(AJ313&lt;=$J28,AJ313&gt;$K28),Tarification!$D$9,IF(AND(AJ313&lt;=$K28,AJ313&gt;0),Tarification!$D$10,0)))</f>
        <v>0</v>
      </c>
      <c r="AK603" s="37">
        <f>IF(AND(AK313&lt;=$I28,AK313&gt;$J28),Tarification!$D$8,IF(AND(AK313&lt;=$J28,AK313&gt;$K28),Tarification!$D$9,IF(AND(AK313&lt;=$K28,AK313&gt;0),Tarification!$D$10,0)))</f>
        <v>0</v>
      </c>
      <c r="AL603" s="37">
        <f>IF(AND(AL313&lt;=$I28,AL313&gt;$J28),Tarification!$D$8,IF(AND(AL313&lt;=$J28,AL313&gt;$K28),Tarification!$D$9,IF(AND(AL313&lt;=$K28,AL313&gt;0),Tarification!$D$10,0)))</f>
        <v>0</v>
      </c>
      <c r="AM603" s="37">
        <f>IF(AND(AM313&lt;=$I28,AM313&gt;$J28),Tarification!$D$8,IF(AND(AM313&lt;=$J28,AM313&gt;$K28),Tarification!$D$9,IF(AND(AM313&lt;=$K28,AM313&gt;0),Tarification!$D$10,0)))</f>
        <v>0</v>
      </c>
      <c r="AN603" s="37">
        <f>IF(AND(AN313&lt;=$I28,AN313&gt;$J28),Tarification!$D$8,IF(AND(AN313&lt;=$J28,AN313&gt;$K28),Tarification!$D$9,IF(AND(AN313&lt;=$K28,AN313&gt;0),Tarification!$D$10,0)))</f>
        <v>0</v>
      </c>
      <c r="AQ603" s="101">
        <f t="shared" si="148"/>
        <v>7894.7368421052633</v>
      </c>
    </row>
    <row r="604" spans="14:43" ht="15.6">
      <c r="N604" s="39" t="s">
        <v>26</v>
      </c>
      <c r="O604" s="39" t="s">
        <v>257</v>
      </c>
      <c r="P604" t="s">
        <v>641</v>
      </c>
      <c r="Q604" s="39"/>
      <c r="V604" s="37">
        <f>IF(AND(V314&lt;=$I29,V314&gt;$J29),Tarification!$D$8,IF(AND(V314&lt;=$J29,V314&gt;$K29),Tarification!$D$9,IF(AND(V314&lt;=$K29,V314&gt;0),Tarification!$D$10,0)))</f>
        <v>0</v>
      </c>
      <c r="W604" s="37">
        <f>IF(AND(W314&lt;=$I29,W314&gt;$J29),Tarification!$D$8,IF(AND(W314&lt;=$J29,W314&gt;$K29),Tarification!$D$9,IF(AND(W314&lt;=$K29,W314&gt;0),Tarification!$D$10,0)))</f>
        <v>0</v>
      </c>
      <c r="X604" s="37">
        <f>IF(AND(X314&lt;=$I29,X314&gt;$J29),Tarification!$D$8,IF(AND(X314&lt;=$J29,X314&gt;$K29),Tarification!$D$9,IF(AND(X314&lt;=$K29,X314&gt;0),Tarification!$D$10,0)))</f>
        <v>0</v>
      </c>
      <c r="Y604" s="37">
        <f>IF(AND(Y314&lt;=$I29,Y314&gt;$J29),Tarification!$D$8,IF(AND(Y314&lt;=$J29,Y314&gt;$K29),Tarification!$D$9,IF(AND(Y314&lt;=$K29,Y314&gt;0),Tarification!$D$10,0)))</f>
        <v>0</v>
      </c>
      <c r="Z604" s="37">
        <f>IF(AND(Z314&lt;=$I29,Z314&gt;$J29),Tarification!$D$8,IF(AND(Z314&lt;=$J29,Z314&gt;$K29),Tarification!$D$9,IF(AND(Z314&lt;=$K29,Z314&gt;0),Tarification!$D$10,0)))</f>
        <v>0</v>
      </c>
      <c r="AA604" s="37">
        <f>IF(AND(AA314&lt;=$I29,AA314&gt;$J29),Tarification!$D$8,IF(AND(AA314&lt;=$J29,AA314&gt;$K29),Tarification!$D$9,IF(AND(AA314&lt;=$K29,AA314&gt;0),Tarification!$D$10,0)))</f>
        <v>0</v>
      </c>
      <c r="AB604" s="37">
        <f>IF(AND(AB314&lt;=$I29,AB314&gt;$J29),Tarification!$D$8,IF(AND(AB314&lt;=$J29,AB314&gt;$K29),Tarification!$D$9,IF(AND(AB314&lt;=$K29,AB314&gt;0),Tarification!$D$10,0)))</f>
        <v>0</v>
      </c>
      <c r="AC604" s="37">
        <f>IF(AND(AC314&lt;=$I29,AC314&gt;$J29),Tarification!$D$8,IF(AND(AC314&lt;=$J29,AC314&gt;$K29),Tarification!$D$9,IF(AND(AC314&lt;=$K29,AC314&gt;0),Tarification!$D$10,0)))</f>
        <v>0</v>
      </c>
      <c r="AD604" s="37">
        <f>IF(AND(AD314&lt;=$I29,AD314&gt;$J29),Tarification!$D$8,IF(AND(AD314&lt;=$J29,AD314&gt;$K29),Tarification!$D$9,IF(AND(AD314&lt;=$K29,AD314&gt;0),Tarification!$D$10,0)))</f>
        <v>0</v>
      </c>
      <c r="AE604" s="37">
        <f>IF(AND(AE314&lt;=$I29,AE314&gt;$J29),Tarification!$D$8,IF(AND(AE314&lt;=$J29,AE314&gt;$K29),Tarification!$D$9,IF(AND(AE314&lt;=$K29,AE314&gt;0),Tarification!$D$10,0)))</f>
        <v>50000</v>
      </c>
      <c r="AF604" s="37">
        <f>IF(AND(AF314&lt;=$I29,AF314&gt;$J29),Tarification!$D$8,IF(AND(AF314&lt;=$J29,AF314&gt;$K29),Tarification!$D$9,IF(AND(AF314&lt;=$K29,AF314&gt;0),Tarification!$D$10,0)))</f>
        <v>0</v>
      </c>
      <c r="AG604" s="37">
        <f>IF(AND(AG314&lt;=$I29,AG314&gt;$J29),Tarification!$D$8,IF(AND(AG314&lt;=$J29,AG314&gt;$K29),Tarification!$D$9,IF(AND(AG314&lt;=$K29,AG314&gt;0),Tarification!$D$10,0)))</f>
        <v>0</v>
      </c>
      <c r="AH604" s="37">
        <f>IF(AND(AH314&lt;=$I29,AH314&gt;$J29),Tarification!$D$8,IF(AND(AH314&lt;=$J29,AH314&gt;$K29),Tarification!$D$9,IF(AND(AH314&lt;=$K29,AH314&gt;0),Tarification!$D$10,0)))</f>
        <v>0</v>
      </c>
      <c r="AI604" s="37">
        <f>IF(AND(AI314&lt;=$I29,AI314&gt;$J29),Tarification!$D$8,IF(AND(AI314&lt;=$J29,AI314&gt;$K29),Tarification!$D$9,IF(AND(AI314&lt;=$K29,AI314&gt;0),Tarification!$D$10,0)))</f>
        <v>0</v>
      </c>
      <c r="AJ604" s="37">
        <f>IF(AND(AJ314&lt;=$I29,AJ314&gt;$J29),Tarification!$D$8,IF(AND(AJ314&lt;=$J29,AJ314&gt;$K29),Tarification!$D$9,IF(AND(AJ314&lt;=$K29,AJ314&gt;0),Tarification!$D$10,0)))</f>
        <v>0</v>
      </c>
      <c r="AK604" s="37">
        <f>IF(AND(AK314&lt;=$I29,AK314&gt;$J29),Tarification!$D$8,IF(AND(AK314&lt;=$J29,AK314&gt;$K29),Tarification!$D$9,IF(AND(AK314&lt;=$K29,AK314&gt;0),Tarification!$D$10,0)))</f>
        <v>0</v>
      </c>
      <c r="AL604" s="37">
        <f>IF(AND(AL314&lt;=$I29,AL314&gt;$J29),Tarification!$D$8,IF(AND(AL314&lt;=$J29,AL314&gt;$K29),Tarification!$D$9,IF(AND(AL314&lt;=$K29,AL314&gt;0),Tarification!$D$10,0)))</f>
        <v>0</v>
      </c>
      <c r="AM604" s="37">
        <f>IF(AND(AM314&lt;=$I29,AM314&gt;$J29),Tarification!$D$8,IF(AND(AM314&lt;=$J29,AM314&gt;$K29),Tarification!$D$9,IF(AND(AM314&lt;=$K29,AM314&gt;0),Tarification!$D$10,0)))</f>
        <v>0</v>
      </c>
      <c r="AN604" s="37">
        <f>IF(AND(AN314&lt;=$I29,AN314&gt;$J29),Tarification!$D$8,IF(AND(AN314&lt;=$J29,AN314&gt;$K29),Tarification!$D$9,IF(AND(AN314&lt;=$K29,AN314&gt;0),Tarification!$D$10,0)))</f>
        <v>0</v>
      </c>
      <c r="AQ604" s="101">
        <f t="shared" si="148"/>
        <v>2631.5789473684213</v>
      </c>
    </row>
    <row r="605" spans="14:43" ht="15.6">
      <c r="N605" s="39" t="s">
        <v>26</v>
      </c>
      <c r="O605" s="39" t="s">
        <v>498</v>
      </c>
      <c r="P605" t="s">
        <v>642</v>
      </c>
      <c r="Q605" s="39"/>
      <c r="V605" s="37">
        <f>IF(AND(V315&lt;=$I30,V315&gt;$J30),Tarification!$D$8,IF(AND(V315&lt;=$J30,V315&gt;$K30),Tarification!$D$9,IF(AND(V315&lt;=$K30,V315&gt;0),Tarification!$D$10,0)))</f>
        <v>0</v>
      </c>
      <c r="W605" s="37">
        <f>IF(AND(W315&lt;=$I30,W315&gt;$J30),Tarification!$D$8,IF(AND(W315&lt;=$J30,W315&gt;$K30),Tarification!$D$9,IF(AND(W315&lt;=$K30,W315&gt;0),Tarification!$D$10,0)))</f>
        <v>50000</v>
      </c>
      <c r="X605" s="37">
        <f>IF(AND(X315&lt;=$I30,X315&gt;$J30),Tarification!$D$8,IF(AND(X315&lt;=$J30,X315&gt;$K30),Tarification!$D$9,IF(AND(X315&lt;=$K30,X315&gt;0),Tarification!$D$10,0)))</f>
        <v>0</v>
      </c>
      <c r="Y605" s="37">
        <f>IF(AND(Y315&lt;=$I30,Y315&gt;$J30),Tarification!$D$8,IF(AND(Y315&lt;=$J30,Y315&gt;$K30),Tarification!$D$9,IF(AND(Y315&lt;=$K30,Y315&gt;0),Tarification!$D$10,0)))</f>
        <v>0</v>
      </c>
      <c r="Z605" s="37">
        <f>IF(AND(Z315&lt;=$I30,Z315&gt;$J30),Tarification!$D$8,IF(AND(Z315&lt;=$J30,Z315&gt;$K30),Tarification!$D$9,IF(AND(Z315&lt;=$K30,Z315&gt;0),Tarification!$D$10,0)))</f>
        <v>0</v>
      </c>
      <c r="AA605" s="37">
        <f>IF(AND(AA315&lt;=$I30,AA315&gt;$J30),Tarification!$D$8,IF(AND(AA315&lt;=$J30,AA315&gt;$K30),Tarification!$D$9,IF(AND(AA315&lt;=$K30,AA315&gt;0),Tarification!$D$10,0)))</f>
        <v>0</v>
      </c>
      <c r="AB605" s="37">
        <f>IF(AND(AB315&lt;=$I30,AB315&gt;$J30),Tarification!$D$8,IF(AND(AB315&lt;=$J30,AB315&gt;$K30),Tarification!$D$9,IF(AND(AB315&lt;=$K30,AB315&gt;0),Tarification!$D$10,0)))</f>
        <v>0</v>
      </c>
      <c r="AC605" s="37">
        <f>IF(AND(AC315&lt;=$I30,AC315&gt;$J30),Tarification!$D$8,IF(AND(AC315&lt;=$J30,AC315&gt;$K30),Tarification!$D$9,IF(AND(AC315&lt;=$K30,AC315&gt;0),Tarification!$D$10,0)))</f>
        <v>0</v>
      </c>
      <c r="AD605" s="37">
        <f>IF(AND(AD315&lt;=$I30,AD315&gt;$J30),Tarification!$D$8,IF(AND(AD315&lt;=$J30,AD315&gt;$K30),Tarification!$D$9,IF(AND(AD315&lt;=$K30,AD315&gt;0),Tarification!$D$10,0)))</f>
        <v>0</v>
      </c>
      <c r="AE605" s="37">
        <f>IF(AND(AE315&lt;=$I30,AE315&gt;$J30),Tarification!$D$8,IF(AND(AE315&lt;=$J30,AE315&gt;$K30),Tarification!$D$9,IF(AND(AE315&lt;=$K30,AE315&gt;0),Tarification!$D$10,0)))</f>
        <v>50000</v>
      </c>
      <c r="AF605" s="37">
        <f>IF(AND(AF315&lt;=$I30,AF315&gt;$J30),Tarification!$D$8,IF(AND(AF315&lt;=$J30,AF315&gt;$K30),Tarification!$D$9,IF(AND(AF315&lt;=$K30,AF315&gt;0),Tarification!$D$10,0)))</f>
        <v>50000</v>
      </c>
      <c r="AG605" s="37">
        <f>IF(AND(AG315&lt;=$I30,AG315&gt;$J30),Tarification!$D$8,IF(AND(AG315&lt;=$J30,AG315&gt;$K30),Tarification!$D$9,IF(AND(AG315&lt;=$K30,AG315&gt;0),Tarification!$D$10,0)))</f>
        <v>0</v>
      </c>
      <c r="AH605" s="37">
        <f>IF(AND(AH315&lt;=$I30,AH315&gt;$J30),Tarification!$D$8,IF(AND(AH315&lt;=$J30,AH315&gt;$K30),Tarification!$D$9,IF(AND(AH315&lt;=$K30,AH315&gt;0),Tarification!$D$10,0)))</f>
        <v>0</v>
      </c>
      <c r="AI605" s="37">
        <f>IF(AND(AI315&lt;=$I30,AI315&gt;$J30),Tarification!$D$8,IF(AND(AI315&lt;=$J30,AI315&gt;$K30),Tarification!$D$9,IF(AND(AI315&lt;=$K30,AI315&gt;0),Tarification!$D$10,0)))</f>
        <v>50000</v>
      </c>
      <c r="AJ605" s="37">
        <f>IF(AND(AJ315&lt;=$I30,AJ315&gt;$J30),Tarification!$D$8,IF(AND(AJ315&lt;=$J30,AJ315&gt;$K30),Tarification!$D$9,IF(AND(AJ315&lt;=$K30,AJ315&gt;0),Tarification!$D$10,0)))</f>
        <v>0</v>
      </c>
      <c r="AK605" s="37">
        <f>IF(AND(AK315&lt;=$I30,AK315&gt;$J30),Tarification!$D$8,IF(AND(AK315&lt;=$J30,AK315&gt;$K30),Tarification!$D$9,IF(AND(AK315&lt;=$K30,AK315&gt;0),Tarification!$D$10,0)))</f>
        <v>0</v>
      </c>
      <c r="AL605" s="37">
        <f>IF(AND(AL315&lt;=$I30,AL315&gt;$J30),Tarification!$D$8,IF(AND(AL315&lt;=$J30,AL315&gt;$K30),Tarification!$D$9,IF(AND(AL315&lt;=$K30,AL315&gt;0),Tarification!$D$10,0)))</f>
        <v>0</v>
      </c>
      <c r="AM605" s="37">
        <f>IF(AND(AM315&lt;=$I30,AM315&gt;$J30),Tarification!$D$8,IF(AND(AM315&lt;=$J30,AM315&gt;$K30),Tarification!$D$9,IF(AND(AM315&lt;=$K30,AM315&gt;0),Tarification!$D$10,0)))</f>
        <v>0</v>
      </c>
      <c r="AN605" s="37">
        <f>IF(AND(AN315&lt;=$I30,AN315&gt;$J30),Tarification!$D$8,IF(AND(AN315&lt;=$J30,AN315&gt;$K30),Tarification!$D$9,IF(AND(AN315&lt;=$K30,AN315&gt;0),Tarification!$D$10,0)))</f>
        <v>0</v>
      </c>
      <c r="AQ605" s="101">
        <f t="shared" si="148"/>
        <v>10526.315789473685</v>
      </c>
    </row>
    <row r="606" spans="14:43" ht="15.6">
      <c r="N606" s="39" t="s">
        <v>26</v>
      </c>
      <c r="O606" s="39" t="s">
        <v>221</v>
      </c>
      <c r="P606" t="s">
        <v>643</v>
      </c>
      <c r="Q606" s="39"/>
      <c r="V606" s="37">
        <f>IF(AND(V316&lt;=$I31,V316&gt;$J31),Tarification!$D$8,IF(AND(V316&lt;=$J31,V316&gt;$K31),Tarification!$D$9,IF(AND(V316&lt;=$K31,V316&gt;0),Tarification!$D$10,0)))</f>
        <v>0</v>
      </c>
      <c r="W606" s="37">
        <f>IF(AND(W316&lt;=$I31,W316&gt;$J31),Tarification!$D$8,IF(AND(W316&lt;=$J31,W316&gt;$K31),Tarification!$D$9,IF(AND(W316&lt;=$K31,W316&gt;0),Tarification!$D$10,0)))</f>
        <v>50000</v>
      </c>
      <c r="X606" s="37">
        <f>IF(AND(X316&lt;=$I31,X316&gt;$J31),Tarification!$D$8,IF(AND(X316&lt;=$J31,X316&gt;$K31),Tarification!$D$9,IF(AND(X316&lt;=$K31,X316&gt;0),Tarification!$D$10,0)))</f>
        <v>0</v>
      </c>
      <c r="Y606" s="37">
        <f>IF(AND(Y316&lt;=$I31,Y316&gt;$J31),Tarification!$D$8,IF(AND(Y316&lt;=$J31,Y316&gt;$K31),Tarification!$D$9,IF(AND(Y316&lt;=$K31,Y316&gt;0),Tarification!$D$10,0)))</f>
        <v>0</v>
      </c>
      <c r="Z606" s="37">
        <f>IF(AND(Z316&lt;=$I31,Z316&gt;$J31),Tarification!$D$8,IF(AND(Z316&lt;=$J31,Z316&gt;$K31),Tarification!$D$9,IF(AND(Z316&lt;=$K31,Z316&gt;0),Tarification!$D$10,0)))</f>
        <v>0</v>
      </c>
      <c r="AA606" s="37">
        <f>IF(AND(AA316&lt;=$I31,AA316&gt;$J31),Tarification!$D$8,IF(AND(AA316&lt;=$J31,AA316&gt;$K31),Tarification!$D$9,IF(AND(AA316&lt;=$K31,AA316&gt;0),Tarification!$D$10,0)))</f>
        <v>0</v>
      </c>
      <c r="AB606" s="37">
        <f>IF(AND(AB316&lt;=$I31,AB316&gt;$J31),Tarification!$D$8,IF(AND(AB316&lt;=$J31,AB316&gt;$K31),Tarification!$D$9,IF(AND(AB316&lt;=$K31,AB316&gt;0),Tarification!$D$10,0)))</f>
        <v>0</v>
      </c>
      <c r="AC606" s="37">
        <f>IF(AND(AC316&lt;=$I31,AC316&gt;$J31),Tarification!$D$8,IF(AND(AC316&lt;=$J31,AC316&gt;$K31),Tarification!$D$9,IF(AND(AC316&lt;=$K31,AC316&gt;0),Tarification!$D$10,0)))</f>
        <v>0</v>
      </c>
      <c r="AD606" s="37">
        <f>IF(AND(AD316&lt;=$I31,AD316&gt;$J31),Tarification!$D$8,IF(AND(AD316&lt;=$J31,AD316&gt;$K31),Tarification!$D$9,IF(AND(AD316&lt;=$K31,AD316&gt;0),Tarification!$D$10,0)))</f>
        <v>0</v>
      </c>
      <c r="AE606" s="37">
        <f>IF(AND(AE316&lt;=$I31,AE316&gt;$J31),Tarification!$D$8,IF(AND(AE316&lt;=$J31,AE316&gt;$K31),Tarification!$D$9,IF(AND(AE316&lt;=$K31,AE316&gt;0),Tarification!$D$10,0)))</f>
        <v>50000</v>
      </c>
      <c r="AF606" s="37">
        <f>IF(AND(AF316&lt;=$I31,AF316&gt;$J31),Tarification!$D$8,IF(AND(AF316&lt;=$J31,AF316&gt;$K31),Tarification!$D$9,IF(AND(AF316&lt;=$K31,AF316&gt;0),Tarification!$D$10,0)))</f>
        <v>0</v>
      </c>
      <c r="AG606" s="37">
        <f>IF(AND(AG316&lt;=$I31,AG316&gt;$J31),Tarification!$D$8,IF(AND(AG316&lt;=$J31,AG316&gt;$K31),Tarification!$D$9,IF(AND(AG316&lt;=$K31,AG316&gt;0),Tarification!$D$10,0)))</f>
        <v>0</v>
      </c>
      <c r="AH606" s="37">
        <f>IF(AND(AH316&lt;=$I31,AH316&gt;$J31),Tarification!$D$8,IF(AND(AH316&lt;=$J31,AH316&gt;$K31),Tarification!$D$9,IF(AND(AH316&lt;=$K31,AH316&gt;0),Tarification!$D$10,0)))</f>
        <v>0</v>
      </c>
      <c r="AI606" s="37">
        <f>IF(AND(AI316&lt;=$I31,AI316&gt;$J31),Tarification!$D$8,IF(AND(AI316&lt;=$J31,AI316&gt;$K31),Tarification!$D$9,IF(AND(AI316&lt;=$K31,AI316&gt;0),Tarification!$D$10,0)))</f>
        <v>0</v>
      </c>
      <c r="AJ606" s="37">
        <f>IF(AND(AJ316&lt;=$I31,AJ316&gt;$J31),Tarification!$D$8,IF(AND(AJ316&lt;=$J31,AJ316&gt;$K31),Tarification!$D$9,IF(AND(AJ316&lt;=$K31,AJ316&gt;0),Tarification!$D$10,0)))</f>
        <v>0</v>
      </c>
      <c r="AK606" s="37">
        <f>IF(AND(AK316&lt;=$I31,AK316&gt;$J31),Tarification!$D$8,IF(AND(AK316&lt;=$J31,AK316&gt;$K31),Tarification!$D$9,IF(AND(AK316&lt;=$K31,AK316&gt;0),Tarification!$D$10,0)))</f>
        <v>0</v>
      </c>
      <c r="AL606" s="37">
        <f>IF(AND(AL316&lt;=$I31,AL316&gt;$J31),Tarification!$D$8,IF(AND(AL316&lt;=$J31,AL316&gt;$K31),Tarification!$D$9,IF(AND(AL316&lt;=$K31,AL316&gt;0),Tarification!$D$10,0)))</f>
        <v>0</v>
      </c>
      <c r="AM606" s="37">
        <f>IF(AND(AM316&lt;=$I31,AM316&gt;$J31),Tarification!$D$8,IF(AND(AM316&lt;=$J31,AM316&gt;$K31),Tarification!$D$9,IF(AND(AM316&lt;=$K31,AM316&gt;0),Tarification!$D$10,0)))</f>
        <v>0</v>
      </c>
      <c r="AN606" s="37">
        <f>IF(AND(AN316&lt;=$I31,AN316&gt;$J31),Tarification!$D$8,IF(AND(AN316&lt;=$J31,AN316&gt;$K31),Tarification!$D$9,IF(AND(AN316&lt;=$K31,AN316&gt;0),Tarification!$D$10,0)))</f>
        <v>50000</v>
      </c>
      <c r="AQ606" s="101">
        <f t="shared" si="148"/>
        <v>7894.7368421052633</v>
      </c>
    </row>
    <row r="607" spans="14:43" ht="15.6">
      <c r="N607" s="39" t="s">
        <v>26</v>
      </c>
      <c r="O607" s="39" t="s">
        <v>576</v>
      </c>
      <c r="P607" t="s">
        <v>644</v>
      </c>
      <c r="Q607" s="39"/>
      <c r="V607" s="37">
        <f>IF(AND(V317&lt;=$I32,V317&gt;$J32),Tarification!$D$8,IF(AND(V317&lt;=$J32,V317&gt;$K32),Tarification!$D$9,IF(AND(V317&lt;=$K32,V317&gt;0),Tarification!$D$10,0)))</f>
        <v>0</v>
      </c>
      <c r="W607" s="37">
        <f>IF(AND(W317&lt;=$I32,W317&gt;$J32),Tarification!$D$8,IF(AND(W317&lt;=$J32,W317&gt;$K32),Tarification!$D$9,IF(AND(W317&lt;=$K32,W317&gt;0),Tarification!$D$10,0)))</f>
        <v>50000</v>
      </c>
      <c r="X607" s="37">
        <f>IF(AND(X317&lt;=$I32,X317&gt;$J32),Tarification!$D$8,IF(AND(X317&lt;=$J32,X317&gt;$K32),Tarification!$D$9,IF(AND(X317&lt;=$K32,X317&gt;0),Tarification!$D$10,0)))</f>
        <v>0</v>
      </c>
      <c r="Y607" s="37">
        <f>IF(AND(Y317&lt;=$I32,Y317&gt;$J32),Tarification!$D$8,IF(AND(Y317&lt;=$J32,Y317&gt;$K32),Tarification!$D$9,IF(AND(Y317&lt;=$K32,Y317&gt;0),Tarification!$D$10,0)))</f>
        <v>0</v>
      </c>
      <c r="Z607" s="37">
        <f>IF(AND(Z317&lt;=$I32,Z317&gt;$J32),Tarification!$D$8,IF(AND(Z317&lt;=$J32,Z317&gt;$K32),Tarification!$D$9,IF(AND(Z317&lt;=$K32,Z317&gt;0),Tarification!$D$10,0)))</f>
        <v>0</v>
      </c>
      <c r="AA607" s="37">
        <f>IF(AND(AA317&lt;=$I32,AA317&gt;$J32),Tarification!$D$8,IF(AND(AA317&lt;=$J32,AA317&gt;$K32),Tarification!$D$9,IF(AND(AA317&lt;=$K32,AA317&gt;0),Tarification!$D$10,0)))</f>
        <v>0</v>
      </c>
      <c r="AB607" s="37">
        <f>IF(AND(AB317&lt;=$I32,AB317&gt;$J32),Tarification!$D$8,IF(AND(AB317&lt;=$J32,AB317&gt;$K32),Tarification!$D$9,IF(AND(AB317&lt;=$K32,AB317&gt;0),Tarification!$D$10,0)))</f>
        <v>0</v>
      </c>
      <c r="AC607" s="37">
        <f>IF(AND(AC317&lt;=$I32,AC317&gt;$J32),Tarification!$D$8,IF(AND(AC317&lt;=$J32,AC317&gt;$K32),Tarification!$D$9,IF(AND(AC317&lt;=$K32,AC317&gt;0),Tarification!$D$10,0)))</f>
        <v>125000</v>
      </c>
      <c r="AD607" s="37">
        <f>IF(AND(AD317&lt;=$I32,AD317&gt;$J32),Tarification!$D$8,IF(AND(AD317&lt;=$J32,AD317&gt;$K32),Tarification!$D$9,IF(AND(AD317&lt;=$K32,AD317&gt;0),Tarification!$D$10,0)))</f>
        <v>0</v>
      </c>
      <c r="AE607" s="37">
        <f>IF(AND(AE317&lt;=$I32,AE317&gt;$J32),Tarification!$D$8,IF(AND(AE317&lt;=$J32,AE317&gt;$K32),Tarification!$D$9,IF(AND(AE317&lt;=$K32,AE317&gt;0),Tarification!$D$10,0)))</f>
        <v>250000</v>
      </c>
      <c r="AF607" s="37">
        <f>IF(AND(AF317&lt;=$I32,AF317&gt;$J32),Tarification!$D$8,IF(AND(AF317&lt;=$J32,AF317&gt;$K32),Tarification!$D$9,IF(AND(AF317&lt;=$K32,AF317&gt;0),Tarification!$D$10,0)))</f>
        <v>50000</v>
      </c>
      <c r="AG607" s="37">
        <f>IF(AND(AG317&lt;=$I32,AG317&gt;$J32),Tarification!$D$8,IF(AND(AG317&lt;=$J32,AG317&gt;$K32),Tarification!$D$9,IF(AND(AG317&lt;=$K32,AG317&gt;0),Tarification!$D$10,0)))</f>
        <v>0</v>
      </c>
      <c r="AH607" s="37">
        <f>IF(AND(AH317&lt;=$I32,AH317&gt;$J32),Tarification!$D$8,IF(AND(AH317&lt;=$J32,AH317&gt;$K32),Tarification!$D$9,IF(AND(AH317&lt;=$K32,AH317&gt;0),Tarification!$D$10,0)))</f>
        <v>0</v>
      </c>
      <c r="AI607" s="37">
        <f>IF(AND(AI317&lt;=$I32,AI317&gt;$J32),Tarification!$D$8,IF(AND(AI317&lt;=$J32,AI317&gt;$K32),Tarification!$D$9,IF(AND(AI317&lt;=$K32,AI317&gt;0),Tarification!$D$10,0)))</f>
        <v>0</v>
      </c>
      <c r="AJ607" s="37">
        <f>IF(AND(AJ317&lt;=$I32,AJ317&gt;$J32),Tarification!$D$8,IF(AND(AJ317&lt;=$J32,AJ317&gt;$K32),Tarification!$D$9,IF(AND(AJ317&lt;=$K32,AJ317&gt;0),Tarification!$D$10,0)))</f>
        <v>0</v>
      </c>
      <c r="AK607" s="37">
        <f>IF(AND(AK317&lt;=$I32,AK317&gt;$J32),Tarification!$D$8,IF(AND(AK317&lt;=$J32,AK317&gt;$K32),Tarification!$D$9,IF(AND(AK317&lt;=$K32,AK317&gt;0),Tarification!$D$10,0)))</f>
        <v>0</v>
      </c>
      <c r="AL607" s="37">
        <f>IF(AND(AL317&lt;=$I32,AL317&gt;$J32),Tarification!$D$8,IF(AND(AL317&lt;=$J32,AL317&gt;$K32),Tarification!$D$9,IF(AND(AL317&lt;=$K32,AL317&gt;0),Tarification!$D$10,0)))</f>
        <v>0</v>
      </c>
      <c r="AM607" s="37">
        <f>IF(AND(AM317&lt;=$I32,AM317&gt;$J32),Tarification!$D$8,IF(AND(AM317&lt;=$J32,AM317&gt;$K32),Tarification!$D$9,IF(AND(AM317&lt;=$K32,AM317&gt;0),Tarification!$D$10,0)))</f>
        <v>0</v>
      </c>
      <c r="AN607" s="37">
        <f>IF(AND(AN317&lt;=$I32,AN317&gt;$J32),Tarification!$D$8,IF(AND(AN317&lt;=$J32,AN317&gt;$K32),Tarification!$D$9,IF(AND(AN317&lt;=$K32,AN317&gt;0),Tarification!$D$10,0)))</f>
        <v>125000</v>
      </c>
      <c r="AQ607" s="101">
        <f t="shared" si="148"/>
        <v>31578.947368421053</v>
      </c>
    </row>
    <row r="608" spans="14:43" ht="15.6">
      <c r="N608" s="39" t="s">
        <v>26</v>
      </c>
      <c r="O608" s="39" t="s">
        <v>576</v>
      </c>
      <c r="P608" t="s">
        <v>645</v>
      </c>
      <c r="Q608" s="39"/>
      <c r="V608" s="37">
        <f>IF(AND(V318&lt;=$I33,V318&gt;$J33),Tarification!$D$8,IF(AND(V318&lt;=$J33,V318&gt;$K33),Tarification!$D$9,IF(AND(V318&lt;=$K33,V318&gt;0),Tarification!$D$10,0)))</f>
        <v>0</v>
      </c>
      <c r="W608" s="37">
        <f>IF(AND(W318&lt;=$I33,W318&gt;$J33),Tarification!$D$8,IF(AND(W318&lt;=$J33,W318&gt;$K33),Tarification!$D$9,IF(AND(W318&lt;=$K33,W318&gt;0),Tarification!$D$10,0)))</f>
        <v>0</v>
      </c>
      <c r="X608" s="37">
        <f>IF(AND(X318&lt;=$I33,X318&gt;$J33),Tarification!$D$8,IF(AND(X318&lt;=$J33,X318&gt;$K33),Tarification!$D$9,IF(AND(X318&lt;=$K33,X318&gt;0),Tarification!$D$10,0)))</f>
        <v>0</v>
      </c>
      <c r="Y608" s="37">
        <f>IF(AND(Y318&lt;=$I33,Y318&gt;$J33),Tarification!$D$8,IF(AND(Y318&lt;=$J33,Y318&gt;$K33),Tarification!$D$9,IF(AND(Y318&lt;=$K33,Y318&gt;0),Tarification!$D$10,0)))</f>
        <v>0</v>
      </c>
      <c r="Z608" s="37">
        <f>IF(AND(Z318&lt;=$I33,Z318&gt;$J33),Tarification!$D$8,IF(AND(Z318&lt;=$J33,Z318&gt;$K33),Tarification!$D$9,IF(AND(Z318&lt;=$K33,Z318&gt;0),Tarification!$D$10,0)))</f>
        <v>0</v>
      </c>
      <c r="AA608" s="37">
        <f>IF(AND(AA318&lt;=$I33,AA318&gt;$J33),Tarification!$D$8,IF(AND(AA318&lt;=$J33,AA318&gt;$K33),Tarification!$D$9,IF(AND(AA318&lt;=$K33,AA318&gt;0),Tarification!$D$10,0)))</f>
        <v>0</v>
      </c>
      <c r="AB608" s="37">
        <f>IF(AND(AB318&lt;=$I33,AB318&gt;$J33),Tarification!$D$8,IF(AND(AB318&lt;=$J33,AB318&gt;$K33),Tarification!$D$9,IF(AND(AB318&lt;=$K33,AB318&gt;0),Tarification!$D$10,0)))</f>
        <v>0</v>
      </c>
      <c r="AC608" s="37">
        <f>IF(AND(AC318&lt;=$I33,AC318&gt;$J33),Tarification!$D$8,IF(AND(AC318&lt;=$J33,AC318&gt;$K33),Tarification!$D$9,IF(AND(AC318&lt;=$K33,AC318&gt;0),Tarification!$D$10,0)))</f>
        <v>0</v>
      </c>
      <c r="AD608" s="37">
        <f>IF(AND(AD318&lt;=$I33,AD318&gt;$J33),Tarification!$D$8,IF(AND(AD318&lt;=$J33,AD318&gt;$K33),Tarification!$D$9,IF(AND(AD318&lt;=$K33,AD318&gt;0),Tarification!$D$10,0)))</f>
        <v>0</v>
      </c>
      <c r="AE608" s="37">
        <f>IF(AND(AE318&lt;=$I33,AE318&gt;$J33),Tarification!$D$8,IF(AND(AE318&lt;=$J33,AE318&gt;$K33),Tarification!$D$9,IF(AND(AE318&lt;=$K33,AE318&gt;0),Tarification!$D$10,0)))</f>
        <v>125000</v>
      </c>
      <c r="AF608" s="37">
        <f>IF(AND(AF318&lt;=$I33,AF318&gt;$J33),Tarification!$D$8,IF(AND(AF318&lt;=$J33,AF318&gt;$K33),Tarification!$D$9,IF(AND(AF318&lt;=$K33,AF318&gt;0),Tarification!$D$10,0)))</f>
        <v>0</v>
      </c>
      <c r="AG608" s="37">
        <f>IF(AND(AG318&lt;=$I33,AG318&gt;$J33),Tarification!$D$8,IF(AND(AG318&lt;=$J33,AG318&gt;$K33),Tarification!$D$9,IF(AND(AG318&lt;=$K33,AG318&gt;0),Tarification!$D$10,0)))</f>
        <v>0</v>
      </c>
      <c r="AH608" s="37">
        <f>IF(AND(AH318&lt;=$I33,AH318&gt;$J33),Tarification!$D$8,IF(AND(AH318&lt;=$J33,AH318&gt;$K33),Tarification!$D$9,IF(AND(AH318&lt;=$K33,AH318&gt;0),Tarification!$D$10,0)))</f>
        <v>0</v>
      </c>
      <c r="AI608" s="37">
        <f>IF(AND(AI318&lt;=$I33,AI318&gt;$J33),Tarification!$D$8,IF(AND(AI318&lt;=$J33,AI318&gt;$K33),Tarification!$D$9,IF(AND(AI318&lt;=$K33,AI318&gt;0),Tarification!$D$10,0)))</f>
        <v>0</v>
      </c>
      <c r="AJ608" s="37">
        <f>IF(AND(AJ318&lt;=$I33,AJ318&gt;$J33),Tarification!$D$8,IF(AND(AJ318&lt;=$J33,AJ318&gt;$K33),Tarification!$D$9,IF(AND(AJ318&lt;=$K33,AJ318&gt;0),Tarification!$D$10,0)))</f>
        <v>0</v>
      </c>
      <c r="AK608" s="37">
        <f>IF(AND(AK318&lt;=$I33,AK318&gt;$J33),Tarification!$D$8,IF(AND(AK318&lt;=$J33,AK318&gt;$K33),Tarification!$D$9,IF(AND(AK318&lt;=$K33,AK318&gt;0),Tarification!$D$10,0)))</f>
        <v>0</v>
      </c>
      <c r="AL608" s="37">
        <f>IF(AND(AL318&lt;=$I33,AL318&gt;$J33),Tarification!$D$8,IF(AND(AL318&lt;=$J33,AL318&gt;$K33),Tarification!$D$9,IF(AND(AL318&lt;=$K33,AL318&gt;0),Tarification!$D$10,0)))</f>
        <v>0</v>
      </c>
      <c r="AM608" s="37">
        <f>IF(AND(AM318&lt;=$I33,AM318&gt;$J33),Tarification!$D$8,IF(AND(AM318&lt;=$J33,AM318&gt;$K33),Tarification!$D$9,IF(AND(AM318&lt;=$K33,AM318&gt;0),Tarification!$D$10,0)))</f>
        <v>0</v>
      </c>
      <c r="AN608" s="37">
        <f>IF(AND(AN318&lt;=$I33,AN318&gt;$J33),Tarification!$D$8,IF(AND(AN318&lt;=$J33,AN318&gt;$K33),Tarification!$D$9,IF(AND(AN318&lt;=$K33,AN318&gt;0),Tarification!$D$10,0)))</f>
        <v>0</v>
      </c>
      <c r="AQ608" s="101">
        <f t="shared" si="148"/>
        <v>6578.9473684210525</v>
      </c>
    </row>
    <row r="609" spans="14:43" ht="15.6">
      <c r="N609" s="39" t="s">
        <v>26</v>
      </c>
      <c r="O609" s="39" t="s">
        <v>273</v>
      </c>
      <c r="P609" t="s">
        <v>646</v>
      </c>
      <c r="Q609" s="39"/>
      <c r="V609" s="37">
        <f>IF(AND(V319&lt;=$I34,V319&gt;$J34),Tarification!$D$8,IF(AND(V319&lt;=$J34,V319&gt;$K34),Tarification!$D$9,IF(AND(V319&lt;=$K34,V319&gt;0),Tarification!$D$10,0)))</f>
        <v>0</v>
      </c>
      <c r="W609" s="37">
        <f>IF(AND(W319&lt;=$I34,W319&gt;$J34),Tarification!$D$8,IF(AND(W319&lt;=$J34,W319&gt;$K34),Tarification!$D$9,IF(AND(W319&lt;=$K34,W319&gt;0),Tarification!$D$10,0)))</f>
        <v>0</v>
      </c>
      <c r="X609" s="37">
        <f>IF(AND(X319&lt;=$I34,X319&gt;$J34),Tarification!$D$8,IF(AND(X319&lt;=$J34,X319&gt;$K34),Tarification!$D$9,IF(AND(X319&lt;=$K34,X319&gt;0),Tarification!$D$10,0)))</f>
        <v>0</v>
      </c>
      <c r="Y609" s="37">
        <f>IF(AND(Y319&lt;=$I34,Y319&gt;$J34),Tarification!$D$8,IF(AND(Y319&lt;=$J34,Y319&gt;$K34),Tarification!$D$9,IF(AND(Y319&lt;=$K34,Y319&gt;0),Tarification!$D$10,0)))</f>
        <v>0</v>
      </c>
      <c r="Z609" s="37">
        <f>IF(AND(Z319&lt;=$I34,Z319&gt;$J34),Tarification!$D$8,IF(AND(Z319&lt;=$J34,Z319&gt;$K34),Tarification!$D$9,IF(AND(Z319&lt;=$K34,Z319&gt;0),Tarification!$D$10,0)))</f>
        <v>0</v>
      </c>
      <c r="AA609" s="37">
        <f>IF(AND(AA319&lt;=$I34,AA319&gt;$J34),Tarification!$D$8,IF(AND(AA319&lt;=$J34,AA319&gt;$K34),Tarification!$D$9,IF(AND(AA319&lt;=$K34,AA319&gt;0),Tarification!$D$10,0)))</f>
        <v>0</v>
      </c>
      <c r="AB609" s="37">
        <f>IF(AND(AB319&lt;=$I34,AB319&gt;$J34),Tarification!$D$8,IF(AND(AB319&lt;=$J34,AB319&gt;$K34),Tarification!$D$9,IF(AND(AB319&lt;=$K34,AB319&gt;0),Tarification!$D$10,0)))</f>
        <v>0</v>
      </c>
      <c r="AC609" s="37">
        <f>IF(AND(AC319&lt;=$I34,AC319&gt;$J34),Tarification!$D$8,IF(AND(AC319&lt;=$J34,AC319&gt;$K34),Tarification!$D$9,IF(AND(AC319&lt;=$K34,AC319&gt;0),Tarification!$D$10,0)))</f>
        <v>0</v>
      </c>
      <c r="AD609" s="37">
        <f>IF(AND(AD319&lt;=$I34,AD319&gt;$J34),Tarification!$D$8,IF(AND(AD319&lt;=$J34,AD319&gt;$K34),Tarification!$D$9,IF(AND(AD319&lt;=$K34,AD319&gt;0),Tarification!$D$10,0)))</f>
        <v>0</v>
      </c>
      <c r="AE609" s="37">
        <f>IF(AND(AE319&lt;=$I34,AE319&gt;$J34),Tarification!$D$8,IF(AND(AE319&lt;=$J34,AE319&gt;$K34),Tarification!$D$9,IF(AND(AE319&lt;=$K34,AE319&gt;0),Tarification!$D$10,0)))</f>
        <v>0</v>
      </c>
      <c r="AF609" s="37">
        <f>IF(AND(AF319&lt;=$I34,AF319&gt;$J34),Tarification!$D$8,IF(AND(AF319&lt;=$J34,AF319&gt;$K34),Tarification!$D$9,IF(AND(AF319&lt;=$K34,AF319&gt;0),Tarification!$D$10,0)))</f>
        <v>0</v>
      </c>
      <c r="AG609" s="37">
        <f>IF(AND(AG319&lt;=$I34,AG319&gt;$J34),Tarification!$D$8,IF(AND(AG319&lt;=$J34,AG319&gt;$K34),Tarification!$D$9,IF(AND(AG319&lt;=$K34,AG319&gt;0),Tarification!$D$10,0)))</f>
        <v>0</v>
      </c>
      <c r="AH609" s="37">
        <f>IF(AND(AH319&lt;=$I34,AH319&gt;$J34),Tarification!$D$8,IF(AND(AH319&lt;=$J34,AH319&gt;$K34),Tarification!$D$9,IF(AND(AH319&lt;=$K34,AH319&gt;0),Tarification!$D$10,0)))</f>
        <v>0</v>
      </c>
      <c r="AI609" s="37">
        <f>IF(AND(AI319&lt;=$I34,AI319&gt;$J34),Tarification!$D$8,IF(AND(AI319&lt;=$J34,AI319&gt;$K34),Tarification!$D$9,IF(AND(AI319&lt;=$K34,AI319&gt;0),Tarification!$D$10,0)))</f>
        <v>0</v>
      </c>
      <c r="AJ609" s="37">
        <f>IF(AND(AJ319&lt;=$I34,AJ319&gt;$J34),Tarification!$D$8,IF(AND(AJ319&lt;=$J34,AJ319&gt;$K34),Tarification!$D$9,IF(AND(AJ319&lt;=$K34,AJ319&gt;0),Tarification!$D$10,0)))</f>
        <v>0</v>
      </c>
      <c r="AK609" s="37">
        <f>IF(AND(AK319&lt;=$I34,AK319&gt;$J34),Tarification!$D$8,IF(AND(AK319&lt;=$J34,AK319&gt;$K34),Tarification!$D$9,IF(AND(AK319&lt;=$K34,AK319&gt;0),Tarification!$D$10,0)))</f>
        <v>0</v>
      </c>
      <c r="AL609" s="37">
        <f>IF(AND(AL319&lt;=$I34,AL319&gt;$J34),Tarification!$D$8,IF(AND(AL319&lt;=$J34,AL319&gt;$K34),Tarification!$D$9,IF(AND(AL319&lt;=$K34,AL319&gt;0),Tarification!$D$10,0)))</f>
        <v>0</v>
      </c>
      <c r="AM609" s="37">
        <f>IF(AND(AM319&lt;=$I34,AM319&gt;$J34),Tarification!$D$8,IF(AND(AM319&lt;=$J34,AM319&gt;$K34),Tarification!$D$9,IF(AND(AM319&lt;=$K34,AM319&gt;0),Tarification!$D$10,0)))</f>
        <v>0</v>
      </c>
      <c r="AN609" s="37">
        <f>IF(AND(AN319&lt;=$I34,AN319&gt;$J34),Tarification!$D$8,IF(AND(AN319&lt;=$J34,AN319&gt;$K34),Tarification!$D$9,IF(AND(AN319&lt;=$K34,AN319&gt;0),Tarification!$D$10,0)))</f>
        <v>0</v>
      </c>
      <c r="AQ609" s="101">
        <f t="shared" si="148"/>
        <v>0</v>
      </c>
    </row>
    <row r="610" spans="14:43" ht="15.6">
      <c r="N610" s="39" t="s">
        <v>26</v>
      </c>
      <c r="O610" s="39" t="s">
        <v>245</v>
      </c>
      <c r="P610" t="s">
        <v>647</v>
      </c>
      <c r="Q610" s="39"/>
      <c r="V610" s="37">
        <f>IF(AND(V320&lt;=$I35,V320&gt;$J35),Tarification!$D$8,IF(AND(V320&lt;=$J35,V320&gt;$K35),Tarification!$D$9,IF(AND(V320&lt;=$K35,V320&gt;0),Tarification!$D$10,0)))</f>
        <v>0</v>
      </c>
      <c r="W610" s="37">
        <f>IF(AND(W320&lt;=$I35,W320&gt;$J35),Tarification!$D$8,IF(AND(W320&lt;=$J35,W320&gt;$K35),Tarification!$D$9,IF(AND(W320&lt;=$K35,W320&gt;0),Tarification!$D$10,0)))</f>
        <v>50000</v>
      </c>
      <c r="X610" s="37">
        <f>IF(AND(X320&lt;=$I35,X320&gt;$J35),Tarification!$D$8,IF(AND(X320&lt;=$J35,X320&gt;$K35),Tarification!$D$9,IF(AND(X320&lt;=$K35,X320&gt;0),Tarification!$D$10,0)))</f>
        <v>0</v>
      </c>
      <c r="Y610" s="37">
        <f>IF(AND(Y320&lt;=$I35,Y320&gt;$J35),Tarification!$D$8,IF(AND(Y320&lt;=$J35,Y320&gt;$K35),Tarification!$D$9,IF(AND(Y320&lt;=$K35,Y320&gt;0),Tarification!$D$10,0)))</f>
        <v>0</v>
      </c>
      <c r="Z610" s="37">
        <f>IF(AND(Z320&lt;=$I35,Z320&gt;$J35),Tarification!$D$8,IF(AND(Z320&lt;=$J35,Z320&gt;$K35),Tarification!$D$9,IF(AND(Z320&lt;=$K35,Z320&gt;0),Tarification!$D$10,0)))</f>
        <v>0</v>
      </c>
      <c r="AA610" s="37">
        <f>IF(AND(AA320&lt;=$I35,AA320&gt;$J35),Tarification!$D$8,IF(AND(AA320&lt;=$J35,AA320&gt;$K35),Tarification!$D$9,IF(AND(AA320&lt;=$K35,AA320&gt;0),Tarification!$D$10,0)))</f>
        <v>0</v>
      </c>
      <c r="AB610" s="37">
        <f>IF(AND(AB320&lt;=$I35,AB320&gt;$J35),Tarification!$D$8,IF(AND(AB320&lt;=$J35,AB320&gt;$K35),Tarification!$D$9,IF(AND(AB320&lt;=$K35,AB320&gt;0),Tarification!$D$10,0)))</f>
        <v>0</v>
      </c>
      <c r="AC610" s="37">
        <f>IF(AND(AC320&lt;=$I35,AC320&gt;$J35),Tarification!$D$8,IF(AND(AC320&lt;=$J35,AC320&gt;$K35),Tarification!$D$9,IF(AND(AC320&lt;=$K35,AC320&gt;0),Tarification!$D$10,0)))</f>
        <v>0</v>
      </c>
      <c r="AD610" s="37">
        <f>IF(AND(AD320&lt;=$I35,AD320&gt;$J35),Tarification!$D$8,IF(AND(AD320&lt;=$J35,AD320&gt;$K35),Tarification!$D$9,IF(AND(AD320&lt;=$K35,AD320&gt;0),Tarification!$D$10,0)))</f>
        <v>0</v>
      </c>
      <c r="AE610" s="37">
        <f>IF(AND(AE320&lt;=$I35,AE320&gt;$J35),Tarification!$D$8,IF(AND(AE320&lt;=$J35,AE320&gt;$K35),Tarification!$D$9,IF(AND(AE320&lt;=$K35,AE320&gt;0),Tarification!$D$10,0)))</f>
        <v>250000</v>
      </c>
      <c r="AF610" s="37">
        <f>IF(AND(AF320&lt;=$I35,AF320&gt;$J35),Tarification!$D$8,IF(AND(AF320&lt;=$J35,AF320&gt;$K35),Tarification!$D$9,IF(AND(AF320&lt;=$K35,AF320&gt;0),Tarification!$D$10,0)))</f>
        <v>50000</v>
      </c>
      <c r="AG610" s="37">
        <f>IF(AND(AG320&lt;=$I35,AG320&gt;$J35),Tarification!$D$8,IF(AND(AG320&lt;=$J35,AG320&gt;$K35),Tarification!$D$9,IF(AND(AG320&lt;=$K35,AG320&gt;0),Tarification!$D$10,0)))</f>
        <v>0</v>
      </c>
      <c r="AH610" s="37">
        <f>IF(AND(AH320&lt;=$I35,AH320&gt;$J35),Tarification!$D$8,IF(AND(AH320&lt;=$J35,AH320&gt;$K35),Tarification!$D$9,IF(AND(AH320&lt;=$K35,AH320&gt;0),Tarification!$D$10,0)))</f>
        <v>0</v>
      </c>
      <c r="AI610" s="37">
        <f>IF(AND(AI320&lt;=$I35,AI320&gt;$J35),Tarification!$D$8,IF(AND(AI320&lt;=$J35,AI320&gt;$K35),Tarification!$D$9,IF(AND(AI320&lt;=$K35,AI320&gt;0),Tarification!$D$10,0)))</f>
        <v>0</v>
      </c>
      <c r="AJ610" s="37">
        <f>IF(AND(AJ320&lt;=$I35,AJ320&gt;$J35),Tarification!$D$8,IF(AND(AJ320&lt;=$J35,AJ320&gt;$K35),Tarification!$D$9,IF(AND(AJ320&lt;=$K35,AJ320&gt;0),Tarification!$D$10,0)))</f>
        <v>0</v>
      </c>
      <c r="AK610" s="37">
        <f>IF(AND(AK320&lt;=$I35,AK320&gt;$J35),Tarification!$D$8,IF(AND(AK320&lt;=$J35,AK320&gt;$K35),Tarification!$D$9,IF(AND(AK320&lt;=$K35,AK320&gt;0),Tarification!$D$10,0)))</f>
        <v>0</v>
      </c>
      <c r="AL610" s="37">
        <f>IF(AND(AL320&lt;=$I35,AL320&gt;$J35),Tarification!$D$8,IF(AND(AL320&lt;=$J35,AL320&gt;$K35),Tarification!$D$9,IF(AND(AL320&lt;=$K35,AL320&gt;0),Tarification!$D$10,0)))</f>
        <v>0</v>
      </c>
      <c r="AM610" s="37">
        <f>IF(AND(AM320&lt;=$I35,AM320&gt;$J35),Tarification!$D$8,IF(AND(AM320&lt;=$J35,AM320&gt;$K35),Tarification!$D$9,IF(AND(AM320&lt;=$K35,AM320&gt;0),Tarification!$D$10,0)))</f>
        <v>0</v>
      </c>
      <c r="AN610" s="37">
        <f>IF(AND(AN320&lt;=$I35,AN320&gt;$J35),Tarification!$D$8,IF(AND(AN320&lt;=$J35,AN320&gt;$K35),Tarification!$D$9,IF(AND(AN320&lt;=$K35,AN320&gt;0),Tarification!$D$10,0)))</f>
        <v>125000</v>
      </c>
      <c r="AQ610" s="101">
        <f t="shared" si="148"/>
        <v>25000</v>
      </c>
    </row>
    <row r="611" spans="14:43" ht="15.6">
      <c r="N611" s="39" t="s">
        <v>26</v>
      </c>
      <c r="O611" s="39" t="s">
        <v>227</v>
      </c>
      <c r="P611" t="s">
        <v>648</v>
      </c>
      <c r="Q611" s="39"/>
      <c r="V611" s="37">
        <f>IF(AND(V321&lt;=$I36,V321&gt;$J36),Tarification!$D$8,IF(AND(V321&lt;=$J36,V321&gt;$K36),Tarification!$D$9,IF(AND(V321&lt;=$K36,V321&gt;0),Tarification!$D$10,0)))</f>
        <v>0</v>
      </c>
      <c r="W611" s="37">
        <f>IF(AND(W321&lt;=$I36,W321&gt;$J36),Tarification!$D$8,IF(AND(W321&lt;=$J36,W321&gt;$K36),Tarification!$D$9,IF(AND(W321&lt;=$K36,W321&gt;0),Tarification!$D$10,0)))</f>
        <v>0</v>
      </c>
      <c r="X611" s="37">
        <f>IF(AND(X321&lt;=$I36,X321&gt;$J36),Tarification!$D$8,IF(AND(X321&lt;=$J36,X321&gt;$K36),Tarification!$D$9,IF(AND(X321&lt;=$K36,X321&gt;0),Tarification!$D$10,0)))</f>
        <v>0</v>
      </c>
      <c r="Y611" s="37">
        <f>IF(AND(Y321&lt;=$I36,Y321&gt;$J36),Tarification!$D$8,IF(AND(Y321&lt;=$J36,Y321&gt;$K36),Tarification!$D$9,IF(AND(Y321&lt;=$K36,Y321&gt;0),Tarification!$D$10,0)))</f>
        <v>0</v>
      </c>
      <c r="Z611" s="37">
        <f>IF(AND(Z321&lt;=$I36,Z321&gt;$J36),Tarification!$D$8,IF(AND(Z321&lt;=$J36,Z321&gt;$K36),Tarification!$D$9,IF(AND(Z321&lt;=$K36,Z321&gt;0),Tarification!$D$10,0)))</f>
        <v>0</v>
      </c>
      <c r="AA611" s="37">
        <f>IF(AND(AA321&lt;=$I36,AA321&gt;$J36),Tarification!$D$8,IF(AND(AA321&lt;=$J36,AA321&gt;$K36),Tarification!$D$9,IF(AND(AA321&lt;=$K36,AA321&gt;0),Tarification!$D$10,0)))</f>
        <v>0</v>
      </c>
      <c r="AB611" s="37">
        <f>IF(AND(AB321&lt;=$I36,AB321&gt;$J36),Tarification!$D$8,IF(AND(AB321&lt;=$J36,AB321&gt;$K36),Tarification!$D$9,IF(AND(AB321&lt;=$K36,AB321&gt;0),Tarification!$D$10,0)))</f>
        <v>0</v>
      </c>
      <c r="AC611" s="37">
        <f>IF(AND(AC321&lt;=$I36,AC321&gt;$J36),Tarification!$D$8,IF(AND(AC321&lt;=$J36,AC321&gt;$K36),Tarification!$D$9,IF(AND(AC321&lt;=$K36,AC321&gt;0),Tarification!$D$10,0)))</f>
        <v>0</v>
      </c>
      <c r="AD611" s="37">
        <f>IF(AND(AD321&lt;=$I36,AD321&gt;$J36),Tarification!$D$8,IF(AND(AD321&lt;=$J36,AD321&gt;$K36),Tarification!$D$9,IF(AND(AD321&lt;=$K36,AD321&gt;0),Tarification!$D$10,0)))</f>
        <v>0</v>
      </c>
      <c r="AE611" s="37">
        <f>IF(AND(AE321&lt;=$I36,AE321&gt;$J36),Tarification!$D$8,IF(AND(AE321&lt;=$J36,AE321&gt;$K36),Tarification!$D$9,IF(AND(AE321&lt;=$K36,AE321&gt;0),Tarification!$D$10,0)))</f>
        <v>0</v>
      </c>
      <c r="AF611" s="37">
        <f>IF(AND(AF321&lt;=$I36,AF321&gt;$J36),Tarification!$D$8,IF(AND(AF321&lt;=$J36,AF321&gt;$K36),Tarification!$D$9,IF(AND(AF321&lt;=$K36,AF321&gt;0),Tarification!$D$10,0)))</f>
        <v>0</v>
      </c>
      <c r="AG611" s="37">
        <f>IF(AND(AG321&lt;=$I36,AG321&gt;$J36),Tarification!$D$8,IF(AND(AG321&lt;=$J36,AG321&gt;$K36),Tarification!$D$9,IF(AND(AG321&lt;=$K36,AG321&gt;0),Tarification!$D$10,0)))</f>
        <v>0</v>
      </c>
      <c r="AH611" s="37">
        <f>IF(AND(AH321&lt;=$I36,AH321&gt;$J36),Tarification!$D$8,IF(AND(AH321&lt;=$J36,AH321&gt;$K36),Tarification!$D$9,IF(AND(AH321&lt;=$K36,AH321&gt;0),Tarification!$D$10,0)))</f>
        <v>0</v>
      </c>
      <c r="AI611" s="37">
        <f>IF(AND(AI321&lt;=$I36,AI321&gt;$J36),Tarification!$D$8,IF(AND(AI321&lt;=$J36,AI321&gt;$K36),Tarification!$D$9,IF(AND(AI321&lt;=$K36,AI321&gt;0),Tarification!$D$10,0)))</f>
        <v>0</v>
      </c>
      <c r="AJ611" s="37">
        <f>IF(AND(AJ321&lt;=$I36,AJ321&gt;$J36),Tarification!$D$8,IF(AND(AJ321&lt;=$J36,AJ321&gt;$K36),Tarification!$D$9,IF(AND(AJ321&lt;=$K36,AJ321&gt;0),Tarification!$D$10,0)))</f>
        <v>0</v>
      </c>
      <c r="AK611" s="37">
        <f>IF(AND(AK321&lt;=$I36,AK321&gt;$J36),Tarification!$D$8,IF(AND(AK321&lt;=$J36,AK321&gt;$K36),Tarification!$D$9,IF(AND(AK321&lt;=$K36,AK321&gt;0),Tarification!$D$10,0)))</f>
        <v>0</v>
      </c>
      <c r="AL611" s="37">
        <f>IF(AND(AL321&lt;=$I36,AL321&gt;$J36),Tarification!$D$8,IF(AND(AL321&lt;=$J36,AL321&gt;$K36),Tarification!$D$9,IF(AND(AL321&lt;=$K36,AL321&gt;0),Tarification!$D$10,0)))</f>
        <v>0</v>
      </c>
      <c r="AM611" s="37">
        <f>IF(AND(AM321&lt;=$I36,AM321&gt;$J36),Tarification!$D$8,IF(AND(AM321&lt;=$J36,AM321&gt;$K36),Tarification!$D$9,IF(AND(AM321&lt;=$K36,AM321&gt;0),Tarification!$D$10,0)))</f>
        <v>0</v>
      </c>
      <c r="AN611" s="37">
        <f>IF(AND(AN321&lt;=$I36,AN321&gt;$J36),Tarification!$D$8,IF(AND(AN321&lt;=$J36,AN321&gt;$K36),Tarification!$D$9,IF(AND(AN321&lt;=$K36,AN321&gt;0),Tarification!$D$10,0)))</f>
        <v>0</v>
      </c>
      <c r="AQ611" s="101">
        <f t="shared" si="148"/>
        <v>0</v>
      </c>
    </row>
    <row r="612" spans="14:43" ht="15.6">
      <c r="N612" s="39" t="s">
        <v>26</v>
      </c>
      <c r="O612" s="39" t="s">
        <v>427</v>
      </c>
      <c r="P612" t="s">
        <v>649</v>
      </c>
      <c r="Q612" s="39"/>
      <c r="V612" s="37">
        <f>IF(AND(V322&lt;=$I37,V322&gt;$J37),Tarification!$D$8,IF(AND(V322&lt;=$J37,V322&gt;$K37),Tarification!$D$9,IF(AND(V322&lt;=$K37,V322&gt;0),Tarification!$D$10,0)))</f>
        <v>0</v>
      </c>
      <c r="W612" s="37">
        <f>IF(AND(W322&lt;=$I37,W322&gt;$J37),Tarification!$D$8,IF(AND(W322&lt;=$J37,W322&gt;$K37),Tarification!$D$9,IF(AND(W322&lt;=$K37,W322&gt;0),Tarification!$D$10,0)))</f>
        <v>0</v>
      </c>
      <c r="X612" s="37">
        <f>IF(AND(X322&lt;=$I37,X322&gt;$J37),Tarification!$D$8,IF(AND(X322&lt;=$J37,X322&gt;$K37),Tarification!$D$9,IF(AND(X322&lt;=$K37,X322&gt;0),Tarification!$D$10,0)))</f>
        <v>0</v>
      </c>
      <c r="Y612" s="37">
        <f>IF(AND(Y322&lt;=$I37,Y322&gt;$J37),Tarification!$D$8,IF(AND(Y322&lt;=$J37,Y322&gt;$K37),Tarification!$D$9,IF(AND(Y322&lt;=$K37,Y322&gt;0),Tarification!$D$10,0)))</f>
        <v>0</v>
      </c>
      <c r="Z612" s="37">
        <f>IF(AND(Z322&lt;=$I37,Z322&gt;$J37),Tarification!$D$8,IF(AND(Z322&lt;=$J37,Z322&gt;$K37),Tarification!$D$9,IF(AND(Z322&lt;=$K37,Z322&gt;0),Tarification!$D$10,0)))</f>
        <v>0</v>
      </c>
      <c r="AA612" s="37">
        <f>IF(AND(AA322&lt;=$I37,AA322&gt;$J37),Tarification!$D$8,IF(AND(AA322&lt;=$J37,AA322&gt;$K37),Tarification!$D$9,IF(AND(AA322&lt;=$K37,AA322&gt;0),Tarification!$D$10,0)))</f>
        <v>0</v>
      </c>
      <c r="AB612" s="37">
        <f>IF(AND(AB322&lt;=$I37,AB322&gt;$J37),Tarification!$D$8,IF(AND(AB322&lt;=$J37,AB322&gt;$K37),Tarification!$D$9,IF(AND(AB322&lt;=$K37,AB322&gt;0),Tarification!$D$10,0)))</f>
        <v>0</v>
      </c>
      <c r="AC612" s="37">
        <f>IF(AND(AC322&lt;=$I37,AC322&gt;$J37),Tarification!$D$8,IF(AND(AC322&lt;=$J37,AC322&gt;$K37),Tarification!$D$9,IF(AND(AC322&lt;=$K37,AC322&gt;0),Tarification!$D$10,0)))</f>
        <v>0</v>
      </c>
      <c r="AD612" s="37">
        <f>IF(AND(AD322&lt;=$I37,AD322&gt;$J37),Tarification!$D$8,IF(AND(AD322&lt;=$J37,AD322&gt;$K37),Tarification!$D$9,IF(AND(AD322&lt;=$K37,AD322&gt;0),Tarification!$D$10,0)))</f>
        <v>0</v>
      </c>
      <c r="AE612" s="37">
        <f>IF(AND(AE322&lt;=$I37,AE322&gt;$J37),Tarification!$D$8,IF(AND(AE322&lt;=$J37,AE322&gt;$K37),Tarification!$D$9,IF(AND(AE322&lt;=$K37,AE322&gt;0),Tarification!$D$10,0)))</f>
        <v>0</v>
      </c>
      <c r="AF612" s="37">
        <f>IF(AND(AF322&lt;=$I37,AF322&gt;$J37),Tarification!$D$8,IF(AND(AF322&lt;=$J37,AF322&gt;$K37),Tarification!$D$9,IF(AND(AF322&lt;=$K37,AF322&gt;0),Tarification!$D$10,0)))</f>
        <v>0</v>
      </c>
      <c r="AG612" s="37">
        <f>IF(AND(AG322&lt;=$I37,AG322&gt;$J37),Tarification!$D$8,IF(AND(AG322&lt;=$J37,AG322&gt;$K37),Tarification!$D$9,IF(AND(AG322&lt;=$K37,AG322&gt;0),Tarification!$D$10,0)))</f>
        <v>0</v>
      </c>
      <c r="AH612" s="37">
        <f>IF(AND(AH322&lt;=$I37,AH322&gt;$J37),Tarification!$D$8,IF(AND(AH322&lt;=$J37,AH322&gt;$K37),Tarification!$D$9,IF(AND(AH322&lt;=$K37,AH322&gt;0),Tarification!$D$10,0)))</f>
        <v>0</v>
      </c>
      <c r="AI612" s="37">
        <f>IF(AND(AI322&lt;=$I37,AI322&gt;$J37),Tarification!$D$8,IF(AND(AI322&lt;=$J37,AI322&gt;$K37),Tarification!$D$9,IF(AND(AI322&lt;=$K37,AI322&gt;0),Tarification!$D$10,0)))</f>
        <v>0</v>
      </c>
      <c r="AJ612" s="37">
        <f>IF(AND(AJ322&lt;=$I37,AJ322&gt;$J37),Tarification!$D$8,IF(AND(AJ322&lt;=$J37,AJ322&gt;$K37),Tarification!$D$9,IF(AND(AJ322&lt;=$K37,AJ322&gt;0),Tarification!$D$10,0)))</f>
        <v>0</v>
      </c>
      <c r="AK612" s="37">
        <f>IF(AND(AK322&lt;=$I37,AK322&gt;$J37),Tarification!$D$8,IF(AND(AK322&lt;=$J37,AK322&gt;$K37),Tarification!$D$9,IF(AND(AK322&lt;=$K37,AK322&gt;0),Tarification!$D$10,0)))</f>
        <v>0</v>
      </c>
      <c r="AL612" s="37">
        <f>IF(AND(AL322&lt;=$I37,AL322&gt;$J37),Tarification!$D$8,IF(AND(AL322&lt;=$J37,AL322&gt;$K37),Tarification!$D$9,IF(AND(AL322&lt;=$K37,AL322&gt;0),Tarification!$D$10,0)))</f>
        <v>0</v>
      </c>
      <c r="AM612" s="37">
        <f>IF(AND(AM322&lt;=$I37,AM322&gt;$J37),Tarification!$D$8,IF(AND(AM322&lt;=$J37,AM322&gt;$K37),Tarification!$D$9,IF(AND(AM322&lt;=$K37,AM322&gt;0),Tarification!$D$10,0)))</f>
        <v>0</v>
      </c>
      <c r="AN612" s="37">
        <f>IF(AND(AN322&lt;=$I37,AN322&gt;$J37),Tarification!$D$8,IF(AND(AN322&lt;=$J37,AN322&gt;$K37),Tarification!$D$9,IF(AND(AN322&lt;=$K37,AN322&gt;0),Tarification!$D$10,0)))</f>
        <v>0</v>
      </c>
      <c r="AQ612" s="101">
        <f t="shared" si="148"/>
        <v>0</v>
      </c>
    </row>
    <row r="613" spans="14:43" ht="15.6">
      <c r="N613" s="39" t="s">
        <v>26</v>
      </c>
      <c r="O613" s="39" t="s">
        <v>505</v>
      </c>
      <c r="P613" t="s">
        <v>650</v>
      </c>
      <c r="Q613" s="39"/>
      <c r="V613" s="37">
        <f>IF(AND(V323&lt;=$I38,V323&gt;$J38),Tarification!$D$8,IF(AND(V323&lt;=$J38,V323&gt;$K38),Tarification!$D$9,IF(AND(V323&lt;=$K38,V323&gt;0),Tarification!$D$10,0)))</f>
        <v>0</v>
      </c>
      <c r="W613" s="37">
        <f>IF(AND(W323&lt;=$I38,W323&gt;$J38),Tarification!$D$8,IF(AND(W323&lt;=$J38,W323&gt;$K38),Tarification!$D$9,IF(AND(W323&lt;=$K38,W323&gt;0),Tarification!$D$10,0)))</f>
        <v>50000</v>
      </c>
      <c r="X613" s="37">
        <f>IF(AND(X323&lt;=$I38,X323&gt;$J38),Tarification!$D$8,IF(AND(X323&lt;=$J38,X323&gt;$K38),Tarification!$D$9,IF(AND(X323&lt;=$K38,X323&gt;0),Tarification!$D$10,0)))</f>
        <v>0</v>
      </c>
      <c r="Y613" s="37">
        <f>IF(AND(Y323&lt;=$I38,Y323&gt;$J38),Tarification!$D$8,IF(AND(Y323&lt;=$J38,Y323&gt;$K38),Tarification!$D$9,IF(AND(Y323&lt;=$K38,Y323&gt;0),Tarification!$D$10,0)))</f>
        <v>0</v>
      </c>
      <c r="Z613" s="37">
        <f>IF(AND(Z323&lt;=$I38,Z323&gt;$J38),Tarification!$D$8,IF(AND(Z323&lt;=$J38,Z323&gt;$K38),Tarification!$D$9,IF(AND(Z323&lt;=$K38,Z323&gt;0),Tarification!$D$10,0)))</f>
        <v>0</v>
      </c>
      <c r="AA613" s="37">
        <f>IF(AND(AA323&lt;=$I38,AA323&gt;$J38),Tarification!$D$8,IF(AND(AA323&lt;=$J38,AA323&gt;$K38),Tarification!$D$9,IF(AND(AA323&lt;=$K38,AA323&gt;0),Tarification!$D$10,0)))</f>
        <v>0</v>
      </c>
      <c r="AB613" s="37">
        <f>IF(AND(AB323&lt;=$I38,AB323&gt;$J38),Tarification!$D$8,IF(AND(AB323&lt;=$J38,AB323&gt;$K38),Tarification!$D$9,IF(AND(AB323&lt;=$K38,AB323&gt;0),Tarification!$D$10,0)))</f>
        <v>0</v>
      </c>
      <c r="AC613" s="37">
        <f>IF(AND(AC323&lt;=$I38,AC323&gt;$J38),Tarification!$D$8,IF(AND(AC323&lt;=$J38,AC323&gt;$K38),Tarification!$D$9,IF(AND(AC323&lt;=$K38,AC323&gt;0),Tarification!$D$10,0)))</f>
        <v>0</v>
      </c>
      <c r="AD613" s="37">
        <f>IF(AND(AD323&lt;=$I38,AD323&gt;$J38),Tarification!$D$8,IF(AND(AD323&lt;=$J38,AD323&gt;$K38),Tarification!$D$9,IF(AND(AD323&lt;=$K38,AD323&gt;0),Tarification!$D$10,0)))</f>
        <v>0</v>
      </c>
      <c r="AE613" s="37">
        <f>IF(AND(AE323&lt;=$I38,AE323&gt;$J38),Tarification!$D$8,IF(AND(AE323&lt;=$J38,AE323&gt;$K38),Tarification!$D$9,IF(AND(AE323&lt;=$K38,AE323&gt;0),Tarification!$D$10,0)))</f>
        <v>125000</v>
      </c>
      <c r="AF613" s="37">
        <f>IF(AND(AF323&lt;=$I38,AF323&gt;$J38),Tarification!$D$8,IF(AND(AF323&lt;=$J38,AF323&gt;$K38),Tarification!$D$9,IF(AND(AF323&lt;=$K38,AF323&gt;0),Tarification!$D$10,0)))</f>
        <v>0</v>
      </c>
      <c r="AG613" s="37">
        <f>IF(AND(AG323&lt;=$I38,AG323&gt;$J38),Tarification!$D$8,IF(AND(AG323&lt;=$J38,AG323&gt;$K38),Tarification!$D$9,IF(AND(AG323&lt;=$K38,AG323&gt;0),Tarification!$D$10,0)))</f>
        <v>0</v>
      </c>
      <c r="AH613" s="37">
        <f>IF(AND(AH323&lt;=$I38,AH323&gt;$J38),Tarification!$D$8,IF(AND(AH323&lt;=$J38,AH323&gt;$K38),Tarification!$D$9,IF(AND(AH323&lt;=$K38,AH323&gt;0),Tarification!$D$10,0)))</f>
        <v>0</v>
      </c>
      <c r="AI613" s="37">
        <f>IF(AND(AI323&lt;=$I38,AI323&gt;$J38),Tarification!$D$8,IF(AND(AI323&lt;=$J38,AI323&gt;$K38),Tarification!$D$9,IF(AND(AI323&lt;=$K38,AI323&gt;0),Tarification!$D$10,0)))</f>
        <v>50000</v>
      </c>
      <c r="AJ613" s="37">
        <f>IF(AND(AJ323&lt;=$I38,AJ323&gt;$J38),Tarification!$D$8,IF(AND(AJ323&lt;=$J38,AJ323&gt;$K38),Tarification!$D$9,IF(AND(AJ323&lt;=$K38,AJ323&gt;0),Tarification!$D$10,0)))</f>
        <v>0</v>
      </c>
      <c r="AK613" s="37">
        <f>IF(AND(AK323&lt;=$I38,AK323&gt;$J38),Tarification!$D$8,IF(AND(AK323&lt;=$J38,AK323&gt;$K38),Tarification!$D$9,IF(AND(AK323&lt;=$K38,AK323&gt;0),Tarification!$D$10,0)))</f>
        <v>0</v>
      </c>
      <c r="AL613" s="37">
        <f>IF(AND(AL323&lt;=$I38,AL323&gt;$J38),Tarification!$D$8,IF(AND(AL323&lt;=$J38,AL323&gt;$K38),Tarification!$D$9,IF(AND(AL323&lt;=$K38,AL323&gt;0),Tarification!$D$10,0)))</f>
        <v>0</v>
      </c>
      <c r="AM613" s="37">
        <f>IF(AND(AM323&lt;=$I38,AM323&gt;$J38),Tarification!$D$8,IF(AND(AM323&lt;=$J38,AM323&gt;$K38),Tarification!$D$9,IF(AND(AM323&lt;=$K38,AM323&gt;0),Tarification!$D$10,0)))</f>
        <v>0</v>
      </c>
      <c r="AN613" s="37">
        <f>IF(AND(AN323&lt;=$I38,AN323&gt;$J38),Tarification!$D$8,IF(AND(AN323&lt;=$J38,AN323&gt;$K38),Tarification!$D$9,IF(AND(AN323&lt;=$K38,AN323&gt;0),Tarification!$D$10,0)))</f>
        <v>0</v>
      </c>
      <c r="AQ613" s="101">
        <f t="shared" si="148"/>
        <v>11842.105263157895</v>
      </c>
    </row>
    <row r="614" spans="14:43" ht="15.6">
      <c r="N614" s="39" t="s">
        <v>26</v>
      </c>
      <c r="O614" s="39" t="s">
        <v>429</v>
      </c>
      <c r="P614" t="s">
        <v>651</v>
      </c>
      <c r="Q614" s="39"/>
      <c r="V614" s="37">
        <f>IF(AND(V324&lt;=$I39,V324&gt;$J39),Tarification!$D$8,IF(AND(V324&lt;=$J39,V324&gt;$K39),Tarification!$D$9,IF(AND(V324&lt;=$K39,V324&gt;0),Tarification!$D$10,0)))</f>
        <v>0</v>
      </c>
      <c r="W614" s="37">
        <f>IF(AND(W324&lt;=$I39,W324&gt;$J39),Tarification!$D$8,IF(AND(W324&lt;=$J39,W324&gt;$K39),Tarification!$D$9,IF(AND(W324&lt;=$K39,W324&gt;0),Tarification!$D$10,0)))</f>
        <v>0</v>
      </c>
      <c r="X614" s="37">
        <f>IF(AND(X324&lt;=$I39,X324&gt;$J39),Tarification!$D$8,IF(AND(X324&lt;=$J39,X324&gt;$K39),Tarification!$D$9,IF(AND(X324&lt;=$K39,X324&gt;0),Tarification!$D$10,0)))</f>
        <v>0</v>
      </c>
      <c r="Y614" s="37">
        <f>IF(AND(Y324&lt;=$I39,Y324&gt;$J39),Tarification!$D$8,IF(AND(Y324&lt;=$J39,Y324&gt;$K39),Tarification!$D$9,IF(AND(Y324&lt;=$K39,Y324&gt;0),Tarification!$D$10,0)))</f>
        <v>0</v>
      </c>
      <c r="Z614" s="37">
        <f>IF(AND(Z324&lt;=$I39,Z324&gt;$J39),Tarification!$D$8,IF(AND(Z324&lt;=$J39,Z324&gt;$K39),Tarification!$D$9,IF(AND(Z324&lt;=$K39,Z324&gt;0),Tarification!$D$10,0)))</f>
        <v>0</v>
      </c>
      <c r="AA614" s="37">
        <f>IF(AND(AA324&lt;=$I39,AA324&gt;$J39),Tarification!$D$8,IF(AND(AA324&lt;=$J39,AA324&gt;$K39),Tarification!$D$9,IF(AND(AA324&lt;=$K39,AA324&gt;0),Tarification!$D$10,0)))</f>
        <v>0</v>
      </c>
      <c r="AB614" s="37">
        <f>IF(AND(AB324&lt;=$I39,AB324&gt;$J39),Tarification!$D$8,IF(AND(AB324&lt;=$J39,AB324&gt;$K39),Tarification!$D$9,IF(AND(AB324&lt;=$K39,AB324&gt;0),Tarification!$D$10,0)))</f>
        <v>0</v>
      </c>
      <c r="AC614" s="37">
        <f>IF(AND(AC324&lt;=$I39,AC324&gt;$J39),Tarification!$D$8,IF(AND(AC324&lt;=$J39,AC324&gt;$K39),Tarification!$D$9,IF(AND(AC324&lt;=$K39,AC324&gt;0),Tarification!$D$10,0)))</f>
        <v>0</v>
      </c>
      <c r="AD614" s="37">
        <f>IF(AND(AD324&lt;=$I39,AD324&gt;$J39),Tarification!$D$8,IF(AND(AD324&lt;=$J39,AD324&gt;$K39),Tarification!$D$9,IF(AND(AD324&lt;=$K39,AD324&gt;0),Tarification!$D$10,0)))</f>
        <v>0</v>
      </c>
      <c r="AE614" s="37">
        <f>IF(AND(AE324&lt;=$I39,AE324&gt;$J39),Tarification!$D$8,IF(AND(AE324&lt;=$J39,AE324&gt;$K39),Tarification!$D$9,IF(AND(AE324&lt;=$K39,AE324&gt;0),Tarification!$D$10,0)))</f>
        <v>0</v>
      </c>
      <c r="AF614" s="37">
        <f>IF(AND(AF324&lt;=$I39,AF324&gt;$J39),Tarification!$D$8,IF(AND(AF324&lt;=$J39,AF324&gt;$K39),Tarification!$D$9,IF(AND(AF324&lt;=$K39,AF324&gt;0),Tarification!$D$10,0)))</f>
        <v>0</v>
      </c>
      <c r="AG614" s="37">
        <f>IF(AND(AG324&lt;=$I39,AG324&gt;$J39),Tarification!$D$8,IF(AND(AG324&lt;=$J39,AG324&gt;$K39),Tarification!$D$9,IF(AND(AG324&lt;=$K39,AG324&gt;0),Tarification!$D$10,0)))</f>
        <v>0</v>
      </c>
      <c r="AH614" s="37">
        <f>IF(AND(AH324&lt;=$I39,AH324&gt;$J39),Tarification!$D$8,IF(AND(AH324&lt;=$J39,AH324&gt;$K39),Tarification!$D$9,IF(AND(AH324&lt;=$K39,AH324&gt;0),Tarification!$D$10,0)))</f>
        <v>0</v>
      </c>
      <c r="AI614" s="37">
        <f>IF(AND(AI324&lt;=$I39,AI324&gt;$J39),Tarification!$D$8,IF(AND(AI324&lt;=$J39,AI324&gt;$K39),Tarification!$D$9,IF(AND(AI324&lt;=$K39,AI324&gt;0),Tarification!$D$10,0)))</f>
        <v>0</v>
      </c>
      <c r="AJ614" s="37">
        <f>IF(AND(AJ324&lt;=$I39,AJ324&gt;$J39),Tarification!$D$8,IF(AND(AJ324&lt;=$J39,AJ324&gt;$K39),Tarification!$D$9,IF(AND(AJ324&lt;=$K39,AJ324&gt;0),Tarification!$D$10,0)))</f>
        <v>0</v>
      </c>
      <c r="AK614" s="37">
        <f>IF(AND(AK324&lt;=$I39,AK324&gt;$J39),Tarification!$D$8,IF(AND(AK324&lt;=$J39,AK324&gt;$K39),Tarification!$D$9,IF(AND(AK324&lt;=$K39,AK324&gt;0),Tarification!$D$10,0)))</f>
        <v>0</v>
      </c>
      <c r="AL614" s="37">
        <f>IF(AND(AL324&lt;=$I39,AL324&gt;$J39),Tarification!$D$8,IF(AND(AL324&lt;=$J39,AL324&gt;$K39),Tarification!$D$9,IF(AND(AL324&lt;=$K39,AL324&gt;0),Tarification!$D$10,0)))</f>
        <v>0</v>
      </c>
      <c r="AM614" s="37">
        <f>IF(AND(AM324&lt;=$I39,AM324&gt;$J39),Tarification!$D$8,IF(AND(AM324&lt;=$J39,AM324&gt;$K39),Tarification!$D$9,IF(AND(AM324&lt;=$K39,AM324&gt;0),Tarification!$D$10,0)))</f>
        <v>0</v>
      </c>
      <c r="AN614" s="37">
        <f>IF(AND(AN324&lt;=$I39,AN324&gt;$J39),Tarification!$D$8,IF(AND(AN324&lt;=$J39,AN324&gt;$K39),Tarification!$D$9,IF(AND(AN324&lt;=$K39,AN324&gt;0),Tarification!$D$10,0)))</f>
        <v>0</v>
      </c>
      <c r="AQ614" s="101">
        <f t="shared" si="148"/>
        <v>0</v>
      </c>
    </row>
    <row r="615" spans="14:43" ht="15.6">
      <c r="N615" s="39" t="s">
        <v>26</v>
      </c>
      <c r="O615" s="39" t="s">
        <v>508</v>
      </c>
      <c r="P615" s="91" t="s">
        <v>652</v>
      </c>
      <c r="Q615" s="39"/>
      <c r="V615" s="37">
        <f>IF(AND(V325&lt;=$I40,V325&gt;$J40),Tarification!$D$8,IF(AND(V325&lt;=$J40,V325&gt;$K40),Tarification!$D$9,IF(AND(V325&lt;=$K40,V325&gt;0),Tarification!$D$10,0)))</f>
        <v>0</v>
      </c>
      <c r="W615" s="37">
        <f>IF(AND(W325&lt;=$I40,W325&gt;$J40),Tarification!$D$8,IF(AND(W325&lt;=$J40,W325&gt;$K40),Tarification!$D$9,IF(AND(W325&lt;=$K40,W325&gt;0),Tarification!$D$10,0)))</f>
        <v>50000</v>
      </c>
      <c r="X615" s="37">
        <f>IF(AND(X325&lt;=$I40,X325&gt;$J40),Tarification!$D$8,IF(AND(X325&lt;=$J40,X325&gt;$K40),Tarification!$D$9,IF(AND(X325&lt;=$K40,X325&gt;0),Tarification!$D$10,0)))</f>
        <v>0</v>
      </c>
      <c r="Y615" s="37">
        <f>IF(AND(Y325&lt;=$I40,Y325&gt;$J40),Tarification!$D$8,IF(AND(Y325&lt;=$J40,Y325&gt;$K40),Tarification!$D$9,IF(AND(Y325&lt;=$K40,Y325&gt;0),Tarification!$D$10,0)))</f>
        <v>0</v>
      </c>
      <c r="Z615" s="37">
        <f>IF(AND(Z325&lt;=$I40,Z325&gt;$J40),Tarification!$D$8,IF(AND(Z325&lt;=$J40,Z325&gt;$K40),Tarification!$D$9,IF(AND(Z325&lt;=$K40,Z325&gt;0),Tarification!$D$10,0)))</f>
        <v>0</v>
      </c>
      <c r="AA615" s="37">
        <f>IF(AND(AA325&lt;=$I40,AA325&gt;$J40),Tarification!$D$8,IF(AND(AA325&lt;=$J40,AA325&gt;$K40),Tarification!$D$9,IF(AND(AA325&lt;=$K40,AA325&gt;0),Tarification!$D$10,0)))</f>
        <v>0</v>
      </c>
      <c r="AB615" s="37">
        <f>IF(AND(AB325&lt;=$I40,AB325&gt;$J40),Tarification!$D$8,IF(AND(AB325&lt;=$J40,AB325&gt;$K40),Tarification!$D$9,IF(AND(AB325&lt;=$K40,AB325&gt;0),Tarification!$D$10,0)))</f>
        <v>0</v>
      </c>
      <c r="AC615" s="37">
        <f>IF(AND(AC325&lt;=$I40,AC325&gt;$J40),Tarification!$D$8,IF(AND(AC325&lt;=$J40,AC325&gt;$K40),Tarification!$D$9,IF(AND(AC325&lt;=$K40,AC325&gt;0),Tarification!$D$10,0)))</f>
        <v>0</v>
      </c>
      <c r="AD615" s="37">
        <f>IF(AND(AD325&lt;=$I40,AD325&gt;$J40),Tarification!$D$8,IF(AND(AD325&lt;=$J40,AD325&gt;$K40),Tarification!$D$9,IF(AND(AD325&lt;=$K40,AD325&gt;0),Tarification!$D$10,0)))</f>
        <v>0</v>
      </c>
      <c r="AE615" s="37">
        <f>IF(AND(AE325&lt;=$I40,AE325&gt;$J40),Tarification!$D$8,IF(AND(AE325&lt;=$J40,AE325&gt;$K40),Tarification!$D$9,IF(AND(AE325&lt;=$K40,AE325&gt;0),Tarification!$D$10,0)))</f>
        <v>50000</v>
      </c>
      <c r="AF615" s="37">
        <f>IF(AND(AF325&lt;=$I40,AF325&gt;$J40),Tarification!$D$8,IF(AND(AF325&lt;=$J40,AF325&gt;$K40),Tarification!$D$9,IF(AND(AF325&lt;=$K40,AF325&gt;0),Tarification!$D$10,0)))</f>
        <v>0</v>
      </c>
      <c r="AG615" s="37">
        <f>IF(AND(AG325&lt;=$I40,AG325&gt;$J40),Tarification!$D$8,IF(AND(AG325&lt;=$J40,AG325&gt;$K40),Tarification!$D$9,IF(AND(AG325&lt;=$K40,AG325&gt;0),Tarification!$D$10,0)))</f>
        <v>0</v>
      </c>
      <c r="AH615" s="37">
        <f>IF(AND(AH325&lt;=$I40,AH325&gt;$J40),Tarification!$D$8,IF(AND(AH325&lt;=$J40,AH325&gt;$K40),Tarification!$D$9,IF(AND(AH325&lt;=$K40,AH325&gt;0),Tarification!$D$10,0)))</f>
        <v>0</v>
      </c>
      <c r="AI615" s="37">
        <f>IF(AND(AI325&lt;=$I40,AI325&gt;$J40),Tarification!$D$8,IF(AND(AI325&lt;=$J40,AI325&gt;$K40),Tarification!$D$9,IF(AND(AI325&lt;=$K40,AI325&gt;0),Tarification!$D$10,0)))</f>
        <v>0</v>
      </c>
      <c r="AJ615" s="37">
        <f>IF(AND(AJ325&lt;=$I40,AJ325&gt;$J40),Tarification!$D$8,IF(AND(AJ325&lt;=$J40,AJ325&gt;$K40),Tarification!$D$9,IF(AND(AJ325&lt;=$K40,AJ325&gt;0),Tarification!$D$10,0)))</f>
        <v>0</v>
      </c>
      <c r="AK615" s="37">
        <f>IF(AND(AK325&lt;=$I40,AK325&gt;$J40),Tarification!$D$8,IF(AND(AK325&lt;=$J40,AK325&gt;$K40),Tarification!$D$9,IF(AND(AK325&lt;=$K40,AK325&gt;0),Tarification!$D$10,0)))</f>
        <v>0</v>
      </c>
      <c r="AL615" s="37">
        <f>IF(AND(AL325&lt;=$I40,AL325&gt;$J40),Tarification!$D$8,IF(AND(AL325&lt;=$J40,AL325&gt;$K40),Tarification!$D$9,IF(AND(AL325&lt;=$K40,AL325&gt;0),Tarification!$D$10,0)))</f>
        <v>0</v>
      </c>
      <c r="AM615" s="37">
        <f>IF(AND(AM325&lt;=$I40,AM325&gt;$J40),Tarification!$D$8,IF(AND(AM325&lt;=$J40,AM325&gt;$K40),Tarification!$D$9,IF(AND(AM325&lt;=$K40,AM325&gt;0),Tarification!$D$10,0)))</f>
        <v>0</v>
      </c>
      <c r="AN615" s="37">
        <f>IF(AND(AN325&lt;=$I40,AN325&gt;$J40),Tarification!$D$8,IF(AND(AN325&lt;=$J40,AN325&gt;$K40),Tarification!$D$9,IF(AND(AN325&lt;=$K40,AN325&gt;0),Tarification!$D$10,0)))</f>
        <v>50000</v>
      </c>
      <c r="AQ615" s="101">
        <f t="shared" si="148"/>
        <v>7894.7368421052633</v>
      </c>
    </row>
    <row r="616" spans="14:43" ht="15.6">
      <c r="N616" s="39" t="s">
        <v>26</v>
      </c>
      <c r="O616" s="39" t="s">
        <v>508</v>
      </c>
      <c r="P616" t="s">
        <v>653</v>
      </c>
      <c r="Q616" s="39"/>
      <c r="V616" s="37">
        <f>IF(AND(V326&lt;=$I41,V326&gt;$J41),Tarification!$D$8,IF(AND(V326&lt;=$J41,V326&gt;$K41),Tarification!$D$9,IF(AND(V326&lt;=$K41,V326&gt;0),Tarification!$D$10,0)))</f>
        <v>0</v>
      </c>
      <c r="W616" s="37">
        <f>IF(AND(W326&lt;=$I41,W326&gt;$J41),Tarification!$D$8,IF(AND(W326&lt;=$J41,W326&gt;$K41),Tarification!$D$9,IF(AND(W326&lt;=$K41,W326&gt;0),Tarification!$D$10,0)))</f>
        <v>125000</v>
      </c>
      <c r="X616" s="37">
        <f>IF(AND(X326&lt;=$I41,X326&gt;$J41),Tarification!$D$8,IF(AND(X326&lt;=$J41,X326&gt;$K41),Tarification!$D$9,IF(AND(X326&lt;=$K41,X326&gt;0),Tarification!$D$10,0)))</f>
        <v>0</v>
      </c>
      <c r="Y616" s="37">
        <f>IF(AND(Y326&lt;=$I41,Y326&gt;$J41),Tarification!$D$8,IF(AND(Y326&lt;=$J41,Y326&gt;$K41),Tarification!$D$9,IF(AND(Y326&lt;=$K41,Y326&gt;0),Tarification!$D$10,0)))</f>
        <v>0</v>
      </c>
      <c r="Z616" s="37">
        <f>IF(AND(Z326&lt;=$I41,Z326&gt;$J41),Tarification!$D$8,IF(AND(Z326&lt;=$J41,Z326&gt;$K41),Tarification!$D$9,IF(AND(Z326&lt;=$K41,Z326&gt;0),Tarification!$D$10,0)))</f>
        <v>0</v>
      </c>
      <c r="AA616" s="37">
        <f>IF(AND(AA326&lt;=$I41,AA326&gt;$J41),Tarification!$D$8,IF(AND(AA326&lt;=$J41,AA326&gt;$K41),Tarification!$D$9,IF(AND(AA326&lt;=$K41,AA326&gt;0),Tarification!$D$10,0)))</f>
        <v>0</v>
      </c>
      <c r="AB616" s="37">
        <f>IF(AND(AB326&lt;=$I41,AB326&gt;$J41),Tarification!$D$8,IF(AND(AB326&lt;=$J41,AB326&gt;$K41),Tarification!$D$9,IF(AND(AB326&lt;=$K41,AB326&gt;0),Tarification!$D$10,0)))</f>
        <v>0</v>
      </c>
      <c r="AC616" s="37">
        <f>IF(AND(AC326&lt;=$I41,AC326&gt;$J41),Tarification!$D$8,IF(AND(AC326&lt;=$J41,AC326&gt;$K41),Tarification!$D$9,IF(AND(AC326&lt;=$K41,AC326&gt;0),Tarification!$D$10,0)))</f>
        <v>50000</v>
      </c>
      <c r="AD616" s="37">
        <f>IF(AND(AD326&lt;=$I41,AD326&gt;$J41),Tarification!$D$8,IF(AND(AD326&lt;=$J41,AD326&gt;$K41),Tarification!$D$9,IF(AND(AD326&lt;=$K41,AD326&gt;0),Tarification!$D$10,0)))</f>
        <v>0</v>
      </c>
      <c r="AE616" s="37">
        <f>IF(AND(AE326&lt;=$I41,AE326&gt;$J41),Tarification!$D$8,IF(AND(AE326&lt;=$J41,AE326&gt;$K41),Tarification!$D$9,IF(AND(AE326&lt;=$K41,AE326&gt;0),Tarification!$D$10,0)))</f>
        <v>125000</v>
      </c>
      <c r="AF616" s="37">
        <f>IF(AND(AF326&lt;=$I41,AF326&gt;$J41),Tarification!$D$8,IF(AND(AF326&lt;=$J41,AF326&gt;$K41),Tarification!$D$9,IF(AND(AF326&lt;=$K41,AF326&gt;0),Tarification!$D$10,0)))</f>
        <v>0</v>
      </c>
      <c r="AG616" s="37">
        <f>IF(AND(AG326&lt;=$I41,AG326&gt;$J41),Tarification!$D$8,IF(AND(AG326&lt;=$J41,AG326&gt;$K41),Tarification!$D$9,IF(AND(AG326&lt;=$K41,AG326&gt;0),Tarification!$D$10,0)))</f>
        <v>0</v>
      </c>
      <c r="AH616" s="37">
        <f>IF(AND(AH326&lt;=$I41,AH326&gt;$J41),Tarification!$D$8,IF(AND(AH326&lt;=$J41,AH326&gt;$K41),Tarification!$D$9,IF(AND(AH326&lt;=$K41,AH326&gt;0),Tarification!$D$10,0)))</f>
        <v>0</v>
      </c>
      <c r="AI616" s="37">
        <f>IF(AND(AI326&lt;=$I41,AI326&gt;$J41),Tarification!$D$8,IF(AND(AI326&lt;=$J41,AI326&gt;$K41),Tarification!$D$9,IF(AND(AI326&lt;=$K41,AI326&gt;0),Tarification!$D$10,0)))</f>
        <v>0</v>
      </c>
      <c r="AJ616" s="37">
        <f>IF(AND(AJ326&lt;=$I41,AJ326&gt;$J41),Tarification!$D$8,IF(AND(AJ326&lt;=$J41,AJ326&gt;$K41),Tarification!$D$9,IF(AND(AJ326&lt;=$K41,AJ326&gt;0),Tarification!$D$10,0)))</f>
        <v>0</v>
      </c>
      <c r="AK616" s="37">
        <f>IF(AND(AK326&lt;=$I41,AK326&gt;$J41),Tarification!$D$8,IF(AND(AK326&lt;=$J41,AK326&gt;$K41),Tarification!$D$9,IF(AND(AK326&lt;=$K41,AK326&gt;0),Tarification!$D$10,0)))</f>
        <v>0</v>
      </c>
      <c r="AL616" s="37">
        <f>IF(AND(AL326&lt;=$I41,AL326&gt;$J41),Tarification!$D$8,IF(AND(AL326&lt;=$J41,AL326&gt;$K41),Tarification!$D$9,IF(AND(AL326&lt;=$K41,AL326&gt;0),Tarification!$D$10,0)))</f>
        <v>0</v>
      </c>
      <c r="AM616" s="37">
        <f>IF(AND(AM326&lt;=$I41,AM326&gt;$J41),Tarification!$D$8,IF(AND(AM326&lt;=$J41,AM326&gt;$K41),Tarification!$D$9,IF(AND(AM326&lt;=$K41,AM326&gt;0),Tarification!$D$10,0)))</f>
        <v>0</v>
      </c>
      <c r="AN616" s="37">
        <f>IF(AND(AN326&lt;=$I41,AN326&gt;$J41),Tarification!$D$8,IF(AND(AN326&lt;=$J41,AN326&gt;$K41),Tarification!$D$9,IF(AND(AN326&lt;=$K41,AN326&gt;0),Tarification!$D$10,0)))</f>
        <v>125000</v>
      </c>
      <c r="AQ616" s="101">
        <f t="shared" si="148"/>
        <v>22368.42105263158</v>
      </c>
    </row>
    <row r="617" spans="14:43" ht="15.6">
      <c r="N617" s="39" t="s">
        <v>26</v>
      </c>
      <c r="O617" s="39" t="s">
        <v>508</v>
      </c>
      <c r="P617" t="s">
        <v>654</v>
      </c>
      <c r="Q617" s="39"/>
      <c r="V617" s="37">
        <f>IF(AND(V327&lt;=$I42,V327&gt;$J42),Tarification!$D$8,IF(AND(V327&lt;=$J42,V327&gt;$K42),Tarification!$D$9,IF(AND(V327&lt;=$K42,V327&gt;0),Tarification!$D$10,0)))</f>
        <v>0</v>
      </c>
      <c r="W617" s="37">
        <f>IF(AND(W327&lt;=$I42,W327&gt;$J42),Tarification!$D$8,IF(AND(W327&lt;=$J42,W327&gt;$K42),Tarification!$D$9,IF(AND(W327&lt;=$K42,W327&gt;0),Tarification!$D$10,0)))</f>
        <v>125000</v>
      </c>
      <c r="X617" s="37">
        <f>IF(AND(X327&lt;=$I42,X327&gt;$J42),Tarification!$D$8,IF(AND(X327&lt;=$J42,X327&gt;$K42),Tarification!$D$9,IF(AND(X327&lt;=$K42,X327&gt;0),Tarification!$D$10,0)))</f>
        <v>0</v>
      </c>
      <c r="Y617" s="37">
        <f>IF(AND(Y327&lt;=$I42,Y327&gt;$J42),Tarification!$D$8,IF(AND(Y327&lt;=$J42,Y327&gt;$K42),Tarification!$D$9,IF(AND(Y327&lt;=$K42,Y327&gt;0),Tarification!$D$10,0)))</f>
        <v>0</v>
      </c>
      <c r="Z617" s="37">
        <f>IF(AND(Z327&lt;=$I42,Z327&gt;$J42),Tarification!$D$8,IF(AND(Z327&lt;=$J42,Z327&gt;$K42),Tarification!$D$9,IF(AND(Z327&lt;=$K42,Z327&gt;0),Tarification!$D$10,0)))</f>
        <v>0</v>
      </c>
      <c r="AA617" s="37">
        <f>IF(AND(AA327&lt;=$I42,AA327&gt;$J42),Tarification!$D$8,IF(AND(AA327&lt;=$J42,AA327&gt;$K42),Tarification!$D$9,IF(AND(AA327&lt;=$K42,AA327&gt;0),Tarification!$D$10,0)))</f>
        <v>0</v>
      </c>
      <c r="AB617" s="37">
        <f>IF(AND(AB327&lt;=$I42,AB327&gt;$J42),Tarification!$D$8,IF(AND(AB327&lt;=$J42,AB327&gt;$K42),Tarification!$D$9,IF(AND(AB327&lt;=$K42,AB327&gt;0),Tarification!$D$10,0)))</f>
        <v>0</v>
      </c>
      <c r="AC617" s="37">
        <f>IF(AND(AC327&lt;=$I42,AC327&gt;$J42),Tarification!$D$8,IF(AND(AC327&lt;=$J42,AC327&gt;$K42),Tarification!$D$9,IF(AND(AC327&lt;=$K42,AC327&gt;0),Tarification!$D$10,0)))</f>
        <v>0</v>
      </c>
      <c r="AD617" s="37">
        <f>IF(AND(AD327&lt;=$I42,AD327&gt;$J42),Tarification!$D$8,IF(AND(AD327&lt;=$J42,AD327&gt;$K42),Tarification!$D$9,IF(AND(AD327&lt;=$K42,AD327&gt;0),Tarification!$D$10,0)))</f>
        <v>0</v>
      </c>
      <c r="AE617" s="37">
        <f>IF(AND(AE327&lt;=$I42,AE327&gt;$J42),Tarification!$D$8,IF(AND(AE327&lt;=$J42,AE327&gt;$K42),Tarification!$D$9,IF(AND(AE327&lt;=$K42,AE327&gt;0),Tarification!$D$10,0)))</f>
        <v>50000</v>
      </c>
      <c r="AF617" s="37">
        <f>IF(AND(AF327&lt;=$I42,AF327&gt;$J42),Tarification!$D$8,IF(AND(AF327&lt;=$J42,AF327&gt;$K42),Tarification!$D$9,IF(AND(AF327&lt;=$K42,AF327&gt;0),Tarification!$D$10,0)))</f>
        <v>0</v>
      </c>
      <c r="AG617" s="37">
        <f>IF(AND(AG327&lt;=$I42,AG327&gt;$J42),Tarification!$D$8,IF(AND(AG327&lt;=$J42,AG327&gt;$K42),Tarification!$D$9,IF(AND(AG327&lt;=$K42,AG327&gt;0),Tarification!$D$10,0)))</f>
        <v>0</v>
      </c>
      <c r="AH617" s="37">
        <f>IF(AND(AH327&lt;=$I42,AH327&gt;$J42),Tarification!$D$8,IF(AND(AH327&lt;=$J42,AH327&gt;$K42),Tarification!$D$9,IF(AND(AH327&lt;=$K42,AH327&gt;0),Tarification!$D$10,0)))</f>
        <v>0</v>
      </c>
      <c r="AI617" s="37">
        <f>IF(AND(AI327&lt;=$I42,AI327&gt;$J42),Tarification!$D$8,IF(AND(AI327&lt;=$J42,AI327&gt;$K42),Tarification!$D$9,IF(AND(AI327&lt;=$K42,AI327&gt;0),Tarification!$D$10,0)))</f>
        <v>0</v>
      </c>
      <c r="AJ617" s="37">
        <f>IF(AND(AJ327&lt;=$I42,AJ327&gt;$J42),Tarification!$D$8,IF(AND(AJ327&lt;=$J42,AJ327&gt;$K42),Tarification!$D$9,IF(AND(AJ327&lt;=$K42,AJ327&gt;0),Tarification!$D$10,0)))</f>
        <v>0</v>
      </c>
      <c r="AK617" s="37">
        <f>IF(AND(AK327&lt;=$I42,AK327&gt;$J42),Tarification!$D$8,IF(AND(AK327&lt;=$J42,AK327&gt;$K42),Tarification!$D$9,IF(AND(AK327&lt;=$K42,AK327&gt;0),Tarification!$D$10,0)))</f>
        <v>0</v>
      </c>
      <c r="AL617" s="37">
        <f>IF(AND(AL327&lt;=$I42,AL327&gt;$J42),Tarification!$D$8,IF(AND(AL327&lt;=$J42,AL327&gt;$K42),Tarification!$D$9,IF(AND(AL327&lt;=$K42,AL327&gt;0),Tarification!$D$10,0)))</f>
        <v>0</v>
      </c>
      <c r="AM617" s="37">
        <f>IF(AND(AM327&lt;=$I42,AM327&gt;$J42),Tarification!$D$8,IF(AND(AM327&lt;=$J42,AM327&gt;$K42),Tarification!$D$9,IF(AND(AM327&lt;=$K42,AM327&gt;0),Tarification!$D$10,0)))</f>
        <v>0</v>
      </c>
      <c r="AN617" s="37">
        <f>IF(AND(AN327&lt;=$I42,AN327&gt;$J42),Tarification!$D$8,IF(AND(AN327&lt;=$J42,AN327&gt;$K42),Tarification!$D$9,IF(AND(AN327&lt;=$K42,AN327&gt;0),Tarification!$D$10,0)))</f>
        <v>50000</v>
      </c>
      <c r="AQ617" s="101">
        <f t="shared" si="148"/>
        <v>11842.105263157895</v>
      </c>
    </row>
    <row r="618" spans="14:43" ht="15.6">
      <c r="N618" s="39" t="s">
        <v>26</v>
      </c>
      <c r="O618" s="39" t="s">
        <v>240</v>
      </c>
      <c r="P618" t="s">
        <v>655</v>
      </c>
      <c r="Q618" s="39"/>
      <c r="V618" s="37">
        <f>IF(AND(V328&lt;=$I43,V328&gt;$J43),Tarification!$D$8,IF(AND(V328&lt;=$J43,V328&gt;$K43),Tarification!$D$9,IF(AND(V328&lt;=$K43,V328&gt;0),Tarification!$D$10,0)))</f>
        <v>0</v>
      </c>
      <c r="W618" s="37">
        <f>IF(AND(W328&lt;=$I43,W328&gt;$J43),Tarification!$D$8,IF(AND(W328&lt;=$J43,W328&gt;$K43),Tarification!$D$9,IF(AND(W328&lt;=$K43,W328&gt;0),Tarification!$D$10,0)))</f>
        <v>0</v>
      </c>
      <c r="X618" s="37">
        <f>IF(AND(X328&lt;=$I43,X328&gt;$J43),Tarification!$D$8,IF(AND(X328&lt;=$J43,X328&gt;$K43),Tarification!$D$9,IF(AND(X328&lt;=$K43,X328&gt;0),Tarification!$D$10,0)))</f>
        <v>0</v>
      </c>
      <c r="Y618" s="37">
        <f>IF(AND(Y328&lt;=$I43,Y328&gt;$J43),Tarification!$D$8,IF(AND(Y328&lt;=$J43,Y328&gt;$K43),Tarification!$D$9,IF(AND(Y328&lt;=$K43,Y328&gt;0),Tarification!$D$10,0)))</f>
        <v>0</v>
      </c>
      <c r="Z618" s="37">
        <f>IF(AND(Z328&lt;=$I43,Z328&gt;$J43),Tarification!$D$8,IF(AND(Z328&lt;=$J43,Z328&gt;$K43),Tarification!$D$9,IF(AND(Z328&lt;=$K43,Z328&gt;0),Tarification!$D$10,0)))</f>
        <v>0</v>
      </c>
      <c r="AA618" s="37">
        <f>IF(AND(AA328&lt;=$I43,AA328&gt;$J43),Tarification!$D$8,IF(AND(AA328&lt;=$J43,AA328&gt;$K43),Tarification!$D$9,IF(AND(AA328&lt;=$K43,AA328&gt;0),Tarification!$D$10,0)))</f>
        <v>0</v>
      </c>
      <c r="AB618" s="37">
        <f>IF(AND(AB328&lt;=$I43,AB328&gt;$J43),Tarification!$D$8,IF(AND(AB328&lt;=$J43,AB328&gt;$K43),Tarification!$D$9,IF(AND(AB328&lt;=$K43,AB328&gt;0),Tarification!$D$10,0)))</f>
        <v>0</v>
      </c>
      <c r="AC618" s="37">
        <f>IF(AND(AC328&lt;=$I43,AC328&gt;$J43),Tarification!$D$8,IF(AND(AC328&lt;=$J43,AC328&gt;$K43),Tarification!$D$9,IF(AND(AC328&lt;=$K43,AC328&gt;0),Tarification!$D$10,0)))</f>
        <v>0</v>
      </c>
      <c r="AD618" s="37">
        <f>IF(AND(AD328&lt;=$I43,AD328&gt;$J43),Tarification!$D$8,IF(AND(AD328&lt;=$J43,AD328&gt;$K43),Tarification!$D$9,IF(AND(AD328&lt;=$K43,AD328&gt;0),Tarification!$D$10,0)))</f>
        <v>0</v>
      </c>
      <c r="AE618" s="37">
        <f>IF(AND(AE328&lt;=$I43,AE328&gt;$J43),Tarification!$D$8,IF(AND(AE328&lt;=$J43,AE328&gt;$K43),Tarification!$D$9,IF(AND(AE328&lt;=$K43,AE328&gt;0),Tarification!$D$10,0)))</f>
        <v>0</v>
      </c>
      <c r="AF618" s="37">
        <f>IF(AND(AF328&lt;=$I43,AF328&gt;$J43),Tarification!$D$8,IF(AND(AF328&lt;=$J43,AF328&gt;$K43),Tarification!$D$9,IF(AND(AF328&lt;=$K43,AF328&gt;0),Tarification!$D$10,0)))</f>
        <v>0</v>
      </c>
      <c r="AG618" s="37">
        <f>IF(AND(AG328&lt;=$I43,AG328&gt;$J43),Tarification!$D$8,IF(AND(AG328&lt;=$J43,AG328&gt;$K43),Tarification!$D$9,IF(AND(AG328&lt;=$K43,AG328&gt;0),Tarification!$D$10,0)))</f>
        <v>0</v>
      </c>
      <c r="AH618" s="37">
        <f>IF(AND(AH328&lt;=$I43,AH328&gt;$J43),Tarification!$D$8,IF(AND(AH328&lt;=$J43,AH328&gt;$K43),Tarification!$D$9,IF(AND(AH328&lt;=$K43,AH328&gt;0),Tarification!$D$10,0)))</f>
        <v>0</v>
      </c>
      <c r="AI618" s="37">
        <f>IF(AND(AI328&lt;=$I43,AI328&gt;$J43),Tarification!$D$8,IF(AND(AI328&lt;=$J43,AI328&gt;$K43),Tarification!$D$9,IF(AND(AI328&lt;=$K43,AI328&gt;0),Tarification!$D$10,0)))</f>
        <v>0</v>
      </c>
      <c r="AJ618" s="37">
        <f>IF(AND(AJ328&lt;=$I43,AJ328&gt;$J43),Tarification!$D$8,IF(AND(AJ328&lt;=$J43,AJ328&gt;$K43),Tarification!$D$9,IF(AND(AJ328&lt;=$K43,AJ328&gt;0),Tarification!$D$10,0)))</f>
        <v>0</v>
      </c>
      <c r="AK618" s="37">
        <f>IF(AND(AK328&lt;=$I43,AK328&gt;$J43),Tarification!$D$8,IF(AND(AK328&lt;=$J43,AK328&gt;$K43),Tarification!$D$9,IF(AND(AK328&lt;=$K43,AK328&gt;0),Tarification!$D$10,0)))</f>
        <v>0</v>
      </c>
      <c r="AL618" s="37">
        <f>IF(AND(AL328&lt;=$I43,AL328&gt;$J43),Tarification!$D$8,IF(AND(AL328&lt;=$J43,AL328&gt;$K43),Tarification!$D$9,IF(AND(AL328&lt;=$K43,AL328&gt;0),Tarification!$D$10,0)))</f>
        <v>0</v>
      </c>
      <c r="AM618" s="37">
        <f>IF(AND(AM328&lt;=$I43,AM328&gt;$J43),Tarification!$D$8,IF(AND(AM328&lt;=$J43,AM328&gt;$K43),Tarification!$D$9,IF(AND(AM328&lt;=$K43,AM328&gt;0),Tarification!$D$10,0)))</f>
        <v>0</v>
      </c>
      <c r="AN618" s="37">
        <f>IF(AND(AN328&lt;=$I43,AN328&gt;$J43),Tarification!$D$8,IF(AND(AN328&lt;=$J43,AN328&gt;$K43),Tarification!$D$9,IF(AND(AN328&lt;=$K43,AN328&gt;0),Tarification!$D$10,0)))</f>
        <v>0</v>
      </c>
      <c r="AQ618" s="101">
        <f t="shared" si="148"/>
        <v>0</v>
      </c>
    </row>
    <row r="619" spans="14:43" ht="15.6">
      <c r="N619" s="39" t="s">
        <v>26</v>
      </c>
      <c r="O619" s="39" t="s">
        <v>505</v>
      </c>
      <c r="P619" t="s">
        <v>56</v>
      </c>
      <c r="Q619" s="39"/>
      <c r="V619" s="37">
        <f>IF(AND(V329&lt;=$I44,V329&gt;$J44),Tarification!$D$8,IF(AND(V329&lt;=$J44,V329&gt;$K44),Tarification!$D$9,IF(AND(V329&lt;=$K44,V329&gt;0),Tarification!$D$10,0)))</f>
        <v>0</v>
      </c>
      <c r="W619" s="37">
        <f>IF(AND(W329&lt;=$I44,W329&gt;$J44),Tarification!$D$8,IF(AND(W329&lt;=$J44,W329&gt;$K44),Tarification!$D$9,IF(AND(W329&lt;=$K44,W329&gt;0),Tarification!$D$10,0)))</f>
        <v>50000</v>
      </c>
      <c r="X619" s="37">
        <f>IF(AND(X329&lt;=$I44,X329&gt;$J44),Tarification!$D$8,IF(AND(X329&lt;=$J44,X329&gt;$K44),Tarification!$D$9,IF(AND(X329&lt;=$K44,X329&gt;0),Tarification!$D$10,0)))</f>
        <v>0</v>
      </c>
      <c r="Y619" s="37">
        <f>IF(AND(Y329&lt;=$I44,Y329&gt;$J44),Tarification!$D$8,IF(AND(Y329&lt;=$J44,Y329&gt;$K44),Tarification!$D$9,IF(AND(Y329&lt;=$K44,Y329&gt;0),Tarification!$D$10,0)))</f>
        <v>0</v>
      </c>
      <c r="Z619" s="37">
        <f>IF(AND(Z329&lt;=$I44,Z329&gt;$J44),Tarification!$D$8,IF(AND(Z329&lt;=$J44,Z329&gt;$K44),Tarification!$D$9,IF(AND(Z329&lt;=$K44,Z329&gt;0),Tarification!$D$10,0)))</f>
        <v>0</v>
      </c>
      <c r="AA619" s="37">
        <f>IF(AND(AA329&lt;=$I44,AA329&gt;$J44),Tarification!$D$8,IF(AND(AA329&lt;=$J44,AA329&gt;$K44),Tarification!$D$9,IF(AND(AA329&lt;=$K44,AA329&gt;0),Tarification!$D$10,0)))</f>
        <v>0</v>
      </c>
      <c r="AB619" s="37">
        <f>IF(AND(AB329&lt;=$I44,AB329&gt;$J44),Tarification!$D$8,IF(AND(AB329&lt;=$J44,AB329&gt;$K44),Tarification!$D$9,IF(AND(AB329&lt;=$K44,AB329&gt;0),Tarification!$D$10,0)))</f>
        <v>0</v>
      </c>
      <c r="AC619" s="37">
        <f>IF(AND(AC329&lt;=$I44,AC329&gt;$J44),Tarification!$D$8,IF(AND(AC329&lt;=$J44,AC329&gt;$K44),Tarification!$D$9,IF(AND(AC329&lt;=$K44,AC329&gt;0),Tarification!$D$10,0)))</f>
        <v>0</v>
      </c>
      <c r="AD619" s="37">
        <f>IF(AND(AD329&lt;=$I44,AD329&gt;$J44),Tarification!$D$8,IF(AND(AD329&lt;=$J44,AD329&gt;$K44),Tarification!$D$9,IF(AND(AD329&lt;=$K44,AD329&gt;0),Tarification!$D$10,0)))</f>
        <v>0</v>
      </c>
      <c r="AE619" s="37">
        <f>IF(AND(AE329&lt;=$I44,AE329&gt;$J44),Tarification!$D$8,IF(AND(AE329&lt;=$J44,AE329&gt;$K44),Tarification!$D$9,IF(AND(AE329&lt;=$K44,AE329&gt;0),Tarification!$D$10,0)))</f>
        <v>50000</v>
      </c>
      <c r="AF619" s="37">
        <f>IF(AND(AF329&lt;=$I44,AF329&gt;$J44),Tarification!$D$8,IF(AND(AF329&lt;=$J44,AF329&gt;$K44),Tarification!$D$9,IF(AND(AF329&lt;=$K44,AF329&gt;0),Tarification!$D$10,0)))</f>
        <v>0</v>
      </c>
      <c r="AG619" s="37">
        <f>IF(AND(AG329&lt;=$I44,AG329&gt;$J44),Tarification!$D$8,IF(AND(AG329&lt;=$J44,AG329&gt;$K44),Tarification!$D$9,IF(AND(AG329&lt;=$K44,AG329&gt;0),Tarification!$D$10,0)))</f>
        <v>0</v>
      </c>
      <c r="AH619" s="37">
        <f>IF(AND(AH329&lt;=$I44,AH329&gt;$J44),Tarification!$D$8,IF(AND(AH329&lt;=$J44,AH329&gt;$K44),Tarification!$D$9,IF(AND(AH329&lt;=$K44,AH329&gt;0),Tarification!$D$10,0)))</f>
        <v>0</v>
      </c>
      <c r="AI619" s="37">
        <f>IF(AND(AI329&lt;=$I44,AI329&gt;$J44),Tarification!$D$8,IF(AND(AI329&lt;=$J44,AI329&gt;$K44),Tarification!$D$9,IF(AND(AI329&lt;=$K44,AI329&gt;0),Tarification!$D$10,0)))</f>
        <v>0</v>
      </c>
      <c r="AJ619" s="37">
        <f>IF(AND(AJ329&lt;=$I44,AJ329&gt;$J44),Tarification!$D$8,IF(AND(AJ329&lt;=$J44,AJ329&gt;$K44),Tarification!$D$9,IF(AND(AJ329&lt;=$K44,AJ329&gt;0),Tarification!$D$10,0)))</f>
        <v>0</v>
      </c>
      <c r="AK619" s="37">
        <f>IF(AND(AK329&lt;=$I44,AK329&gt;$J44),Tarification!$D$8,IF(AND(AK329&lt;=$J44,AK329&gt;$K44),Tarification!$D$9,IF(AND(AK329&lt;=$K44,AK329&gt;0),Tarification!$D$10,0)))</f>
        <v>0</v>
      </c>
      <c r="AL619" s="37">
        <f>IF(AND(AL329&lt;=$I44,AL329&gt;$J44),Tarification!$D$8,IF(AND(AL329&lt;=$J44,AL329&gt;$K44),Tarification!$D$9,IF(AND(AL329&lt;=$K44,AL329&gt;0),Tarification!$D$10,0)))</f>
        <v>0</v>
      </c>
      <c r="AM619" s="37">
        <f>IF(AND(AM329&lt;=$I44,AM329&gt;$J44),Tarification!$D$8,IF(AND(AM329&lt;=$J44,AM329&gt;$K44),Tarification!$D$9,IF(AND(AM329&lt;=$K44,AM329&gt;0),Tarification!$D$10,0)))</f>
        <v>0</v>
      </c>
      <c r="AN619" s="37">
        <f>IF(AND(AN329&lt;=$I44,AN329&gt;$J44),Tarification!$D$8,IF(AND(AN329&lt;=$J44,AN329&gt;$K44),Tarification!$D$9,IF(AND(AN329&lt;=$K44,AN329&gt;0),Tarification!$D$10,0)))</f>
        <v>0</v>
      </c>
      <c r="AQ619" s="101">
        <f t="shared" si="148"/>
        <v>5263.1578947368425</v>
      </c>
    </row>
    <row r="620" spans="14:43" ht="15.6">
      <c r="N620" s="39" t="s">
        <v>26</v>
      </c>
      <c r="O620" s="39" t="s">
        <v>601</v>
      </c>
      <c r="P620" t="s">
        <v>656</v>
      </c>
      <c r="Q620" s="39"/>
      <c r="V620" s="37">
        <f>IF(AND(V330&lt;=$I45,V330&gt;$J45),Tarification!$D$8,IF(AND(V330&lt;=$J45,V330&gt;$K45),Tarification!$D$9,IF(AND(V330&lt;=$K45,V330&gt;0),Tarification!$D$10,0)))</f>
        <v>0</v>
      </c>
      <c r="W620" s="37">
        <f>IF(AND(W330&lt;=$I45,W330&gt;$J45),Tarification!$D$8,IF(AND(W330&lt;=$J45,W330&gt;$K45),Tarification!$D$9,IF(AND(W330&lt;=$K45,W330&gt;0),Tarification!$D$10,0)))</f>
        <v>50000</v>
      </c>
      <c r="X620" s="37">
        <f>IF(AND(X330&lt;=$I45,X330&gt;$J45),Tarification!$D$8,IF(AND(X330&lt;=$J45,X330&gt;$K45),Tarification!$D$9,IF(AND(X330&lt;=$K45,X330&gt;0),Tarification!$D$10,0)))</f>
        <v>0</v>
      </c>
      <c r="Y620" s="37">
        <f>IF(AND(Y330&lt;=$I45,Y330&gt;$J45),Tarification!$D$8,IF(AND(Y330&lt;=$J45,Y330&gt;$K45),Tarification!$D$9,IF(AND(Y330&lt;=$K45,Y330&gt;0),Tarification!$D$10,0)))</f>
        <v>0</v>
      </c>
      <c r="Z620" s="37">
        <f>IF(AND(Z330&lt;=$I45,Z330&gt;$J45),Tarification!$D$8,IF(AND(Z330&lt;=$J45,Z330&gt;$K45),Tarification!$D$9,IF(AND(Z330&lt;=$K45,Z330&gt;0),Tarification!$D$10,0)))</f>
        <v>0</v>
      </c>
      <c r="AA620" s="37">
        <f>IF(AND(AA330&lt;=$I45,AA330&gt;$J45),Tarification!$D$8,IF(AND(AA330&lt;=$J45,AA330&gt;$K45),Tarification!$D$9,IF(AND(AA330&lt;=$K45,AA330&gt;0),Tarification!$D$10,0)))</f>
        <v>0</v>
      </c>
      <c r="AB620" s="37">
        <f>IF(AND(AB330&lt;=$I45,AB330&gt;$J45),Tarification!$D$8,IF(AND(AB330&lt;=$J45,AB330&gt;$K45),Tarification!$D$9,IF(AND(AB330&lt;=$K45,AB330&gt;0),Tarification!$D$10,0)))</f>
        <v>0</v>
      </c>
      <c r="AC620" s="37">
        <f>IF(AND(AC330&lt;=$I45,AC330&gt;$J45),Tarification!$D$8,IF(AND(AC330&lt;=$J45,AC330&gt;$K45),Tarification!$D$9,IF(AND(AC330&lt;=$K45,AC330&gt;0),Tarification!$D$10,0)))</f>
        <v>50000</v>
      </c>
      <c r="AD620" s="37">
        <f>IF(AND(AD330&lt;=$I45,AD330&gt;$J45),Tarification!$D$8,IF(AND(AD330&lt;=$J45,AD330&gt;$K45),Tarification!$D$9,IF(AND(AD330&lt;=$K45,AD330&gt;0),Tarification!$D$10,0)))</f>
        <v>0</v>
      </c>
      <c r="AE620" s="37">
        <f>IF(AND(AE330&lt;=$I45,AE330&gt;$J45),Tarification!$D$8,IF(AND(AE330&lt;=$J45,AE330&gt;$K45),Tarification!$D$9,IF(AND(AE330&lt;=$K45,AE330&gt;0),Tarification!$D$10,0)))</f>
        <v>125000</v>
      </c>
      <c r="AF620" s="37">
        <f>IF(AND(AF330&lt;=$I45,AF330&gt;$J45),Tarification!$D$8,IF(AND(AF330&lt;=$J45,AF330&gt;$K45),Tarification!$D$9,IF(AND(AF330&lt;=$K45,AF330&gt;0),Tarification!$D$10,0)))</f>
        <v>0</v>
      </c>
      <c r="AG620" s="37">
        <f>IF(AND(AG330&lt;=$I45,AG330&gt;$J45),Tarification!$D$8,IF(AND(AG330&lt;=$J45,AG330&gt;$K45),Tarification!$D$9,IF(AND(AG330&lt;=$K45,AG330&gt;0),Tarification!$D$10,0)))</f>
        <v>0</v>
      </c>
      <c r="AH620" s="37">
        <f>IF(AND(AH330&lt;=$I45,AH330&gt;$J45),Tarification!$D$8,IF(AND(AH330&lt;=$J45,AH330&gt;$K45),Tarification!$D$9,IF(AND(AH330&lt;=$K45,AH330&gt;0),Tarification!$D$10,0)))</f>
        <v>0</v>
      </c>
      <c r="AI620" s="37">
        <f>IF(AND(AI330&lt;=$I45,AI330&gt;$J45),Tarification!$D$8,IF(AND(AI330&lt;=$J45,AI330&gt;$K45),Tarification!$D$9,IF(AND(AI330&lt;=$K45,AI330&gt;0),Tarification!$D$10,0)))</f>
        <v>0</v>
      </c>
      <c r="AJ620" s="37">
        <f>IF(AND(AJ330&lt;=$I45,AJ330&gt;$J45),Tarification!$D$8,IF(AND(AJ330&lt;=$J45,AJ330&gt;$K45),Tarification!$D$9,IF(AND(AJ330&lt;=$K45,AJ330&gt;0),Tarification!$D$10,0)))</f>
        <v>0</v>
      </c>
      <c r="AK620" s="37">
        <f>IF(AND(AK330&lt;=$I45,AK330&gt;$J45),Tarification!$D$8,IF(AND(AK330&lt;=$J45,AK330&gt;$K45),Tarification!$D$9,IF(AND(AK330&lt;=$K45,AK330&gt;0),Tarification!$D$10,0)))</f>
        <v>0</v>
      </c>
      <c r="AL620" s="37">
        <f>IF(AND(AL330&lt;=$I45,AL330&gt;$J45),Tarification!$D$8,IF(AND(AL330&lt;=$J45,AL330&gt;$K45),Tarification!$D$9,IF(AND(AL330&lt;=$K45,AL330&gt;0),Tarification!$D$10,0)))</f>
        <v>0</v>
      </c>
      <c r="AM620" s="37">
        <f>IF(AND(AM330&lt;=$I45,AM330&gt;$J45),Tarification!$D$8,IF(AND(AM330&lt;=$J45,AM330&gt;$K45),Tarification!$D$9,IF(AND(AM330&lt;=$K45,AM330&gt;0),Tarification!$D$10,0)))</f>
        <v>0</v>
      </c>
      <c r="AN620" s="37">
        <f>IF(AND(AN330&lt;=$I45,AN330&gt;$J45),Tarification!$D$8,IF(AND(AN330&lt;=$J45,AN330&gt;$K45),Tarification!$D$9,IF(AND(AN330&lt;=$K45,AN330&gt;0),Tarification!$D$10,0)))</f>
        <v>0</v>
      </c>
      <c r="AQ620" s="101">
        <f t="shared" si="148"/>
        <v>11842.105263157895</v>
      </c>
    </row>
    <row r="621" spans="14:43" ht="15.6">
      <c r="N621" s="39" t="s">
        <v>26</v>
      </c>
      <c r="O621" s="39" t="s">
        <v>262</v>
      </c>
      <c r="P621" t="s">
        <v>657</v>
      </c>
      <c r="Q621" s="39"/>
      <c r="V621" s="37">
        <f>IF(AND(V331&lt;=$I46,V331&gt;$J46),Tarification!$D$8,IF(AND(V331&lt;=$J46,V331&gt;$K46),Tarification!$D$9,IF(AND(V331&lt;=$K46,V331&gt;0),Tarification!$D$10,0)))</f>
        <v>0</v>
      </c>
      <c r="W621" s="37">
        <f>IF(AND(W331&lt;=$I46,W331&gt;$J46),Tarification!$D$8,IF(AND(W331&lt;=$J46,W331&gt;$K46),Tarification!$D$9,IF(AND(W331&lt;=$K46,W331&gt;0),Tarification!$D$10,0)))</f>
        <v>0</v>
      </c>
      <c r="X621" s="37">
        <f>IF(AND(X331&lt;=$I46,X331&gt;$J46),Tarification!$D$8,IF(AND(X331&lt;=$J46,X331&gt;$K46),Tarification!$D$9,IF(AND(X331&lt;=$K46,X331&gt;0),Tarification!$D$10,0)))</f>
        <v>0</v>
      </c>
      <c r="Y621" s="37">
        <f>IF(AND(Y331&lt;=$I46,Y331&gt;$J46),Tarification!$D$8,IF(AND(Y331&lt;=$J46,Y331&gt;$K46),Tarification!$D$9,IF(AND(Y331&lt;=$K46,Y331&gt;0),Tarification!$D$10,0)))</f>
        <v>0</v>
      </c>
      <c r="Z621" s="37">
        <f>IF(AND(Z331&lt;=$I46,Z331&gt;$J46),Tarification!$D$8,IF(AND(Z331&lt;=$J46,Z331&gt;$K46),Tarification!$D$9,IF(AND(Z331&lt;=$K46,Z331&gt;0),Tarification!$D$10,0)))</f>
        <v>0</v>
      </c>
      <c r="AA621" s="37">
        <f>IF(AND(AA331&lt;=$I46,AA331&gt;$J46),Tarification!$D$8,IF(AND(AA331&lt;=$J46,AA331&gt;$K46),Tarification!$D$9,IF(AND(AA331&lt;=$K46,AA331&gt;0),Tarification!$D$10,0)))</f>
        <v>0</v>
      </c>
      <c r="AB621" s="37">
        <f>IF(AND(AB331&lt;=$I46,AB331&gt;$J46),Tarification!$D$8,IF(AND(AB331&lt;=$J46,AB331&gt;$K46),Tarification!$D$9,IF(AND(AB331&lt;=$K46,AB331&gt;0),Tarification!$D$10,0)))</f>
        <v>0</v>
      </c>
      <c r="AC621" s="37">
        <f>IF(AND(AC331&lt;=$I46,AC331&gt;$J46),Tarification!$D$8,IF(AND(AC331&lt;=$J46,AC331&gt;$K46),Tarification!$D$9,IF(AND(AC331&lt;=$K46,AC331&gt;0),Tarification!$D$10,0)))</f>
        <v>0</v>
      </c>
      <c r="AD621" s="37">
        <f>IF(AND(AD331&lt;=$I46,AD331&gt;$J46),Tarification!$D$8,IF(AND(AD331&lt;=$J46,AD331&gt;$K46),Tarification!$D$9,IF(AND(AD331&lt;=$K46,AD331&gt;0),Tarification!$D$10,0)))</f>
        <v>0</v>
      </c>
      <c r="AE621" s="37">
        <f>IF(AND(AE331&lt;=$I46,AE331&gt;$J46),Tarification!$D$8,IF(AND(AE331&lt;=$J46,AE331&gt;$K46),Tarification!$D$9,IF(AND(AE331&lt;=$K46,AE331&gt;0),Tarification!$D$10,0)))</f>
        <v>0</v>
      </c>
      <c r="AF621" s="37">
        <f>IF(AND(AF331&lt;=$I46,AF331&gt;$J46),Tarification!$D$8,IF(AND(AF331&lt;=$J46,AF331&gt;$K46),Tarification!$D$9,IF(AND(AF331&lt;=$K46,AF331&gt;0),Tarification!$D$10,0)))</f>
        <v>0</v>
      </c>
      <c r="AG621" s="37">
        <f>IF(AND(AG331&lt;=$I46,AG331&gt;$J46),Tarification!$D$8,IF(AND(AG331&lt;=$J46,AG331&gt;$K46),Tarification!$D$9,IF(AND(AG331&lt;=$K46,AG331&gt;0),Tarification!$D$10,0)))</f>
        <v>0</v>
      </c>
      <c r="AH621" s="37">
        <f>IF(AND(AH331&lt;=$I46,AH331&gt;$J46),Tarification!$D$8,IF(AND(AH331&lt;=$J46,AH331&gt;$K46),Tarification!$D$9,IF(AND(AH331&lt;=$K46,AH331&gt;0),Tarification!$D$10,0)))</f>
        <v>0</v>
      </c>
      <c r="AI621" s="37">
        <f>IF(AND(AI331&lt;=$I46,AI331&gt;$J46),Tarification!$D$8,IF(AND(AI331&lt;=$J46,AI331&gt;$K46),Tarification!$D$9,IF(AND(AI331&lt;=$K46,AI331&gt;0),Tarification!$D$10,0)))</f>
        <v>0</v>
      </c>
      <c r="AJ621" s="37">
        <f>IF(AND(AJ331&lt;=$I46,AJ331&gt;$J46),Tarification!$D$8,IF(AND(AJ331&lt;=$J46,AJ331&gt;$K46),Tarification!$D$9,IF(AND(AJ331&lt;=$K46,AJ331&gt;0),Tarification!$D$10,0)))</f>
        <v>0</v>
      </c>
      <c r="AK621" s="37">
        <f>IF(AND(AK331&lt;=$I46,AK331&gt;$J46),Tarification!$D$8,IF(AND(AK331&lt;=$J46,AK331&gt;$K46),Tarification!$D$9,IF(AND(AK331&lt;=$K46,AK331&gt;0),Tarification!$D$10,0)))</f>
        <v>0</v>
      </c>
      <c r="AL621" s="37">
        <f>IF(AND(AL331&lt;=$I46,AL331&gt;$J46),Tarification!$D$8,IF(AND(AL331&lt;=$J46,AL331&gt;$K46),Tarification!$D$9,IF(AND(AL331&lt;=$K46,AL331&gt;0),Tarification!$D$10,0)))</f>
        <v>0</v>
      </c>
      <c r="AM621" s="37">
        <f>IF(AND(AM331&lt;=$I46,AM331&gt;$J46),Tarification!$D$8,IF(AND(AM331&lt;=$J46,AM331&gt;$K46),Tarification!$D$9,IF(AND(AM331&lt;=$K46,AM331&gt;0),Tarification!$D$10,0)))</f>
        <v>0</v>
      </c>
      <c r="AN621" s="37">
        <f>IF(AND(AN331&lt;=$I46,AN331&gt;$J46),Tarification!$D$8,IF(AND(AN331&lt;=$J46,AN331&gt;$K46),Tarification!$D$9,IF(AND(AN331&lt;=$K46,AN331&gt;0),Tarification!$D$10,0)))</f>
        <v>0</v>
      </c>
      <c r="AQ621" s="101">
        <f t="shared" si="148"/>
        <v>0</v>
      </c>
    </row>
    <row r="622" spans="14:43" ht="15.6">
      <c r="N622" s="39" t="s">
        <v>26</v>
      </c>
      <c r="O622" s="39" t="s">
        <v>513</v>
      </c>
      <c r="P622" t="s">
        <v>658</v>
      </c>
      <c r="Q622" s="39"/>
      <c r="V622" s="37">
        <f>IF(AND(V332&lt;=$I47,V332&gt;$J47),Tarification!$D$8,IF(AND(V332&lt;=$J47,V332&gt;$K47),Tarification!$D$9,IF(AND(V332&lt;=$K47,V332&gt;0),Tarification!$D$10,0)))</f>
        <v>0</v>
      </c>
      <c r="W622" s="37">
        <f>IF(AND(W332&lt;=$I47,W332&gt;$J47),Tarification!$D$8,IF(AND(W332&lt;=$J47,W332&gt;$K47),Tarification!$D$9,IF(AND(W332&lt;=$K47,W332&gt;0),Tarification!$D$10,0)))</f>
        <v>50000</v>
      </c>
      <c r="X622" s="37">
        <f>IF(AND(X332&lt;=$I47,X332&gt;$J47),Tarification!$D$8,IF(AND(X332&lt;=$J47,X332&gt;$K47),Tarification!$D$9,IF(AND(X332&lt;=$K47,X332&gt;0),Tarification!$D$10,0)))</f>
        <v>0</v>
      </c>
      <c r="Y622" s="37">
        <f>IF(AND(Y332&lt;=$I47,Y332&gt;$J47),Tarification!$D$8,IF(AND(Y332&lt;=$J47,Y332&gt;$K47),Tarification!$D$9,IF(AND(Y332&lt;=$K47,Y332&gt;0),Tarification!$D$10,0)))</f>
        <v>0</v>
      </c>
      <c r="Z622" s="37">
        <f>IF(AND(Z332&lt;=$I47,Z332&gt;$J47),Tarification!$D$8,IF(AND(Z332&lt;=$J47,Z332&gt;$K47),Tarification!$D$9,IF(AND(Z332&lt;=$K47,Z332&gt;0),Tarification!$D$10,0)))</f>
        <v>0</v>
      </c>
      <c r="AA622" s="37">
        <f>IF(AND(AA332&lt;=$I47,AA332&gt;$J47),Tarification!$D$8,IF(AND(AA332&lt;=$J47,AA332&gt;$K47),Tarification!$D$9,IF(AND(AA332&lt;=$K47,AA332&gt;0),Tarification!$D$10,0)))</f>
        <v>0</v>
      </c>
      <c r="AB622" s="37">
        <f>IF(AND(AB332&lt;=$I47,AB332&gt;$J47),Tarification!$D$8,IF(AND(AB332&lt;=$J47,AB332&gt;$K47),Tarification!$D$9,IF(AND(AB332&lt;=$K47,AB332&gt;0),Tarification!$D$10,0)))</f>
        <v>0</v>
      </c>
      <c r="AC622" s="37">
        <f>IF(AND(AC332&lt;=$I47,AC332&gt;$J47),Tarification!$D$8,IF(AND(AC332&lt;=$J47,AC332&gt;$K47),Tarification!$D$9,IF(AND(AC332&lt;=$K47,AC332&gt;0),Tarification!$D$10,0)))</f>
        <v>0</v>
      </c>
      <c r="AD622" s="37">
        <f>IF(AND(AD332&lt;=$I47,AD332&gt;$J47),Tarification!$D$8,IF(AND(AD332&lt;=$J47,AD332&gt;$K47),Tarification!$D$9,IF(AND(AD332&lt;=$K47,AD332&gt;0),Tarification!$D$10,0)))</f>
        <v>0</v>
      </c>
      <c r="AE622" s="37">
        <f>IF(AND(AE332&lt;=$I47,AE332&gt;$J47),Tarification!$D$8,IF(AND(AE332&lt;=$J47,AE332&gt;$K47),Tarification!$D$9,IF(AND(AE332&lt;=$K47,AE332&gt;0),Tarification!$D$10,0)))</f>
        <v>50000</v>
      </c>
      <c r="AF622" s="37">
        <f>IF(AND(AF332&lt;=$I47,AF332&gt;$J47),Tarification!$D$8,IF(AND(AF332&lt;=$J47,AF332&gt;$K47),Tarification!$D$9,IF(AND(AF332&lt;=$K47,AF332&gt;0),Tarification!$D$10,0)))</f>
        <v>0</v>
      </c>
      <c r="AG622" s="37">
        <f>IF(AND(AG332&lt;=$I47,AG332&gt;$J47),Tarification!$D$8,IF(AND(AG332&lt;=$J47,AG332&gt;$K47),Tarification!$D$9,IF(AND(AG332&lt;=$K47,AG332&gt;0),Tarification!$D$10,0)))</f>
        <v>0</v>
      </c>
      <c r="AH622" s="37">
        <f>IF(AND(AH332&lt;=$I47,AH332&gt;$J47),Tarification!$D$8,IF(AND(AH332&lt;=$J47,AH332&gt;$K47),Tarification!$D$9,IF(AND(AH332&lt;=$K47,AH332&gt;0),Tarification!$D$10,0)))</f>
        <v>0</v>
      </c>
      <c r="AI622" s="37">
        <f>IF(AND(AI332&lt;=$I47,AI332&gt;$J47),Tarification!$D$8,IF(AND(AI332&lt;=$J47,AI332&gt;$K47),Tarification!$D$9,IF(AND(AI332&lt;=$K47,AI332&gt;0),Tarification!$D$10,0)))</f>
        <v>0</v>
      </c>
      <c r="AJ622" s="37">
        <f>IF(AND(AJ332&lt;=$I47,AJ332&gt;$J47),Tarification!$D$8,IF(AND(AJ332&lt;=$J47,AJ332&gt;$K47),Tarification!$D$9,IF(AND(AJ332&lt;=$K47,AJ332&gt;0),Tarification!$D$10,0)))</f>
        <v>0</v>
      </c>
      <c r="AK622" s="37">
        <f>IF(AND(AK332&lt;=$I47,AK332&gt;$J47),Tarification!$D$8,IF(AND(AK332&lt;=$J47,AK332&gt;$K47),Tarification!$D$9,IF(AND(AK332&lt;=$K47,AK332&gt;0),Tarification!$D$10,0)))</f>
        <v>50000</v>
      </c>
      <c r="AL622" s="37">
        <f>IF(AND(AL332&lt;=$I47,AL332&gt;$J47),Tarification!$D$8,IF(AND(AL332&lt;=$J47,AL332&gt;$K47),Tarification!$D$9,IF(AND(AL332&lt;=$K47,AL332&gt;0),Tarification!$D$10,0)))</f>
        <v>0</v>
      </c>
      <c r="AM622" s="37">
        <f>IF(AND(AM332&lt;=$I47,AM332&gt;$J47),Tarification!$D$8,IF(AND(AM332&lt;=$J47,AM332&gt;$K47),Tarification!$D$9,IF(AND(AM332&lt;=$K47,AM332&gt;0),Tarification!$D$10,0)))</f>
        <v>0</v>
      </c>
      <c r="AN622" s="37">
        <f>IF(AND(AN332&lt;=$I47,AN332&gt;$J47),Tarification!$D$8,IF(AND(AN332&lt;=$J47,AN332&gt;$K47),Tarification!$D$9,IF(AND(AN332&lt;=$K47,AN332&gt;0),Tarification!$D$10,0)))</f>
        <v>0</v>
      </c>
      <c r="AQ622" s="101">
        <f t="shared" si="148"/>
        <v>7894.7368421052633</v>
      </c>
    </row>
    <row r="623" spans="14:43" ht="15.6">
      <c r="N623" s="39" t="s">
        <v>26</v>
      </c>
      <c r="O623" s="39" t="s">
        <v>221</v>
      </c>
      <c r="P623" t="s">
        <v>659</v>
      </c>
      <c r="Q623" s="39"/>
      <c r="V623" s="37">
        <f>IF(AND(V333&lt;=$I48,V333&gt;$J48),Tarification!$D$8,IF(AND(V333&lt;=$J48,V333&gt;$K48),Tarification!$D$9,IF(AND(V333&lt;=$K48,V333&gt;0),Tarification!$D$10,0)))</f>
        <v>0</v>
      </c>
      <c r="W623" s="37">
        <f>IF(AND(W333&lt;=$I48,W333&gt;$J48),Tarification!$D$8,IF(AND(W333&lt;=$J48,W333&gt;$K48),Tarification!$D$9,IF(AND(W333&lt;=$K48,W333&gt;0),Tarification!$D$10,0)))</f>
        <v>0</v>
      </c>
      <c r="X623" s="37">
        <f>IF(AND(X333&lt;=$I48,X333&gt;$J48),Tarification!$D$8,IF(AND(X333&lt;=$J48,X333&gt;$K48),Tarification!$D$9,IF(AND(X333&lt;=$K48,X333&gt;0),Tarification!$D$10,0)))</f>
        <v>0</v>
      </c>
      <c r="Y623" s="37">
        <f>IF(AND(Y333&lt;=$I48,Y333&gt;$J48),Tarification!$D$8,IF(AND(Y333&lt;=$J48,Y333&gt;$K48),Tarification!$D$9,IF(AND(Y333&lt;=$K48,Y333&gt;0),Tarification!$D$10,0)))</f>
        <v>0</v>
      </c>
      <c r="Z623" s="37">
        <f>IF(AND(Z333&lt;=$I48,Z333&gt;$J48),Tarification!$D$8,IF(AND(Z333&lt;=$J48,Z333&gt;$K48),Tarification!$D$9,IF(AND(Z333&lt;=$K48,Z333&gt;0),Tarification!$D$10,0)))</f>
        <v>0</v>
      </c>
      <c r="AA623" s="37">
        <f>IF(AND(AA333&lt;=$I48,AA333&gt;$J48),Tarification!$D$8,IF(AND(AA333&lt;=$J48,AA333&gt;$K48),Tarification!$D$9,IF(AND(AA333&lt;=$K48,AA333&gt;0),Tarification!$D$10,0)))</f>
        <v>0</v>
      </c>
      <c r="AB623" s="37">
        <f>IF(AND(AB333&lt;=$I48,AB333&gt;$J48),Tarification!$D$8,IF(AND(AB333&lt;=$J48,AB333&gt;$K48),Tarification!$D$9,IF(AND(AB333&lt;=$K48,AB333&gt;0),Tarification!$D$10,0)))</f>
        <v>0</v>
      </c>
      <c r="AC623" s="37">
        <f>IF(AND(AC333&lt;=$I48,AC333&gt;$J48),Tarification!$D$8,IF(AND(AC333&lt;=$J48,AC333&gt;$K48),Tarification!$D$9,IF(AND(AC333&lt;=$K48,AC333&gt;0),Tarification!$D$10,0)))</f>
        <v>0</v>
      </c>
      <c r="AD623" s="37">
        <f>IF(AND(AD333&lt;=$I48,AD333&gt;$J48),Tarification!$D$8,IF(AND(AD333&lt;=$J48,AD333&gt;$K48),Tarification!$D$9,IF(AND(AD333&lt;=$K48,AD333&gt;0),Tarification!$D$10,0)))</f>
        <v>0</v>
      </c>
      <c r="AE623" s="37">
        <f>IF(AND(AE333&lt;=$I48,AE333&gt;$J48),Tarification!$D$8,IF(AND(AE333&lt;=$J48,AE333&gt;$K48),Tarification!$D$9,IF(AND(AE333&lt;=$K48,AE333&gt;0),Tarification!$D$10,0)))</f>
        <v>50000</v>
      </c>
      <c r="AF623" s="37">
        <f>IF(AND(AF333&lt;=$I48,AF333&gt;$J48),Tarification!$D$8,IF(AND(AF333&lt;=$J48,AF333&gt;$K48),Tarification!$D$9,IF(AND(AF333&lt;=$K48,AF333&gt;0),Tarification!$D$10,0)))</f>
        <v>0</v>
      </c>
      <c r="AG623" s="37">
        <f>IF(AND(AG333&lt;=$I48,AG333&gt;$J48),Tarification!$D$8,IF(AND(AG333&lt;=$J48,AG333&gt;$K48),Tarification!$D$9,IF(AND(AG333&lt;=$K48,AG333&gt;0),Tarification!$D$10,0)))</f>
        <v>0</v>
      </c>
      <c r="AH623" s="37">
        <f>IF(AND(AH333&lt;=$I48,AH333&gt;$J48),Tarification!$D$8,IF(AND(AH333&lt;=$J48,AH333&gt;$K48),Tarification!$D$9,IF(AND(AH333&lt;=$K48,AH333&gt;0),Tarification!$D$10,0)))</f>
        <v>0</v>
      </c>
      <c r="AI623" s="37">
        <f>IF(AND(AI333&lt;=$I48,AI333&gt;$J48),Tarification!$D$8,IF(AND(AI333&lt;=$J48,AI333&gt;$K48),Tarification!$D$9,IF(AND(AI333&lt;=$K48,AI333&gt;0),Tarification!$D$10,0)))</f>
        <v>0</v>
      </c>
      <c r="AJ623" s="37">
        <f>IF(AND(AJ333&lt;=$I48,AJ333&gt;$J48),Tarification!$D$8,IF(AND(AJ333&lt;=$J48,AJ333&gt;$K48),Tarification!$D$9,IF(AND(AJ333&lt;=$K48,AJ333&gt;0),Tarification!$D$10,0)))</f>
        <v>0</v>
      </c>
      <c r="AK623" s="37">
        <f>IF(AND(AK333&lt;=$I48,AK333&gt;$J48),Tarification!$D$8,IF(AND(AK333&lt;=$J48,AK333&gt;$K48),Tarification!$D$9,IF(AND(AK333&lt;=$K48,AK333&gt;0),Tarification!$D$10,0)))</f>
        <v>0</v>
      </c>
      <c r="AL623" s="37">
        <f>IF(AND(AL333&lt;=$I48,AL333&gt;$J48),Tarification!$D$8,IF(AND(AL333&lt;=$J48,AL333&gt;$K48),Tarification!$D$9,IF(AND(AL333&lt;=$K48,AL333&gt;0),Tarification!$D$10,0)))</f>
        <v>0</v>
      </c>
      <c r="AM623" s="37">
        <f>IF(AND(AM333&lt;=$I48,AM333&gt;$J48),Tarification!$D$8,IF(AND(AM333&lt;=$J48,AM333&gt;$K48),Tarification!$D$9,IF(AND(AM333&lt;=$K48,AM333&gt;0),Tarification!$D$10,0)))</f>
        <v>0</v>
      </c>
      <c r="AN623" s="37">
        <f>IF(AND(AN333&lt;=$I48,AN333&gt;$J48),Tarification!$D$8,IF(AND(AN333&lt;=$J48,AN333&gt;$K48),Tarification!$D$9,IF(AND(AN333&lt;=$K48,AN333&gt;0),Tarification!$D$10,0)))</f>
        <v>0</v>
      </c>
      <c r="AQ623" s="101">
        <f t="shared" si="148"/>
        <v>2631.5789473684213</v>
      </c>
    </row>
    <row r="624" spans="14:43" ht="15.6">
      <c r="N624" s="39" t="s">
        <v>26</v>
      </c>
      <c r="O624" s="39" t="s">
        <v>594</v>
      </c>
      <c r="P624" t="s">
        <v>660</v>
      </c>
      <c r="Q624" s="39"/>
      <c r="V624" s="37">
        <f>IF(AND(V334&lt;=$I49,V334&gt;$J49),Tarification!$D$8,IF(AND(V334&lt;=$J49,V334&gt;$K49),Tarification!$D$9,IF(AND(V334&lt;=$K49,V334&gt;0),Tarification!$D$10,0)))</f>
        <v>0</v>
      </c>
      <c r="W624" s="37">
        <f>IF(AND(W334&lt;=$I49,W334&gt;$J49),Tarification!$D$8,IF(AND(W334&lt;=$J49,W334&gt;$K49),Tarification!$D$9,IF(AND(W334&lt;=$K49,W334&gt;0),Tarification!$D$10,0)))</f>
        <v>125000</v>
      </c>
      <c r="X624" s="37">
        <f>IF(AND(X334&lt;=$I49,X334&gt;$J49),Tarification!$D$8,IF(AND(X334&lt;=$J49,X334&gt;$K49),Tarification!$D$9,IF(AND(X334&lt;=$K49,X334&gt;0),Tarification!$D$10,0)))</f>
        <v>0</v>
      </c>
      <c r="Y624" s="37">
        <f>IF(AND(Y334&lt;=$I49,Y334&gt;$J49),Tarification!$D$8,IF(AND(Y334&lt;=$J49,Y334&gt;$K49),Tarification!$D$9,IF(AND(Y334&lt;=$K49,Y334&gt;0),Tarification!$D$10,0)))</f>
        <v>0</v>
      </c>
      <c r="Z624" s="37">
        <f>IF(AND(Z334&lt;=$I49,Z334&gt;$J49),Tarification!$D$8,IF(AND(Z334&lt;=$J49,Z334&gt;$K49),Tarification!$D$9,IF(AND(Z334&lt;=$K49,Z334&gt;0),Tarification!$D$10,0)))</f>
        <v>0</v>
      </c>
      <c r="AA624" s="37">
        <f>IF(AND(AA334&lt;=$I49,AA334&gt;$J49),Tarification!$D$8,IF(AND(AA334&lt;=$J49,AA334&gt;$K49),Tarification!$D$9,IF(AND(AA334&lt;=$K49,AA334&gt;0),Tarification!$D$10,0)))</f>
        <v>0</v>
      </c>
      <c r="AB624" s="37">
        <f>IF(AND(AB334&lt;=$I49,AB334&gt;$J49),Tarification!$D$8,IF(AND(AB334&lt;=$J49,AB334&gt;$K49),Tarification!$D$9,IF(AND(AB334&lt;=$K49,AB334&gt;0),Tarification!$D$10,0)))</f>
        <v>50000</v>
      </c>
      <c r="AC624" s="37">
        <f>IF(AND(AC334&lt;=$I49,AC334&gt;$J49),Tarification!$D$8,IF(AND(AC334&lt;=$J49,AC334&gt;$K49),Tarification!$D$9,IF(AND(AC334&lt;=$K49,AC334&gt;0),Tarification!$D$10,0)))</f>
        <v>50000</v>
      </c>
      <c r="AD624" s="37">
        <f>IF(AND(AD334&lt;=$I49,AD334&gt;$J49),Tarification!$D$8,IF(AND(AD334&lt;=$J49,AD334&gt;$K49),Tarification!$D$9,IF(AND(AD334&lt;=$K49,AD334&gt;0),Tarification!$D$10,0)))</f>
        <v>0</v>
      </c>
      <c r="AE624" s="37">
        <f>IF(AND(AE334&lt;=$I49,AE334&gt;$J49),Tarification!$D$8,IF(AND(AE334&lt;=$J49,AE334&gt;$K49),Tarification!$D$9,IF(AND(AE334&lt;=$K49,AE334&gt;0),Tarification!$D$10,0)))</f>
        <v>250000</v>
      </c>
      <c r="AF624" s="37">
        <f>IF(AND(AF334&lt;=$I49,AF334&gt;$J49),Tarification!$D$8,IF(AND(AF334&lt;=$J49,AF334&gt;$K49),Tarification!$D$9,IF(AND(AF334&lt;=$K49,AF334&gt;0),Tarification!$D$10,0)))</f>
        <v>50000</v>
      </c>
      <c r="AG624" s="37">
        <f>IF(AND(AG334&lt;=$I49,AG334&gt;$J49),Tarification!$D$8,IF(AND(AG334&lt;=$J49,AG334&gt;$K49),Tarification!$D$9,IF(AND(AG334&lt;=$K49,AG334&gt;0),Tarification!$D$10,0)))</f>
        <v>0</v>
      </c>
      <c r="AH624" s="37">
        <f>IF(AND(AH334&lt;=$I49,AH334&gt;$J49),Tarification!$D$8,IF(AND(AH334&lt;=$J49,AH334&gt;$K49),Tarification!$D$9,IF(AND(AH334&lt;=$K49,AH334&gt;0),Tarification!$D$10,0)))</f>
        <v>0</v>
      </c>
      <c r="AI624" s="37">
        <f>IF(AND(AI334&lt;=$I49,AI334&gt;$J49),Tarification!$D$8,IF(AND(AI334&lt;=$J49,AI334&gt;$K49),Tarification!$D$9,IF(AND(AI334&lt;=$K49,AI334&gt;0),Tarification!$D$10,0)))</f>
        <v>0</v>
      </c>
      <c r="AJ624" s="37">
        <f>IF(AND(AJ334&lt;=$I49,AJ334&gt;$J49),Tarification!$D$8,IF(AND(AJ334&lt;=$J49,AJ334&gt;$K49),Tarification!$D$9,IF(AND(AJ334&lt;=$K49,AJ334&gt;0),Tarification!$D$10,0)))</f>
        <v>0</v>
      </c>
      <c r="AK624" s="37">
        <f>IF(AND(AK334&lt;=$I49,AK334&gt;$J49),Tarification!$D$8,IF(AND(AK334&lt;=$J49,AK334&gt;$K49),Tarification!$D$9,IF(AND(AK334&lt;=$K49,AK334&gt;0),Tarification!$D$10,0)))</f>
        <v>0</v>
      </c>
      <c r="AL624" s="37">
        <f>IF(AND(AL334&lt;=$I49,AL334&gt;$J49),Tarification!$D$8,IF(AND(AL334&lt;=$J49,AL334&gt;$K49),Tarification!$D$9,IF(AND(AL334&lt;=$K49,AL334&gt;0),Tarification!$D$10,0)))</f>
        <v>0</v>
      </c>
      <c r="AM624" s="37">
        <f>IF(AND(AM334&lt;=$I49,AM334&gt;$J49),Tarification!$D$8,IF(AND(AM334&lt;=$J49,AM334&gt;$K49),Tarification!$D$9,IF(AND(AM334&lt;=$K49,AM334&gt;0),Tarification!$D$10,0)))</f>
        <v>0</v>
      </c>
      <c r="AN624" s="37">
        <f>IF(AND(AN334&lt;=$I49,AN334&gt;$J49),Tarification!$D$8,IF(AND(AN334&lt;=$J49,AN334&gt;$K49),Tarification!$D$9,IF(AND(AN334&lt;=$K49,AN334&gt;0),Tarification!$D$10,0)))</f>
        <v>50000</v>
      </c>
      <c r="AQ624" s="101">
        <f t="shared" si="148"/>
        <v>30263.157894736843</v>
      </c>
    </row>
    <row r="625" spans="14:43" ht="15.6">
      <c r="N625" s="39" t="s">
        <v>26</v>
      </c>
      <c r="O625" s="39" t="s">
        <v>262</v>
      </c>
      <c r="P625" t="s">
        <v>661</v>
      </c>
      <c r="Q625" s="39"/>
      <c r="V625" s="37">
        <f>IF(AND(V335&lt;=$I50,V335&gt;$J50),Tarification!$D$8,IF(AND(V335&lt;=$J50,V335&gt;$K50),Tarification!$D$9,IF(AND(V335&lt;=$K50,V335&gt;0),Tarification!$D$10,0)))</f>
        <v>0</v>
      </c>
      <c r="W625" s="37">
        <f>IF(AND(W335&lt;=$I50,W335&gt;$J50),Tarification!$D$8,IF(AND(W335&lt;=$J50,W335&gt;$K50),Tarification!$D$9,IF(AND(W335&lt;=$K50,W335&gt;0),Tarification!$D$10,0)))</f>
        <v>0</v>
      </c>
      <c r="X625" s="37">
        <f>IF(AND(X335&lt;=$I50,X335&gt;$J50),Tarification!$D$8,IF(AND(X335&lt;=$J50,X335&gt;$K50),Tarification!$D$9,IF(AND(X335&lt;=$K50,X335&gt;0),Tarification!$D$10,0)))</f>
        <v>0</v>
      </c>
      <c r="Y625" s="37">
        <f>IF(AND(Y335&lt;=$I50,Y335&gt;$J50),Tarification!$D$8,IF(AND(Y335&lt;=$J50,Y335&gt;$K50),Tarification!$D$9,IF(AND(Y335&lt;=$K50,Y335&gt;0),Tarification!$D$10,0)))</f>
        <v>0</v>
      </c>
      <c r="Z625" s="37">
        <f>IF(AND(Z335&lt;=$I50,Z335&gt;$J50),Tarification!$D$8,IF(AND(Z335&lt;=$J50,Z335&gt;$K50),Tarification!$D$9,IF(AND(Z335&lt;=$K50,Z335&gt;0),Tarification!$D$10,0)))</f>
        <v>0</v>
      </c>
      <c r="AA625" s="37">
        <f>IF(AND(AA335&lt;=$I50,AA335&gt;$J50),Tarification!$D$8,IF(AND(AA335&lt;=$J50,AA335&gt;$K50),Tarification!$D$9,IF(AND(AA335&lt;=$K50,AA335&gt;0),Tarification!$D$10,0)))</f>
        <v>0</v>
      </c>
      <c r="AB625" s="37">
        <f>IF(AND(AB335&lt;=$I50,AB335&gt;$J50),Tarification!$D$8,IF(AND(AB335&lt;=$J50,AB335&gt;$K50),Tarification!$D$9,IF(AND(AB335&lt;=$K50,AB335&gt;0),Tarification!$D$10,0)))</f>
        <v>0</v>
      </c>
      <c r="AC625" s="37">
        <f>IF(AND(AC335&lt;=$I50,AC335&gt;$J50),Tarification!$D$8,IF(AND(AC335&lt;=$J50,AC335&gt;$K50),Tarification!$D$9,IF(AND(AC335&lt;=$K50,AC335&gt;0),Tarification!$D$10,0)))</f>
        <v>0</v>
      </c>
      <c r="AD625" s="37">
        <f>IF(AND(AD335&lt;=$I50,AD335&gt;$J50),Tarification!$D$8,IF(AND(AD335&lt;=$J50,AD335&gt;$K50),Tarification!$D$9,IF(AND(AD335&lt;=$K50,AD335&gt;0),Tarification!$D$10,0)))</f>
        <v>0</v>
      </c>
      <c r="AE625" s="37">
        <f>IF(AND(AE335&lt;=$I50,AE335&gt;$J50),Tarification!$D$8,IF(AND(AE335&lt;=$J50,AE335&gt;$K50),Tarification!$D$9,IF(AND(AE335&lt;=$K50,AE335&gt;0),Tarification!$D$10,0)))</f>
        <v>0</v>
      </c>
      <c r="AF625" s="37">
        <f>IF(AND(AF335&lt;=$I50,AF335&gt;$J50),Tarification!$D$8,IF(AND(AF335&lt;=$J50,AF335&gt;$K50),Tarification!$D$9,IF(AND(AF335&lt;=$K50,AF335&gt;0),Tarification!$D$10,0)))</f>
        <v>0</v>
      </c>
      <c r="AG625" s="37">
        <f>IF(AND(AG335&lt;=$I50,AG335&gt;$J50),Tarification!$D$8,IF(AND(AG335&lt;=$J50,AG335&gt;$K50),Tarification!$D$9,IF(AND(AG335&lt;=$K50,AG335&gt;0),Tarification!$D$10,0)))</f>
        <v>0</v>
      </c>
      <c r="AH625" s="37">
        <f>IF(AND(AH335&lt;=$I50,AH335&gt;$J50),Tarification!$D$8,IF(AND(AH335&lt;=$J50,AH335&gt;$K50),Tarification!$D$9,IF(AND(AH335&lt;=$K50,AH335&gt;0),Tarification!$D$10,0)))</f>
        <v>0</v>
      </c>
      <c r="AI625" s="37">
        <f>IF(AND(AI335&lt;=$I50,AI335&gt;$J50),Tarification!$D$8,IF(AND(AI335&lt;=$J50,AI335&gt;$K50),Tarification!$D$9,IF(AND(AI335&lt;=$K50,AI335&gt;0),Tarification!$D$10,0)))</f>
        <v>0</v>
      </c>
      <c r="AJ625" s="37">
        <f>IF(AND(AJ335&lt;=$I50,AJ335&gt;$J50),Tarification!$D$8,IF(AND(AJ335&lt;=$J50,AJ335&gt;$K50),Tarification!$D$9,IF(AND(AJ335&lt;=$K50,AJ335&gt;0),Tarification!$D$10,0)))</f>
        <v>0</v>
      </c>
      <c r="AK625" s="37">
        <f>IF(AND(AK335&lt;=$I50,AK335&gt;$J50),Tarification!$D$8,IF(AND(AK335&lt;=$J50,AK335&gt;$K50),Tarification!$D$9,IF(AND(AK335&lt;=$K50,AK335&gt;0),Tarification!$D$10,0)))</f>
        <v>0</v>
      </c>
      <c r="AL625" s="37">
        <f>IF(AND(AL335&lt;=$I50,AL335&gt;$J50),Tarification!$D$8,IF(AND(AL335&lt;=$J50,AL335&gt;$K50),Tarification!$D$9,IF(AND(AL335&lt;=$K50,AL335&gt;0),Tarification!$D$10,0)))</f>
        <v>0</v>
      </c>
      <c r="AM625" s="37">
        <f>IF(AND(AM335&lt;=$I50,AM335&gt;$J50),Tarification!$D$8,IF(AND(AM335&lt;=$J50,AM335&gt;$K50),Tarification!$D$9,IF(AND(AM335&lt;=$K50,AM335&gt;0),Tarification!$D$10,0)))</f>
        <v>0</v>
      </c>
      <c r="AN625" s="37">
        <f>IF(AND(AN335&lt;=$I50,AN335&gt;$J50),Tarification!$D$8,IF(AND(AN335&lt;=$J50,AN335&gt;$K50),Tarification!$D$9,IF(AND(AN335&lt;=$K50,AN335&gt;0),Tarification!$D$10,0)))</f>
        <v>0</v>
      </c>
      <c r="AQ625" s="101">
        <f t="shared" si="148"/>
        <v>0</v>
      </c>
    </row>
    <row r="626" spans="14:43" ht="15.6">
      <c r="N626" s="39" t="s">
        <v>26</v>
      </c>
      <c r="O626" s="39" t="s">
        <v>508</v>
      </c>
      <c r="P626" t="s">
        <v>662</v>
      </c>
      <c r="Q626" s="39"/>
      <c r="V626" s="37">
        <f>IF(AND(V336&lt;=$I51,V336&gt;$J51),Tarification!$D$8,IF(AND(V336&lt;=$J51,V336&gt;$K51),Tarification!$D$9,IF(AND(V336&lt;=$K51,V336&gt;0),Tarification!$D$10,0)))</f>
        <v>0</v>
      </c>
      <c r="W626" s="37">
        <f>IF(AND(W336&lt;=$I51,W336&gt;$J51),Tarification!$D$8,IF(AND(W336&lt;=$J51,W336&gt;$K51),Tarification!$D$9,IF(AND(W336&lt;=$K51,W336&gt;0),Tarification!$D$10,0)))</f>
        <v>50000</v>
      </c>
      <c r="X626" s="37">
        <f>IF(AND(X336&lt;=$I51,X336&gt;$J51),Tarification!$D$8,IF(AND(X336&lt;=$J51,X336&gt;$K51),Tarification!$D$9,IF(AND(X336&lt;=$K51,X336&gt;0),Tarification!$D$10,0)))</f>
        <v>0</v>
      </c>
      <c r="Y626" s="37">
        <f>IF(AND(Y336&lt;=$I51,Y336&gt;$J51),Tarification!$D$8,IF(AND(Y336&lt;=$J51,Y336&gt;$K51),Tarification!$D$9,IF(AND(Y336&lt;=$K51,Y336&gt;0),Tarification!$D$10,0)))</f>
        <v>0</v>
      </c>
      <c r="Z626" s="37">
        <f>IF(AND(Z336&lt;=$I51,Z336&gt;$J51),Tarification!$D$8,IF(AND(Z336&lt;=$J51,Z336&gt;$K51),Tarification!$D$9,IF(AND(Z336&lt;=$K51,Z336&gt;0),Tarification!$D$10,0)))</f>
        <v>0</v>
      </c>
      <c r="AA626" s="37">
        <f>IF(AND(AA336&lt;=$I51,AA336&gt;$J51),Tarification!$D$8,IF(AND(AA336&lt;=$J51,AA336&gt;$K51),Tarification!$D$9,IF(AND(AA336&lt;=$K51,AA336&gt;0),Tarification!$D$10,0)))</f>
        <v>0</v>
      </c>
      <c r="AB626" s="37">
        <f>IF(AND(AB336&lt;=$I51,AB336&gt;$J51),Tarification!$D$8,IF(AND(AB336&lt;=$J51,AB336&gt;$K51),Tarification!$D$9,IF(AND(AB336&lt;=$K51,AB336&gt;0),Tarification!$D$10,0)))</f>
        <v>0</v>
      </c>
      <c r="AC626" s="37">
        <f>IF(AND(AC336&lt;=$I51,AC336&gt;$J51),Tarification!$D$8,IF(AND(AC336&lt;=$J51,AC336&gt;$K51),Tarification!$D$9,IF(AND(AC336&lt;=$K51,AC336&gt;0),Tarification!$D$10,0)))</f>
        <v>0</v>
      </c>
      <c r="AD626" s="37">
        <f>IF(AND(AD336&lt;=$I51,AD336&gt;$J51),Tarification!$D$8,IF(AND(AD336&lt;=$J51,AD336&gt;$K51),Tarification!$D$9,IF(AND(AD336&lt;=$K51,AD336&gt;0),Tarification!$D$10,0)))</f>
        <v>0</v>
      </c>
      <c r="AE626" s="37">
        <f>IF(AND(AE336&lt;=$I51,AE336&gt;$J51),Tarification!$D$8,IF(AND(AE336&lt;=$J51,AE336&gt;$K51),Tarification!$D$9,IF(AND(AE336&lt;=$K51,AE336&gt;0),Tarification!$D$10,0)))</f>
        <v>0</v>
      </c>
      <c r="AF626" s="37">
        <f>IF(AND(AF336&lt;=$I51,AF336&gt;$J51),Tarification!$D$8,IF(AND(AF336&lt;=$J51,AF336&gt;$K51),Tarification!$D$9,IF(AND(AF336&lt;=$K51,AF336&gt;0),Tarification!$D$10,0)))</f>
        <v>0</v>
      </c>
      <c r="AG626" s="37">
        <f>IF(AND(AG336&lt;=$I51,AG336&gt;$J51),Tarification!$D$8,IF(AND(AG336&lt;=$J51,AG336&gt;$K51),Tarification!$D$9,IF(AND(AG336&lt;=$K51,AG336&gt;0),Tarification!$D$10,0)))</f>
        <v>0</v>
      </c>
      <c r="AH626" s="37">
        <f>IF(AND(AH336&lt;=$I51,AH336&gt;$J51),Tarification!$D$8,IF(AND(AH336&lt;=$J51,AH336&gt;$K51),Tarification!$D$9,IF(AND(AH336&lt;=$K51,AH336&gt;0),Tarification!$D$10,0)))</f>
        <v>0</v>
      </c>
      <c r="AI626" s="37">
        <f>IF(AND(AI336&lt;=$I51,AI336&gt;$J51),Tarification!$D$8,IF(AND(AI336&lt;=$J51,AI336&gt;$K51),Tarification!$D$9,IF(AND(AI336&lt;=$K51,AI336&gt;0),Tarification!$D$10,0)))</f>
        <v>0</v>
      </c>
      <c r="AJ626" s="37">
        <f>IF(AND(AJ336&lt;=$I51,AJ336&gt;$J51),Tarification!$D$8,IF(AND(AJ336&lt;=$J51,AJ336&gt;$K51),Tarification!$D$9,IF(AND(AJ336&lt;=$K51,AJ336&gt;0),Tarification!$D$10,0)))</f>
        <v>0</v>
      </c>
      <c r="AK626" s="37">
        <f>IF(AND(AK336&lt;=$I51,AK336&gt;$J51),Tarification!$D$8,IF(AND(AK336&lt;=$J51,AK336&gt;$K51),Tarification!$D$9,IF(AND(AK336&lt;=$K51,AK336&gt;0),Tarification!$D$10,0)))</f>
        <v>0</v>
      </c>
      <c r="AL626" s="37">
        <f>IF(AND(AL336&lt;=$I51,AL336&gt;$J51),Tarification!$D$8,IF(AND(AL336&lt;=$J51,AL336&gt;$K51),Tarification!$D$9,IF(AND(AL336&lt;=$K51,AL336&gt;0),Tarification!$D$10,0)))</f>
        <v>0</v>
      </c>
      <c r="AM626" s="37">
        <f>IF(AND(AM336&lt;=$I51,AM336&gt;$J51),Tarification!$D$8,IF(AND(AM336&lt;=$J51,AM336&gt;$K51),Tarification!$D$9,IF(AND(AM336&lt;=$K51,AM336&gt;0),Tarification!$D$10,0)))</f>
        <v>0</v>
      </c>
      <c r="AN626" s="37">
        <f>IF(AND(AN336&lt;=$I51,AN336&gt;$J51),Tarification!$D$8,IF(AND(AN336&lt;=$J51,AN336&gt;$K51),Tarification!$D$9,IF(AND(AN336&lt;=$K51,AN336&gt;0),Tarification!$D$10,0)))</f>
        <v>50000</v>
      </c>
      <c r="AQ626" s="101">
        <f t="shared" si="148"/>
        <v>5263.1578947368425</v>
      </c>
    </row>
    <row r="627" spans="14:43" ht="15.6">
      <c r="N627" s="39" t="s">
        <v>26</v>
      </c>
      <c r="O627" s="39" t="s">
        <v>227</v>
      </c>
      <c r="P627" t="s">
        <v>663</v>
      </c>
      <c r="Q627" s="39"/>
      <c r="V627" s="37">
        <f>IF(AND(V337&lt;=$I52,V337&gt;$J52),Tarification!$D$8,IF(AND(V337&lt;=$J52,V337&gt;$K52),Tarification!$D$9,IF(AND(V337&lt;=$K52,V337&gt;0),Tarification!$D$10,0)))</f>
        <v>0</v>
      </c>
      <c r="W627" s="37">
        <f>IF(AND(W337&lt;=$I52,W337&gt;$J52),Tarification!$D$8,IF(AND(W337&lt;=$J52,W337&gt;$K52),Tarification!$D$9,IF(AND(W337&lt;=$K52,W337&gt;0),Tarification!$D$10,0)))</f>
        <v>0</v>
      </c>
      <c r="X627" s="37">
        <f>IF(AND(X337&lt;=$I52,X337&gt;$J52),Tarification!$D$8,IF(AND(X337&lt;=$J52,X337&gt;$K52),Tarification!$D$9,IF(AND(X337&lt;=$K52,X337&gt;0),Tarification!$D$10,0)))</f>
        <v>0</v>
      </c>
      <c r="Y627" s="37">
        <f>IF(AND(Y337&lt;=$I52,Y337&gt;$J52),Tarification!$D$8,IF(AND(Y337&lt;=$J52,Y337&gt;$K52),Tarification!$D$9,IF(AND(Y337&lt;=$K52,Y337&gt;0),Tarification!$D$10,0)))</f>
        <v>0</v>
      </c>
      <c r="Z627" s="37">
        <f>IF(AND(Z337&lt;=$I52,Z337&gt;$J52),Tarification!$D$8,IF(AND(Z337&lt;=$J52,Z337&gt;$K52),Tarification!$D$9,IF(AND(Z337&lt;=$K52,Z337&gt;0),Tarification!$D$10,0)))</f>
        <v>0</v>
      </c>
      <c r="AA627" s="37">
        <f>IF(AND(AA337&lt;=$I52,AA337&gt;$J52),Tarification!$D$8,IF(AND(AA337&lt;=$J52,AA337&gt;$K52),Tarification!$D$9,IF(AND(AA337&lt;=$K52,AA337&gt;0),Tarification!$D$10,0)))</f>
        <v>0</v>
      </c>
      <c r="AB627" s="37">
        <f>IF(AND(AB337&lt;=$I52,AB337&gt;$J52),Tarification!$D$8,IF(AND(AB337&lt;=$J52,AB337&gt;$K52),Tarification!$D$9,IF(AND(AB337&lt;=$K52,AB337&gt;0),Tarification!$D$10,0)))</f>
        <v>0</v>
      </c>
      <c r="AC627" s="37">
        <f>IF(AND(AC337&lt;=$I52,AC337&gt;$J52),Tarification!$D$8,IF(AND(AC337&lt;=$J52,AC337&gt;$K52),Tarification!$D$9,IF(AND(AC337&lt;=$K52,AC337&gt;0),Tarification!$D$10,0)))</f>
        <v>0</v>
      </c>
      <c r="AD627" s="37">
        <f>IF(AND(AD337&lt;=$I52,AD337&gt;$J52),Tarification!$D$8,IF(AND(AD337&lt;=$J52,AD337&gt;$K52),Tarification!$D$9,IF(AND(AD337&lt;=$K52,AD337&gt;0),Tarification!$D$10,0)))</f>
        <v>0</v>
      </c>
      <c r="AE627" s="37">
        <f>IF(AND(AE337&lt;=$I52,AE337&gt;$J52),Tarification!$D$8,IF(AND(AE337&lt;=$J52,AE337&gt;$K52),Tarification!$D$9,IF(AND(AE337&lt;=$K52,AE337&gt;0),Tarification!$D$10,0)))</f>
        <v>0</v>
      </c>
      <c r="AF627" s="37">
        <f>IF(AND(AF337&lt;=$I52,AF337&gt;$J52),Tarification!$D$8,IF(AND(AF337&lt;=$J52,AF337&gt;$K52),Tarification!$D$9,IF(AND(AF337&lt;=$K52,AF337&gt;0),Tarification!$D$10,0)))</f>
        <v>0</v>
      </c>
      <c r="AG627" s="37">
        <f>IF(AND(AG337&lt;=$I52,AG337&gt;$J52),Tarification!$D$8,IF(AND(AG337&lt;=$J52,AG337&gt;$K52),Tarification!$D$9,IF(AND(AG337&lt;=$K52,AG337&gt;0),Tarification!$D$10,0)))</f>
        <v>0</v>
      </c>
      <c r="AH627" s="37">
        <f>IF(AND(AH337&lt;=$I52,AH337&gt;$J52),Tarification!$D$8,IF(AND(AH337&lt;=$J52,AH337&gt;$K52),Tarification!$D$9,IF(AND(AH337&lt;=$K52,AH337&gt;0),Tarification!$D$10,0)))</f>
        <v>0</v>
      </c>
      <c r="AI627" s="37">
        <f>IF(AND(AI337&lt;=$I52,AI337&gt;$J52),Tarification!$D$8,IF(AND(AI337&lt;=$J52,AI337&gt;$K52),Tarification!$D$9,IF(AND(AI337&lt;=$K52,AI337&gt;0),Tarification!$D$10,0)))</f>
        <v>0</v>
      </c>
      <c r="AJ627" s="37">
        <f>IF(AND(AJ337&lt;=$I52,AJ337&gt;$J52),Tarification!$D$8,IF(AND(AJ337&lt;=$J52,AJ337&gt;$K52),Tarification!$D$9,IF(AND(AJ337&lt;=$K52,AJ337&gt;0),Tarification!$D$10,0)))</f>
        <v>0</v>
      </c>
      <c r="AK627" s="37">
        <f>IF(AND(AK337&lt;=$I52,AK337&gt;$J52),Tarification!$D$8,IF(AND(AK337&lt;=$J52,AK337&gt;$K52),Tarification!$D$9,IF(AND(AK337&lt;=$K52,AK337&gt;0),Tarification!$D$10,0)))</f>
        <v>0</v>
      </c>
      <c r="AL627" s="37">
        <f>IF(AND(AL337&lt;=$I52,AL337&gt;$J52),Tarification!$D$8,IF(AND(AL337&lt;=$J52,AL337&gt;$K52),Tarification!$D$9,IF(AND(AL337&lt;=$K52,AL337&gt;0),Tarification!$D$10,0)))</f>
        <v>0</v>
      </c>
      <c r="AM627" s="37">
        <f>IF(AND(AM337&lt;=$I52,AM337&gt;$J52),Tarification!$D$8,IF(AND(AM337&lt;=$J52,AM337&gt;$K52),Tarification!$D$9,IF(AND(AM337&lt;=$K52,AM337&gt;0),Tarification!$D$10,0)))</f>
        <v>0</v>
      </c>
      <c r="AN627" s="37">
        <f>IF(AND(AN337&lt;=$I52,AN337&gt;$J52),Tarification!$D$8,IF(AND(AN337&lt;=$J52,AN337&gt;$K52),Tarification!$D$9,IF(AND(AN337&lt;=$K52,AN337&gt;0),Tarification!$D$10,0)))</f>
        <v>0</v>
      </c>
      <c r="AQ627" s="101">
        <f t="shared" si="148"/>
        <v>0</v>
      </c>
    </row>
    <row r="628" spans="14:43" ht="15.6">
      <c r="N628" s="39" t="s">
        <v>26</v>
      </c>
      <c r="O628" s="39" t="s">
        <v>240</v>
      </c>
      <c r="P628" t="s">
        <v>664</v>
      </c>
      <c r="Q628" s="39"/>
      <c r="V628" s="37">
        <f>IF(AND(V338&lt;=$I53,V338&gt;$J53),Tarification!$D$8,IF(AND(V338&lt;=$J53,V338&gt;$K53),Tarification!$D$9,IF(AND(V338&lt;=$K53,V338&gt;0),Tarification!$D$10,0)))</f>
        <v>0</v>
      </c>
      <c r="W628" s="37">
        <f>IF(AND(W338&lt;=$I53,W338&gt;$J53),Tarification!$D$8,IF(AND(W338&lt;=$J53,W338&gt;$K53),Tarification!$D$9,IF(AND(W338&lt;=$K53,W338&gt;0),Tarification!$D$10,0)))</f>
        <v>0</v>
      </c>
      <c r="X628" s="37">
        <f>IF(AND(X338&lt;=$I53,X338&gt;$J53),Tarification!$D$8,IF(AND(X338&lt;=$J53,X338&gt;$K53),Tarification!$D$9,IF(AND(X338&lt;=$K53,X338&gt;0),Tarification!$D$10,0)))</f>
        <v>0</v>
      </c>
      <c r="Y628" s="37">
        <f>IF(AND(Y338&lt;=$I53,Y338&gt;$J53),Tarification!$D$8,IF(AND(Y338&lt;=$J53,Y338&gt;$K53),Tarification!$D$9,IF(AND(Y338&lt;=$K53,Y338&gt;0),Tarification!$D$10,0)))</f>
        <v>0</v>
      </c>
      <c r="Z628" s="37">
        <f>IF(AND(Z338&lt;=$I53,Z338&gt;$J53),Tarification!$D$8,IF(AND(Z338&lt;=$J53,Z338&gt;$K53),Tarification!$D$9,IF(AND(Z338&lt;=$K53,Z338&gt;0),Tarification!$D$10,0)))</f>
        <v>0</v>
      </c>
      <c r="AA628" s="37">
        <f>IF(AND(AA338&lt;=$I53,AA338&gt;$J53),Tarification!$D$8,IF(AND(AA338&lt;=$J53,AA338&gt;$K53),Tarification!$D$9,IF(AND(AA338&lt;=$K53,AA338&gt;0),Tarification!$D$10,0)))</f>
        <v>0</v>
      </c>
      <c r="AB628" s="37">
        <f>IF(AND(AB338&lt;=$I53,AB338&gt;$J53),Tarification!$D$8,IF(AND(AB338&lt;=$J53,AB338&gt;$K53),Tarification!$D$9,IF(AND(AB338&lt;=$K53,AB338&gt;0),Tarification!$D$10,0)))</f>
        <v>0</v>
      </c>
      <c r="AC628" s="37">
        <f>IF(AND(AC338&lt;=$I53,AC338&gt;$J53),Tarification!$D$8,IF(AND(AC338&lt;=$J53,AC338&gt;$K53),Tarification!$D$9,IF(AND(AC338&lt;=$K53,AC338&gt;0),Tarification!$D$10,0)))</f>
        <v>0</v>
      </c>
      <c r="AD628" s="37">
        <f>IF(AND(AD338&lt;=$I53,AD338&gt;$J53),Tarification!$D$8,IF(AND(AD338&lt;=$J53,AD338&gt;$K53),Tarification!$D$9,IF(AND(AD338&lt;=$K53,AD338&gt;0),Tarification!$D$10,0)))</f>
        <v>0</v>
      </c>
      <c r="AE628" s="37">
        <f>IF(AND(AE338&lt;=$I53,AE338&gt;$J53),Tarification!$D$8,IF(AND(AE338&lt;=$J53,AE338&gt;$K53),Tarification!$D$9,IF(AND(AE338&lt;=$K53,AE338&gt;0),Tarification!$D$10,0)))</f>
        <v>50000</v>
      </c>
      <c r="AF628" s="37">
        <f>IF(AND(AF338&lt;=$I53,AF338&gt;$J53),Tarification!$D$8,IF(AND(AF338&lt;=$J53,AF338&gt;$K53),Tarification!$D$9,IF(AND(AF338&lt;=$K53,AF338&gt;0),Tarification!$D$10,0)))</f>
        <v>0</v>
      </c>
      <c r="AG628" s="37">
        <f>IF(AND(AG338&lt;=$I53,AG338&gt;$J53),Tarification!$D$8,IF(AND(AG338&lt;=$J53,AG338&gt;$K53),Tarification!$D$9,IF(AND(AG338&lt;=$K53,AG338&gt;0),Tarification!$D$10,0)))</f>
        <v>0</v>
      </c>
      <c r="AH628" s="37">
        <f>IF(AND(AH338&lt;=$I53,AH338&gt;$J53),Tarification!$D$8,IF(AND(AH338&lt;=$J53,AH338&gt;$K53),Tarification!$D$9,IF(AND(AH338&lt;=$K53,AH338&gt;0),Tarification!$D$10,0)))</f>
        <v>0</v>
      </c>
      <c r="AI628" s="37">
        <f>IF(AND(AI338&lt;=$I53,AI338&gt;$J53),Tarification!$D$8,IF(AND(AI338&lt;=$J53,AI338&gt;$K53),Tarification!$D$9,IF(AND(AI338&lt;=$K53,AI338&gt;0),Tarification!$D$10,0)))</f>
        <v>0</v>
      </c>
      <c r="AJ628" s="37">
        <f>IF(AND(AJ338&lt;=$I53,AJ338&gt;$J53),Tarification!$D$8,IF(AND(AJ338&lt;=$J53,AJ338&gt;$K53),Tarification!$D$9,IF(AND(AJ338&lt;=$K53,AJ338&gt;0),Tarification!$D$10,0)))</f>
        <v>0</v>
      </c>
      <c r="AK628" s="37">
        <f>IF(AND(AK338&lt;=$I53,AK338&gt;$J53),Tarification!$D$8,IF(AND(AK338&lt;=$J53,AK338&gt;$K53),Tarification!$D$9,IF(AND(AK338&lt;=$K53,AK338&gt;0),Tarification!$D$10,0)))</f>
        <v>0</v>
      </c>
      <c r="AL628" s="37">
        <f>IF(AND(AL338&lt;=$I53,AL338&gt;$J53),Tarification!$D$8,IF(AND(AL338&lt;=$J53,AL338&gt;$K53),Tarification!$D$9,IF(AND(AL338&lt;=$K53,AL338&gt;0),Tarification!$D$10,0)))</f>
        <v>0</v>
      </c>
      <c r="AM628" s="37">
        <f>IF(AND(AM338&lt;=$I53,AM338&gt;$J53),Tarification!$D$8,IF(AND(AM338&lt;=$J53,AM338&gt;$K53),Tarification!$D$9,IF(AND(AM338&lt;=$K53,AM338&gt;0),Tarification!$D$10,0)))</f>
        <v>0</v>
      </c>
      <c r="AN628" s="37">
        <f>IF(AND(AN338&lt;=$I53,AN338&gt;$J53),Tarification!$D$8,IF(AND(AN338&lt;=$J53,AN338&gt;$K53),Tarification!$D$9,IF(AND(AN338&lt;=$K53,AN338&gt;0),Tarification!$D$10,0)))</f>
        <v>0</v>
      </c>
      <c r="AQ628" s="101">
        <f t="shared" si="148"/>
        <v>2631.5789473684213</v>
      </c>
    </row>
    <row r="629" spans="14:43" ht="15.6">
      <c r="N629" s="39" t="s">
        <v>26</v>
      </c>
      <c r="O629" s="39" t="s">
        <v>251</v>
      </c>
      <c r="P629" t="s">
        <v>665</v>
      </c>
      <c r="Q629" s="39"/>
      <c r="V629" s="37">
        <f>IF(AND(V339&lt;=$I54,V339&gt;$J54),Tarification!$D$8,IF(AND(V339&lt;=$J54,V339&gt;$K54),Tarification!$D$9,IF(AND(V339&lt;=$K54,V339&gt;0),Tarification!$D$10,0)))</f>
        <v>0</v>
      </c>
      <c r="W629" s="37">
        <f>IF(AND(W339&lt;=$I54,W339&gt;$J54),Tarification!$D$8,IF(AND(W339&lt;=$J54,W339&gt;$K54),Tarification!$D$9,IF(AND(W339&lt;=$K54,W339&gt;0),Tarification!$D$10,0)))</f>
        <v>50000</v>
      </c>
      <c r="X629" s="37">
        <f>IF(AND(X339&lt;=$I54,X339&gt;$J54),Tarification!$D$8,IF(AND(X339&lt;=$J54,X339&gt;$K54),Tarification!$D$9,IF(AND(X339&lt;=$K54,X339&gt;0),Tarification!$D$10,0)))</f>
        <v>0</v>
      </c>
      <c r="Y629" s="37">
        <f>IF(AND(Y339&lt;=$I54,Y339&gt;$J54),Tarification!$D$8,IF(AND(Y339&lt;=$J54,Y339&gt;$K54),Tarification!$D$9,IF(AND(Y339&lt;=$K54,Y339&gt;0),Tarification!$D$10,0)))</f>
        <v>0</v>
      </c>
      <c r="Z629" s="37">
        <f>IF(AND(Z339&lt;=$I54,Z339&gt;$J54),Tarification!$D$8,IF(AND(Z339&lt;=$J54,Z339&gt;$K54),Tarification!$D$9,IF(AND(Z339&lt;=$K54,Z339&gt;0),Tarification!$D$10,0)))</f>
        <v>0</v>
      </c>
      <c r="AA629" s="37">
        <f>IF(AND(AA339&lt;=$I54,AA339&gt;$J54),Tarification!$D$8,IF(AND(AA339&lt;=$J54,AA339&gt;$K54),Tarification!$D$9,IF(AND(AA339&lt;=$K54,AA339&gt;0),Tarification!$D$10,0)))</f>
        <v>0</v>
      </c>
      <c r="AB629" s="37">
        <f>IF(AND(AB339&lt;=$I54,AB339&gt;$J54),Tarification!$D$8,IF(AND(AB339&lt;=$J54,AB339&gt;$K54),Tarification!$D$9,IF(AND(AB339&lt;=$K54,AB339&gt;0),Tarification!$D$10,0)))</f>
        <v>0</v>
      </c>
      <c r="AC629" s="37">
        <f>IF(AND(AC339&lt;=$I54,AC339&gt;$J54),Tarification!$D$8,IF(AND(AC339&lt;=$J54,AC339&gt;$K54),Tarification!$D$9,IF(AND(AC339&lt;=$K54,AC339&gt;0),Tarification!$D$10,0)))</f>
        <v>0</v>
      </c>
      <c r="AD629" s="37">
        <f>IF(AND(AD339&lt;=$I54,AD339&gt;$J54),Tarification!$D$8,IF(AND(AD339&lt;=$J54,AD339&gt;$K54),Tarification!$D$9,IF(AND(AD339&lt;=$K54,AD339&gt;0),Tarification!$D$10,0)))</f>
        <v>0</v>
      </c>
      <c r="AE629" s="37">
        <f>IF(AND(AE339&lt;=$I54,AE339&gt;$J54),Tarification!$D$8,IF(AND(AE339&lt;=$J54,AE339&gt;$K54),Tarification!$D$9,IF(AND(AE339&lt;=$K54,AE339&gt;0),Tarification!$D$10,0)))</f>
        <v>250000</v>
      </c>
      <c r="AF629" s="37">
        <f>IF(AND(AF339&lt;=$I54,AF339&gt;$J54),Tarification!$D$8,IF(AND(AF339&lt;=$J54,AF339&gt;$K54),Tarification!$D$9,IF(AND(AF339&lt;=$K54,AF339&gt;0),Tarification!$D$10,0)))</f>
        <v>125000</v>
      </c>
      <c r="AG629" s="37">
        <f>IF(AND(AG339&lt;=$I54,AG339&gt;$J54),Tarification!$D$8,IF(AND(AG339&lt;=$J54,AG339&gt;$K54),Tarification!$D$9,IF(AND(AG339&lt;=$K54,AG339&gt;0),Tarification!$D$10,0)))</f>
        <v>0</v>
      </c>
      <c r="AH629" s="37">
        <f>IF(AND(AH339&lt;=$I54,AH339&gt;$J54),Tarification!$D$8,IF(AND(AH339&lt;=$J54,AH339&gt;$K54),Tarification!$D$9,IF(AND(AH339&lt;=$K54,AH339&gt;0),Tarification!$D$10,0)))</f>
        <v>0</v>
      </c>
      <c r="AI629" s="37">
        <f>IF(AND(AI339&lt;=$I54,AI339&gt;$J54),Tarification!$D$8,IF(AND(AI339&lt;=$J54,AI339&gt;$K54),Tarification!$D$9,IF(AND(AI339&lt;=$K54,AI339&gt;0),Tarification!$D$10,0)))</f>
        <v>0</v>
      </c>
      <c r="AJ629" s="37">
        <f>IF(AND(AJ339&lt;=$I54,AJ339&gt;$J54),Tarification!$D$8,IF(AND(AJ339&lt;=$J54,AJ339&gt;$K54),Tarification!$D$9,IF(AND(AJ339&lt;=$K54,AJ339&gt;0),Tarification!$D$10,0)))</f>
        <v>0</v>
      </c>
      <c r="AK629" s="37">
        <f>IF(AND(AK339&lt;=$I54,AK339&gt;$J54),Tarification!$D$8,IF(AND(AK339&lt;=$J54,AK339&gt;$K54),Tarification!$D$9,IF(AND(AK339&lt;=$K54,AK339&gt;0),Tarification!$D$10,0)))</f>
        <v>0</v>
      </c>
      <c r="AL629" s="37">
        <f>IF(AND(AL339&lt;=$I54,AL339&gt;$J54),Tarification!$D$8,IF(AND(AL339&lt;=$J54,AL339&gt;$K54),Tarification!$D$9,IF(AND(AL339&lt;=$K54,AL339&gt;0),Tarification!$D$10,0)))</f>
        <v>50000</v>
      </c>
      <c r="AM629" s="37">
        <f>IF(AND(AM339&lt;=$I54,AM339&gt;$J54),Tarification!$D$8,IF(AND(AM339&lt;=$J54,AM339&gt;$K54),Tarification!$D$9,IF(AND(AM339&lt;=$K54,AM339&gt;0),Tarification!$D$10,0)))</f>
        <v>0</v>
      </c>
      <c r="AN629" s="37">
        <f>IF(AND(AN339&lt;=$I54,AN339&gt;$J54),Tarification!$D$8,IF(AND(AN339&lt;=$J54,AN339&gt;$K54),Tarification!$D$9,IF(AND(AN339&lt;=$K54,AN339&gt;0),Tarification!$D$10,0)))</f>
        <v>125000</v>
      </c>
      <c r="AQ629" s="101">
        <f t="shared" si="148"/>
        <v>31578.947368421053</v>
      </c>
    </row>
    <row r="630" spans="14:43" ht="15.6">
      <c r="N630" s="39" t="s">
        <v>26</v>
      </c>
      <c r="O630" s="39" t="s">
        <v>527</v>
      </c>
      <c r="P630" t="s">
        <v>666</v>
      </c>
      <c r="Q630" s="39"/>
      <c r="V630" s="37">
        <f>IF(AND(V340&lt;=$I55,V340&gt;$J55),Tarification!$D$8,IF(AND(V340&lt;=$J55,V340&gt;$K55),Tarification!$D$9,IF(AND(V340&lt;=$K55,V340&gt;0),Tarification!$D$10,0)))</f>
        <v>0</v>
      </c>
      <c r="W630" s="37">
        <f>IF(AND(W340&lt;=$I55,W340&gt;$J55),Tarification!$D$8,IF(AND(W340&lt;=$J55,W340&gt;$K55),Tarification!$D$9,IF(AND(W340&lt;=$K55,W340&gt;0),Tarification!$D$10,0)))</f>
        <v>50000</v>
      </c>
      <c r="X630" s="37">
        <f>IF(AND(X340&lt;=$I55,X340&gt;$J55),Tarification!$D$8,IF(AND(X340&lt;=$J55,X340&gt;$K55),Tarification!$D$9,IF(AND(X340&lt;=$K55,X340&gt;0),Tarification!$D$10,0)))</f>
        <v>0</v>
      </c>
      <c r="Y630" s="37">
        <f>IF(AND(Y340&lt;=$I55,Y340&gt;$J55),Tarification!$D$8,IF(AND(Y340&lt;=$J55,Y340&gt;$K55),Tarification!$D$9,IF(AND(Y340&lt;=$K55,Y340&gt;0),Tarification!$D$10,0)))</f>
        <v>0</v>
      </c>
      <c r="Z630" s="37">
        <f>IF(AND(Z340&lt;=$I55,Z340&gt;$J55),Tarification!$D$8,IF(AND(Z340&lt;=$J55,Z340&gt;$K55),Tarification!$D$9,IF(AND(Z340&lt;=$K55,Z340&gt;0),Tarification!$D$10,0)))</f>
        <v>0</v>
      </c>
      <c r="AA630" s="37">
        <f>IF(AND(AA340&lt;=$I55,AA340&gt;$J55),Tarification!$D$8,IF(AND(AA340&lt;=$J55,AA340&gt;$K55),Tarification!$D$9,IF(AND(AA340&lt;=$K55,AA340&gt;0),Tarification!$D$10,0)))</f>
        <v>0</v>
      </c>
      <c r="AB630" s="37">
        <f>IF(AND(AB340&lt;=$I55,AB340&gt;$J55),Tarification!$D$8,IF(AND(AB340&lt;=$J55,AB340&gt;$K55),Tarification!$D$9,IF(AND(AB340&lt;=$K55,AB340&gt;0),Tarification!$D$10,0)))</f>
        <v>0</v>
      </c>
      <c r="AC630" s="37">
        <f>IF(AND(AC340&lt;=$I55,AC340&gt;$J55),Tarification!$D$8,IF(AND(AC340&lt;=$J55,AC340&gt;$K55),Tarification!$D$9,IF(AND(AC340&lt;=$K55,AC340&gt;0),Tarification!$D$10,0)))</f>
        <v>0</v>
      </c>
      <c r="AD630" s="37">
        <f>IF(AND(AD340&lt;=$I55,AD340&gt;$J55),Tarification!$D$8,IF(AND(AD340&lt;=$J55,AD340&gt;$K55),Tarification!$D$9,IF(AND(AD340&lt;=$K55,AD340&gt;0),Tarification!$D$10,0)))</f>
        <v>0</v>
      </c>
      <c r="AE630" s="37">
        <f>IF(AND(AE340&lt;=$I55,AE340&gt;$J55),Tarification!$D$8,IF(AND(AE340&lt;=$J55,AE340&gt;$K55),Tarification!$D$9,IF(AND(AE340&lt;=$K55,AE340&gt;0),Tarification!$D$10,0)))</f>
        <v>50000</v>
      </c>
      <c r="AF630" s="37">
        <f>IF(AND(AF340&lt;=$I55,AF340&gt;$J55),Tarification!$D$8,IF(AND(AF340&lt;=$J55,AF340&gt;$K55),Tarification!$D$9,IF(AND(AF340&lt;=$K55,AF340&gt;0),Tarification!$D$10,0)))</f>
        <v>0</v>
      </c>
      <c r="AG630" s="37">
        <f>IF(AND(AG340&lt;=$I55,AG340&gt;$J55),Tarification!$D$8,IF(AND(AG340&lt;=$J55,AG340&gt;$K55),Tarification!$D$9,IF(AND(AG340&lt;=$K55,AG340&gt;0),Tarification!$D$10,0)))</f>
        <v>0</v>
      </c>
      <c r="AH630" s="37">
        <f>IF(AND(AH340&lt;=$I55,AH340&gt;$J55),Tarification!$D$8,IF(AND(AH340&lt;=$J55,AH340&gt;$K55),Tarification!$D$9,IF(AND(AH340&lt;=$K55,AH340&gt;0),Tarification!$D$10,0)))</f>
        <v>0</v>
      </c>
      <c r="AI630" s="37">
        <f>IF(AND(AI340&lt;=$I55,AI340&gt;$J55),Tarification!$D$8,IF(AND(AI340&lt;=$J55,AI340&gt;$K55),Tarification!$D$9,IF(AND(AI340&lt;=$K55,AI340&gt;0),Tarification!$D$10,0)))</f>
        <v>50000</v>
      </c>
      <c r="AJ630" s="37">
        <f>IF(AND(AJ340&lt;=$I55,AJ340&gt;$J55),Tarification!$D$8,IF(AND(AJ340&lt;=$J55,AJ340&gt;$K55),Tarification!$D$9,IF(AND(AJ340&lt;=$K55,AJ340&gt;0),Tarification!$D$10,0)))</f>
        <v>0</v>
      </c>
      <c r="AK630" s="37">
        <f>IF(AND(AK340&lt;=$I55,AK340&gt;$J55),Tarification!$D$8,IF(AND(AK340&lt;=$J55,AK340&gt;$K55),Tarification!$D$9,IF(AND(AK340&lt;=$K55,AK340&gt;0),Tarification!$D$10,0)))</f>
        <v>0</v>
      </c>
      <c r="AL630" s="37">
        <f>IF(AND(AL340&lt;=$I55,AL340&gt;$J55),Tarification!$D$8,IF(AND(AL340&lt;=$J55,AL340&gt;$K55),Tarification!$D$9,IF(AND(AL340&lt;=$K55,AL340&gt;0),Tarification!$D$10,0)))</f>
        <v>0</v>
      </c>
      <c r="AM630" s="37">
        <f>IF(AND(AM340&lt;=$I55,AM340&gt;$J55),Tarification!$D$8,IF(AND(AM340&lt;=$J55,AM340&gt;$K55),Tarification!$D$9,IF(AND(AM340&lt;=$K55,AM340&gt;0),Tarification!$D$10,0)))</f>
        <v>0</v>
      </c>
      <c r="AN630" s="37">
        <f>IF(AND(AN340&lt;=$I55,AN340&gt;$J55),Tarification!$D$8,IF(AND(AN340&lt;=$J55,AN340&gt;$K55),Tarification!$D$9,IF(AND(AN340&lt;=$K55,AN340&gt;0),Tarification!$D$10,0)))</f>
        <v>125000</v>
      </c>
      <c r="AQ630" s="101">
        <f t="shared" si="148"/>
        <v>14473.684210526315</v>
      </c>
    </row>
    <row r="631" spans="14:43" ht="15.6">
      <c r="N631" s="39" t="s">
        <v>26</v>
      </c>
      <c r="O631" s="39" t="s">
        <v>434</v>
      </c>
      <c r="P631" t="s">
        <v>667</v>
      </c>
      <c r="Q631" s="39"/>
      <c r="V631" s="37">
        <f>IF(AND(V341&lt;=$I56,V341&gt;$J56),Tarification!$D$8,IF(AND(V341&lt;=$J56,V341&gt;$K56),Tarification!$D$9,IF(AND(V341&lt;=$K56,V341&gt;0),Tarification!$D$10,0)))</f>
        <v>0</v>
      </c>
      <c r="W631" s="37">
        <f>IF(AND(W341&lt;=$I56,W341&gt;$J56),Tarification!$D$8,IF(AND(W341&lt;=$J56,W341&gt;$K56),Tarification!$D$9,IF(AND(W341&lt;=$K56,W341&gt;0),Tarification!$D$10,0)))</f>
        <v>0</v>
      </c>
      <c r="X631" s="37">
        <f>IF(AND(X341&lt;=$I56,X341&gt;$J56),Tarification!$D$8,IF(AND(X341&lt;=$J56,X341&gt;$K56),Tarification!$D$9,IF(AND(X341&lt;=$K56,X341&gt;0),Tarification!$D$10,0)))</f>
        <v>0</v>
      </c>
      <c r="Y631" s="37">
        <f>IF(AND(Y341&lt;=$I56,Y341&gt;$J56),Tarification!$D$8,IF(AND(Y341&lt;=$J56,Y341&gt;$K56),Tarification!$D$9,IF(AND(Y341&lt;=$K56,Y341&gt;0),Tarification!$D$10,0)))</f>
        <v>0</v>
      </c>
      <c r="Z631" s="37">
        <f>IF(AND(Z341&lt;=$I56,Z341&gt;$J56),Tarification!$D$8,IF(AND(Z341&lt;=$J56,Z341&gt;$K56),Tarification!$D$9,IF(AND(Z341&lt;=$K56,Z341&gt;0),Tarification!$D$10,0)))</f>
        <v>0</v>
      </c>
      <c r="AA631" s="37">
        <f>IF(AND(AA341&lt;=$I56,AA341&gt;$J56),Tarification!$D$8,IF(AND(AA341&lt;=$J56,AA341&gt;$K56),Tarification!$D$9,IF(AND(AA341&lt;=$K56,AA341&gt;0),Tarification!$D$10,0)))</f>
        <v>0</v>
      </c>
      <c r="AB631" s="37">
        <f>IF(AND(AB341&lt;=$I56,AB341&gt;$J56),Tarification!$D$8,IF(AND(AB341&lt;=$J56,AB341&gt;$K56),Tarification!$D$9,IF(AND(AB341&lt;=$K56,AB341&gt;0),Tarification!$D$10,0)))</f>
        <v>0</v>
      </c>
      <c r="AC631" s="37">
        <f>IF(AND(AC341&lt;=$I56,AC341&gt;$J56),Tarification!$D$8,IF(AND(AC341&lt;=$J56,AC341&gt;$K56),Tarification!$D$9,IF(AND(AC341&lt;=$K56,AC341&gt;0),Tarification!$D$10,0)))</f>
        <v>0</v>
      </c>
      <c r="AD631" s="37">
        <f>IF(AND(AD341&lt;=$I56,AD341&gt;$J56),Tarification!$D$8,IF(AND(AD341&lt;=$J56,AD341&gt;$K56),Tarification!$D$9,IF(AND(AD341&lt;=$K56,AD341&gt;0),Tarification!$D$10,0)))</f>
        <v>0</v>
      </c>
      <c r="AE631" s="37">
        <f>IF(AND(AE341&lt;=$I56,AE341&gt;$J56),Tarification!$D$8,IF(AND(AE341&lt;=$J56,AE341&gt;$K56),Tarification!$D$9,IF(AND(AE341&lt;=$K56,AE341&gt;0),Tarification!$D$10,0)))</f>
        <v>0</v>
      </c>
      <c r="AF631" s="37">
        <f>IF(AND(AF341&lt;=$I56,AF341&gt;$J56),Tarification!$D$8,IF(AND(AF341&lt;=$J56,AF341&gt;$K56),Tarification!$D$9,IF(AND(AF341&lt;=$K56,AF341&gt;0),Tarification!$D$10,0)))</f>
        <v>0</v>
      </c>
      <c r="AG631" s="37">
        <f>IF(AND(AG341&lt;=$I56,AG341&gt;$J56),Tarification!$D$8,IF(AND(AG341&lt;=$J56,AG341&gt;$K56),Tarification!$D$9,IF(AND(AG341&lt;=$K56,AG341&gt;0),Tarification!$D$10,0)))</f>
        <v>0</v>
      </c>
      <c r="AH631" s="37">
        <f>IF(AND(AH341&lt;=$I56,AH341&gt;$J56),Tarification!$D$8,IF(AND(AH341&lt;=$J56,AH341&gt;$K56),Tarification!$D$9,IF(AND(AH341&lt;=$K56,AH341&gt;0),Tarification!$D$10,0)))</f>
        <v>0</v>
      </c>
      <c r="AI631" s="37">
        <f>IF(AND(AI341&lt;=$I56,AI341&gt;$J56),Tarification!$D$8,IF(AND(AI341&lt;=$J56,AI341&gt;$K56),Tarification!$D$9,IF(AND(AI341&lt;=$K56,AI341&gt;0),Tarification!$D$10,0)))</f>
        <v>0</v>
      </c>
      <c r="AJ631" s="37">
        <f>IF(AND(AJ341&lt;=$I56,AJ341&gt;$J56),Tarification!$D$8,IF(AND(AJ341&lt;=$J56,AJ341&gt;$K56),Tarification!$D$9,IF(AND(AJ341&lt;=$K56,AJ341&gt;0),Tarification!$D$10,0)))</f>
        <v>0</v>
      </c>
      <c r="AK631" s="37">
        <f>IF(AND(AK341&lt;=$I56,AK341&gt;$J56),Tarification!$D$8,IF(AND(AK341&lt;=$J56,AK341&gt;$K56),Tarification!$D$9,IF(AND(AK341&lt;=$K56,AK341&gt;0),Tarification!$D$10,0)))</f>
        <v>0</v>
      </c>
      <c r="AL631" s="37">
        <f>IF(AND(AL341&lt;=$I56,AL341&gt;$J56),Tarification!$D$8,IF(AND(AL341&lt;=$J56,AL341&gt;$K56),Tarification!$D$9,IF(AND(AL341&lt;=$K56,AL341&gt;0),Tarification!$D$10,0)))</f>
        <v>0</v>
      </c>
      <c r="AM631" s="37">
        <f>IF(AND(AM341&lt;=$I56,AM341&gt;$J56),Tarification!$D$8,IF(AND(AM341&lt;=$J56,AM341&gt;$K56),Tarification!$D$9,IF(AND(AM341&lt;=$K56,AM341&gt;0),Tarification!$D$10,0)))</f>
        <v>0</v>
      </c>
      <c r="AN631" s="37">
        <f>IF(AND(AN341&lt;=$I56,AN341&gt;$J56),Tarification!$D$8,IF(AND(AN341&lt;=$J56,AN341&gt;$K56),Tarification!$D$9,IF(AND(AN341&lt;=$K56,AN341&gt;0),Tarification!$D$10,0)))</f>
        <v>0</v>
      </c>
      <c r="AQ631" s="101">
        <f t="shared" si="148"/>
        <v>0</v>
      </c>
    </row>
    <row r="632" spans="14:43" ht="15.6">
      <c r="N632" s="39" t="s">
        <v>26</v>
      </c>
      <c r="O632" s="39" t="s">
        <v>576</v>
      </c>
      <c r="P632" t="s">
        <v>668</v>
      </c>
      <c r="Q632" s="39"/>
      <c r="V632" s="37">
        <f>IF(AND(V342&lt;=$I57,V342&gt;$J57),Tarification!$D$8,IF(AND(V342&lt;=$J57,V342&gt;$K57),Tarification!$D$9,IF(AND(V342&lt;=$K57,V342&gt;0),Tarification!$D$10,0)))</f>
        <v>0</v>
      </c>
      <c r="W632" s="37">
        <f>IF(AND(W342&lt;=$I57,W342&gt;$J57),Tarification!$D$8,IF(AND(W342&lt;=$J57,W342&gt;$K57),Tarification!$D$9,IF(AND(W342&lt;=$K57,W342&gt;0),Tarification!$D$10,0)))</f>
        <v>0</v>
      </c>
      <c r="X632" s="37">
        <f>IF(AND(X342&lt;=$I57,X342&gt;$J57),Tarification!$D$8,IF(AND(X342&lt;=$J57,X342&gt;$K57),Tarification!$D$9,IF(AND(X342&lt;=$K57,X342&gt;0),Tarification!$D$10,0)))</f>
        <v>0</v>
      </c>
      <c r="Y632" s="37">
        <f>IF(AND(Y342&lt;=$I57,Y342&gt;$J57),Tarification!$D$8,IF(AND(Y342&lt;=$J57,Y342&gt;$K57),Tarification!$D$9,IF(AND(Y342&lt;=$K57,Y342&gt;0),Tarification!$D$10,0)))</f>
        <v>0</v>
      </c>
      <c r="Z632" s="37">
        <f>IF(AND(Z342&lt;=$I57,Z342&gt;$J57),Tarification!$D$8,IF(AND(Z342&lt;=$J57,Z342&gt;$K57),Tarification!$D$9,IF(AND(Z342&lt;=$K57,Z342&gt;0),Tarification!$D$10,0)))</f>
        <v>0</v>
      </c>
      <c r="AA632" s="37">
        <f>IF(AND(AA342&lt;=$I57,AA342&gt;$J57),Tarification!$D$8,IF(AND(AA342&lt;=$J57,AA342&gt;$K57),Tarification!$D$9,IF(AND(AA342&lt;=$K57,AA342&gt;0),Tarification!$D$10,0)))</f>
        <v>0</v>
      </c>
      <c r="AB632" s="37">
        <f>IF(AND(AB342&lt;=$I57,AB342&gt;$J57),Tarification!$D$8,IF(AND(AB342&lt;=$J57,AB342&gt;$K57),Tarification!$D$9,IF(AND(AB342&lt;=$K57,AB342&gt;0),Tarification!$D$10,0)))</f>
        <v>0</v>
      </c>
      <c r="AC632" s="37">
        <f>IF(AND(AC342&lt;=$I57,AC342&gt;$J57),Tarification!$D$8,IF(AND(AC342&lt;=$J57,AC342&gt;$K57),Tarification!$D$9,IF(AND(AC342&lt;=$K57,AC342&gt;0),Tarification!$D$10,0)))</f>
        <v>50000</v>
      </c>
      <c r="AD632" s="37">
        <f>IF(AND(AD342&lt;=$I57,AD342&gt;$J57),Tarification!$D$8,IF(AND(AD342&lt;=$J57,AD342&gt;$K57),Tarification!$D$9,IF(AND(AD342&lt;=$K57,AD342&gt;0),Tarification!$D$10,0)))</f>
        <v>0</v>
      </c>
      <c r="AE632" s="37">
        <f>IF(AND(AE342&lt;=$I57,AE342&gt;$J57),Tarification!$D$8,IF(AND(AE342&lt;=$J57,AE342&gt;$K57),Tarification!$D$9,IF(AND(AE342&lt;=$K57,AE342&gt;0),Tarification!$D$10,0)))</f>
        <v>125000</v>
      </c>
      <c r="AF632" s="37">
        <f>IF(AND(AF342&lt;=$I57,AF342&gt;$J57),Tarification!$D$8,IF(AND(AF342&lt;=$J57,AF342&gt;$K57),Tarification!$D$9,IF(AND(AF342&lt;=$K57,AF342&gt;0),Tarification!$D$10,0)))</f>
        <v>0</v>
      </c>
      <c r="AG632" s="37">
        <f>IF(AND(AG342&lt;=$I57,AG342&gt;$J57),Tarification!$D$8,IF(AND(AG342&lt;=$J57,AG342&gt;$K57),Tarification!$D$9,IF(AND(AG342&lt;=$K57,AG342&gt;0),Tarification!$D$10,0)))</f>
        <v>0</v>
      </c>
      <c r="AH632" s="37">
        <f>IF(AND(AH342&lt;=$I57,AH342&gt;$J57),Tarification!$D$8,IF(AND(AH342&lt;=$J57,AH342&gt;$K57),Tarification!$D$9,IF(AND(AH342&lt;=$K57,AH342&gt;0),Tarification!$D$10,0)))</f>
        <v>0</v>
      </c>
      <c r="AI632" s="37">
        <f>IF(AND(AI342&lt;=$I57,AI342&gt;$J57),Tarification!$D$8,IF(AND(AI342&lt;=$J57,AI342&gt;$K57),Tarification!$D$9,IF(AND(AI342&lt;=$K57,AI342&gt;0),Tarification!$D$10,0)))</f>
        <v>0</v>
      </c>
      <c r="AJ632" s="37">
        <f>IF(AND(AJ342&lt;=$I57,AJ342&gt;$J57),Tarification!$D$8,IF(AND(AJ342&lt;=$J57,AJ342&gt;$K57),Tarification!$D$9,IF(AND(AJ342&lt;=$K57,AJ342&gt;0),Tarification!$D$10,0)))</f>
        <v>0</v>
      </c>
      <c r="AK632" s="37">
        <f>IF(AND(AK342&lt;=$I57,AK342&gt;$J57),Tarification!$D$8,IF(AND(AK342&lt;=$J57,AK342&gt;$K57),Tarification!$D$9,IF(AND(AK342&lt;=$K57,AK342&gt;0),Tarification!$D$10,0)))</f>
        <v>0</v>
      </c>
      <c r="AL632" s="37">
        <f>IF(AND(AL342&lt;=$I57,AL342&gt;$J57),Tarification!$D$8,IF(AND(AL342&lt;=$J57,AL342&gt;$K57),Tarification!$D$9,IF(AND(AL342&lt;=$K57,AL342&gt;0),Tarification!$D$10,0)))</f>
        <v>0</v>
      </c>
      <c r="AM632" s="37">
        <f>IF(AND(AM342&lt;=$I57,AM342&gt;$J57),Tarification!$D$8,IF(AND(AM342&lt;=$J57,AM342&gt;$K57),Tarification!$D$9,IF(AND(AM342&lt;=$K57,AM342&gt;0),Tarification!$D$10,0)))</f>
        <v>0</v>
      </c>
      <c r="AN632" s="37">
        <f>IF(AND(AN342&lt;=$I57,AN342&gt;$J57),Tarification!$D$8,IF(AND(AN342&lt;=$J57,AN342&gt;$K57),Tarification!$D$9,IF(AND(AN342&lt;=$K57,AN342&gt;0),Tarification!$D$10,0)))</f>
        <v>0</v>
      </c>
      <c r="AQ632" s="101">
        <f t="shared" si="148"/>
        <v>9210.5263157894733</v>
      </c>
    </row>
    <row r="633" spans="14:43" ht="15.6">
      <c r="N633" s="39" t="s">
        <v>26</v>
      </c>
      <c r="O633" s="39" t="s">
        <v>434</v>
      </c>
      <c r="P633" t="s">
        <v>669</v>
      </c>
      <c r="Q633" s="39"/>
      <c r="V633" s="37">
        <f>IF(AND(V343&lt;=$I58,V343&gt;$J58),Tarification!$D$8,IF(AND(V343&lt;=$J58,V343&gt;$K58),Tarification!$D$9,IF(AND(V343&lt;=$K58,V343&gt;0),Tarification!$D$10,0)))</f>
        <v>0</v>
      </c>
      <c r="W633" s="37">
        <f>IF(AND(W343&lt;=$I58,W343&gt;$J58),Tarification!$D$8,IF(AND(W343&lt;=$J58,W343&gt;$K58),Tarification!$D$9,IF(AND(W343&lt;=$K58,W343&gt;0),Tarification!$D$10,0)))</f>
        <v>50000</v>
      </c>
      <c r="X633" s="37">
        <f>IF(AND(X343&lt;=$I58,X343&gt;$J58),Tarification!$D$8,IF(AND(X343&lt;=$J58,X343&gt;$K58),Tarification!$D$9,IF(AND(X343&lt;=$K58,X343&gt;0),Tarification!$D$10,0)))</f>
        <v>0</v>
      </c>
      <c r="Y633" s="37">
        <f>IF(AND(Y343&lt;=$I58,Y343&gt;$J58),Tarification!$D$8,IF(AND(Y343&lt;=$J58,Y343&gt;$K58),Tarification!$D$9,IF(AND(Y343&lt;=$K58,Y343&gt;0),Tarification!$D$10,0)))</f>
        <v>0</v>
      </c>
      <c r="Z633" s="37">
        <f>IF(AND(Z343&lt;=$I58,Z343&gt;$J58),Tarification!$D$8,IF(AND(Z343&lt;=$J58,Z343&gt;$K58),Tarification!$D$9,IF(AND(Z343&lt;=$K58,Z343&gt;0),Tarification!$D$10,0)))</f>
        <v>0</v>
      </c>
      <c r="AA633" s="37">
        <f>IF(AND(AA343&lt;=$I58,AA343&gt;$J58),Tarification!$D$8,IF(AND(AA343&lt;=$J58,AA343&gt;$K58),Tarification!$D$9,IF(AND(AA343&lt;=$K58,AA343&gt;0),Tarification!$D$10,0)))</f>
        <v>0</v>
      </c>
      <c r="AB633" s="37">
        <f>IF(AND(AB343&lt;=$I58,AB343&gt;$J58),Tarification!$D$8,IF(AND(AB343&lt;=$J58,AB343&gt;$K58),Tarification!$D$9,IF(AND(AB343&lt;=$K58,AB343&gt;0),Tarification!$D$10,0)))</f>
        <v>0</v>
      </c>
      <c r="AC633" s="37">
        <f>IF(AND(AC343&lt;=$I58,AC343&gt;$J58),Tarification!$D$8,IF(AND(AC343&lt;=$J58,AC343&gt;$K58),Tarification!$D$9,IF(AND(AC343&lt;=$K58,AC343&gt;0),Tarification!$D$10,0)))</f>
        <v>0</v>
      </c>
      <c r="AD633" s="37">
        <f>IF(AND(AD343&lt;=$I58,AD343&gt;$J58),Tarification!$D$8,IF(AND(AD343&lt;=$J58,AD343&gt;$K58),Tarification!$D$9,IF(AND(AD343&lt;=$K58,AD343&gt;0),Tarification!$D$10,0)))</f>
        <v>0</v>
      </c>
      <c r="AE633" s="37">
        <f>IF(AND(AE343&lt;=$I58,AE343&gt;$J58),Tarification!$D$8,IF(AND(AE343&lt;=$J58,AE343&gt;$K58),Tarification!$D$9,IF(AND(AE343&lt;=$K58,AE343&gt;0),Tarification!$D$10,0)))</f>
        <v>0</v>
      </c>
      <c r="AF633" s="37">
        <f>IF(AND(AF343&lt;=$I58,AF343&gt;$J58),Tarification!$D$8,IF(AND(AF343&lt;=$J58,AF343&gt;$K58),Tarification!$D$9,IF(AND(AF343&lt;=$K58,AF343&gt;0),Tarification!$D$10,0)))</f>
        <v>0</v>
      </c>
      <c r="AG633" s="37">
        <f>IF(AND(AG343&lt;=$I58,AG343&gt;$J58),Tarification!$D$8,IF(AND(AG343&lt;=$J58,AG343&gt;$K58),Tarification!$D$9,IF(AND(AG343&lt;=$K58,AG343&gt;0),Tarification!$D$10,0)))</f>
        <v>0</v>
      </c>
      <c r="AH633" s="37">
        <f>IF(AND(AH343&lt;=$I58,AH343&gt;$J58),Tarification!$D$8,IF(AND(AH343&lt;=$J58,AH343&gt;$K58),Tarification!$D$9,IF(AND(AH343&lt;=$K58,AH343&gt;0),Tarification!$D$10,0)))</f>
        <v>0</v>
      </c>
      <c r="AI633" s="37">
        <f>IF(AND(AI343&lt;=$I58,AI343&gt;$J58),Tarification!$D$8,IF(AND(AI343&lt;=$J58,AI343&gt;$K58),Tarification!$D$9,IF(AND(AI343&lt;=$K58,AI343&gt;0),Tarification!$D$10,0)))</f>
        <v>50000</v>
      </c>
      <c r="AJ633" s="37">
        <f>IF(AND(AJ343&lt;=$I58,AJ343&gt;$J58),Tarification!$D$8,IF(AND(AJ343&lt;=$J58,AJ343&gt;$K58),Tarification!$D$9,IF(AND(AJ343&lt;=$K58,AJ343&gt;0),Tarification!$D$10,0)))</f>
        <v>0</v>
      </c>
      <c r="AK633" s="37">
        <f>IF(AND(AK343&lt;=$I58,AK343&gt;$J58),Tarification!$D$8,IF(AND(AK343&lt;=$J58,AK343&gt;$K58),Tarification!$D$9,IF(AND(AK343&lt;=$K58,AK343&gt;0),Tarification!$D$10,0)))</f>
        <v>0</v>
      </c>
      <c r="AL633" s="37">
        <f>IF(AND(AL343&lt;=$I58,AL343&gt;$J58),Tarification!$D$8,IF(AND(AL343&lt;=$J58,AL343&gt;$K58),Tarification!$D$9,IF(AND(AL343&lt;=$K58,AL343&gt;0),Tarification!$D$10,0)))</f>
        <v>0</v>
      </c>
      <c r="AM633" s="37">
        <f>IF(AND(AM343&lt;=$I58,AM343&gt;$J58),Tarification!$D$8,IF(AND(AM343&lt;=$J58,AM343&gt;$K58),Tarification!$D$9,IF(AND(AM343&lt;=$K58,AM343&gt;0),Tarification!$D$10,0)))</f>
        <v>0</v>
      </c>
      <c r="AN633" s="37">
        <f>IF(AND(AN343&lt;=$I58,AN343&gt;$J58),Tarification!$D$8,IF(AND(AN343&lt;=$J58,AN343&gt;$K58),Tarification!$D$9,IF(AND(AN343&lt;=$K58,AN343&gt;0),Tarification!$D$10,0)))</f>
        <v>0</v>
      </c>
      <c r="AQ633" s="101">
        <f t="shared" si="148"/>
        <v>5263.1578947368425</v>
      </c>
    </row>
    <row r="634" spans="14:43" ht="15.6">
      <c r="N634" s="39" t="s">
        <v>26</v>
      </c>
      <c r="O634" s="39" t="s">
        <v>441</v>
      </c>
      <c r="P634" t="s">
        <v>670</v>
      </c>
      <c r="Q634" s="39"/>
      <c r="V634" s="37">
        <f>IF(AND(V344&lt;=$I59,V344&gt;$J59),Tarification!$D$8,IF(AND(V344&lt;=$J59,V344&gt;$K59),Tarification!$D$9,IF(AND(V344&lt;=$K59,V344&gt;0),Tarification!$D$10,0)))</f>
        <v>0</v>
      </c>
      <c r="W634" s="37">
        <f>IF(AND(W344&lt;=$I59,W344&gt;$J59),Tarification!$D$8,IF(AND(W344&lt;=$J59,W344&gt;$K59),Tarification!$D$9,IF(AND(W344&lt;=$K59,W344&gt;0),Tarification!$D$10,0)))</f>
        <v>0</v>
      </c>
      <c r="X634" s="37">
        <f>IF(AND(X344&lt;=$I59,X344&gt;$J59),Tarification!$D$8,IF(AND(X344&lt;=$J59,X344&gt;$K59),Tarification!$D$9,IF(AND(X344&lt;=$K59,X344&gt;0),Tarification!$D$10,0)))</f>
        <v>0</v>
      </c>
      <c r="Y634" s="37">
        <f>IF(AND(Y344&lt;=$I59,Y344&gt;$J59),Tarification!$D$8,IF(AND(Y344&lt;=$J59,Y344&gt;$K59),Tarification!$D$9,IF(AND(Y344&lt;=$K59,Y344&gt;0),Tarification!$D$10,0)))</f>
        <v>0</v>
      </c>
      <c r="Z634" s="37">
        <f>IF(AND(Z344&lt;=$I59,Z344&gt;$J59),Tarification!$D$8,IF(AND(Z344&lt;=$J59,Z344&gt;$K59),Tarification!$D$9,IF(AND(Z344&lt;=$K59,Z344&gt;0),Tarification!$D$10,0)))</f>
        <v>0</v>
      </c>
      <c r="AA634" s="37">
        <f>IF(AND(AA344&lt;=$I59,AA344&gt;$J59),Tarification!$D$8,IF(AND(AA344&lt;=$J59,AA344&gt;$K59),Tarification!$D$9,IF(AND(AA344&lt;=$K59,AA344&gt;0),Tarification!$D$10,0)))</f>
        <v>0</v>
      </c>
      <c r="AB634" s="37">
        <f>IF(AND(AB344&lt;=$I59,AB344&gt;$J59),Tarification!$D$8,IF(AND(AB344&lt;=$J59,AB344&gt;$K59),Tarification!$D$9,IF(AND(AB344&lt;=$K59,AB344&gt;0),Tarification!$D$10,0)))</f>
        <v>0</v>
      </c>
      <c r="AC634" s="37">
        <f>IF(AND(AC344&lt;=$I59,AC344&gt;$J59),Tarification!$D$8,IF(AND(AC344&lt;=$J59,AC344&gt;$K59),Tarification!$D$9,IF(AND(AC344&lt;=$K59,AC344&gt;0),Tarification!$D$10,0)))</f>
        <v>0</v>
      </c>
      <c r="AD634" s="37">
        <f>IF(AND(AD344&lt;=$I59,AD344&gt;$J59),Tarification!$D$8,IF(AND(AD344&lt;=$J59,AD344&gt;$K59),Tarification!$D$9,IF(AND(AD344&lt;=$K59,AD344&gt;0),Tarification!$D$10,0)))</f>
        <v>0</v>
      </c>
      <c r="AE634" s="37">
        <f>IF(AND(AE344&lt;=$I59,AE344&gt;$J59),Tarification!$D$8,IF(AND(AE344&lt;=$J59,AE344&gt;$K59),Tarification!$D$9,IF(AND(AE344&lt;=$K59,AE344&gt;0),Tarification!$D$10,0)))</f>
        <v>0</v>
      </c>
      <c r="AF634" s="37">
        <f>IF(AND(AF344&lt;=$I59,AF344&gt;$J59),Tarification!$D$8,IF(AND(AF344&lt;=$J59,AF344&gt;$K59),Tarification!$D$9,IF(AND(AF344&lt;=$K59,AF344&gt;0),Tarification!$D$10,0)))</f>
        <v>0</v>
      </c>
      <c r="AG634" s="37">
        <f>IF(AND(AG344&lt;=$I59,AG344&gt;$J59),Tarification!$D$8,IF(AND(AG344&lt;=$J59,AG344&gt;$K59),Tarification!$D$9,IF(AND(AG344&lt;=$K59,AG344&gt;0),Tarification!$D$10,0)))</f>
        <v>0</v>
      </c>
      <c r="AH634" s="37">
        <f>IF(AND(AH344&lt;=$I59,AH344&gt;$J59),Tarification!$D$8,IF(AND(AH344&lt;=$J59,AH344&gt;$K59),Tarification!$D$9,IF(AND(AH344&lt;=$K59,AH344&gt;0),Tarification!$D$10,0)))</f>
        <v>0</v>
      </c>
      <c r="AI634" s="37">
        <f>IF(AND(AI344&lt;=$I59,AI344&gt;$J59),Tarification!$D$8,IF(AND(AI344&lt;=$J59,AI344&gt;$K59),Tarification!$D$9,IF(AND(AI344&lt;=$K59,AI344&gt;0),Tarification!$D$10,0)))</f>
        <v>0</v>
      </c>
      <c r="AJ634" s="37">
        <f>IF(AND(AJ344&lt;=$I59,AJ344&gt;$J59),Tarification!$D$8,IF(AND(AJ344&lt;=$J59,AJ344&gt;$K59),Tarification!$D$9,IF(AND(AJ344&lt;=$K59,AJ344&gt;0),Tarification!$D$10,0)))</f>
        <v>0</v>
      </c>
      <c r="AK634" s="37">
        <f>IF(AND(AK344&lt;=$I59,AK344&gt;$J59),Tarification!$D$8,IF(AND(AK344&lt;=$J59,AK344&gt;$K59),Tarification!$D$9,IF(AND(AK344&lt;=$K59,AK344&gt;0),Tarification!$D$10,0)))</f>
        <v>0</v>
      </c>
      <c r="AL634" s="37">
        <f>IF(AND(AL344&lt;=$I59,AL344&gt;$J59),Tarification!$D$8,IF(AND(AL344&lt;=$J59,AL344&gt;$K59),Tarification!$D$9,IF(AND(AL344&lt;=$K59,AL344&gt;0),Tarification!$D$10,0)))</f>
        <v>0</v>
      </c>
      <c r="AM634" s="37">
        <f>IF(AND(AM344&lt;=$I59,AM344&gt;$J59),Tarification!$D$8,IF(AND(AM344&lt;=$J59,AM344&gt;$K59),Tarification!$D$9,IF(AND(AM344&lt;=$K59,AM344&gt;0),Tarification!$D$10,0)))</f>
        <v>0</v>
      </c>
      <c r="AN634" s="37">
        <f>IF(AND(AN344&lt;=$I59,AN344&gt;$J59),Tarification!$D$8,IF(AND(AN344&lt;=$J59,AN344&gt;$K59),Tarification!$D$9,IF(AND(AN344&lt;=$K59,AN344&gt;0),Tarification!$D$10,0)))</f>
        <v>0</v>
      </c>
      <c r="AQ634" s="101">
        <f t="shared" si="148"/>
        <v>0</v>
      </c>
    </row>
    <row r="635" spans="14:43" ht="15.6">
      <c r="N635" s="39" t="s">
        <v>26</v>
      </c>
      <c r="O635" s="39" t="s">
        <v>527</v>
      </c>
      <c r="P635" t="s">
        <v>671</v>
      </c>
      <c r="Q635" s="39"/>
      <c r="V635" s="37">
        <f>IF(AND(V345&lt;=$I60,V345&gt;$J60),Tarification!$D$8,IF(AND(V345&lt;=$J60,V345&gt;$K60),Tarification!$D$9,IF(AND(V345&lt;=$K60,V345&gt;0),Tarification!$D$10,0)))</f>
        <v>0</v>
      </c>
      <c r="W635" s="37">
        <f>IF(AND(W345&lt;=$I60,W345&gt;$J60),Tarification!$D$8,IF(AND(W345&lt;=$J60,W345&gt;$K60),Tarification!$D$9,IF(AND(W345&lt;=$K60,W345&gt;0),Tarification!$D$10,0)))</f>
        <v>50000</v>
      </c>
      <c r="X635" s="37">
        <f>IF(AND(X345&lt;=$I60,X345&gt;$J60),Tarification!$D$8,IF(AND(X345&lt;=$J60,X345&gt;$K60),Tarification!$D$9,IF(AND(X345&lt;=$K60,X345&gt;0),Tarification!$D$10,0)))</f>
        <v>0</v>
      </c>
      <c r="Y635" s="37">
        <f>IF(AND(Y345&lt;=$I60,Y345&gt;$J60),Tarification!$D$8,IF(AND(Y345&lt;=$J60,Y345&gt;$K60),Tarification!$D$9,IF(AND(Y345&lt;=$K60,Y345&gt;0),Tarification!$D$10,0)))</f>
        <v>0</v>
      </c>
      <c r="Z635" s="37">
        <f>IF(AND(Z345&lt;=$I60,Z345&gt;$J60),Tarification!$D$8,IF(AND(Z345&lt;=$J60,Z345&gt;$K60),Tarification!$D$9,IF(AND(Z345&lt;=$K60,Z345&gt;0),Tarification!$D$10,0)))</f>
        <v>0</v>
      </c>
      <c r="AA635" s="37">
        <f>IF(AND(AA345&lt;=$I60,AA345&gt;$J60),Tarification!$D$8,IF(AND(AA345&lt;=$J60,AA345&gt;$K60),Tarification!$D$9,IF(AND(AA345&lt;=$K60,AA345&gt;0),Tarification!$D$10,0)))</f>
        <v>0</v>
      </c>
      <c r="AB635" s="37">
        <f>IF(AND(AB345&lt;=$I60,AB345&gt;$J60),Tarification!$D$8,IF(AND(AB345&lt;=$J60,AB345&gt;$K60),Tarification!$D$9,IF(AND(AB345&lt;=$K60,AB345&gt;0),Tarification!$D$10,0)))</f>
        <v>0</v>
      </c>
      <c r="AC635" s="37">
        <f>IF(AND(AC345&lt;=$I60,AC345&gt;$J60),Tarification!$D$8,IF(AND(AC345&lt;=$J60,AC345&gt;$K60),Tarification!$D$9,IF(AND(AC345&lt;=$K60,AC345&gt;0),Tarification!$D$10,0)))</f>
        <v>0</v>
      </c>
      <c r="AD635" s="37">
        <f>IF(AND(AD345&lt;=$I60,AD345&gt;$J60),Tarification!$D$8,IF(AND(AD345&lt;=$J60,AD345&gt;$K60),Tarification!$D$9,IF(AND(AD345&lt;=$K60,AD345&gt;0),Tarification!$D$10,0)))</f>
        <v>0</v>
      </c>
      <c r="AE635" s="37">
        <f>IF(AND(AE345&lt;=$I60,AE345&gt;$J60),Tarification!$D$8,IF(AND(AE345&lt;=$J60,AE345&gt;$K60),Tarification!$D$9,IF(AND(AE345&lt;=$K60,AE345&gt;0),Tarification!$D$10,0)))</f>
        <v>50000</v>
      </c>
      <c r="AF635" s="37">
        <f>IF(AND(AF345&lt;=$I60,AF345&gt;$J60),Tarification!$D$8,IF(AND(AF345&lt;=$J60,AF345&gt;$K60),Tarification!$D$9,IF(AND(AF345&lt;=$K60,AF345&gt;0),Tarification!$D$10,0)))</f>
        <v>50000</v>
      </c>
      <c r="AG635" s="37">
        <f>IF(AND(AG345&lt;=$I60,AG345&gt;$J60),Tarification!$D$8,IF(AND(AG345&lt;=$J60,AG345&gt;$K60),Tarification!$D$9,IF(AND(AG345&lt;=$K60,AG345&gt;0),Tarification!$D$10,0)))</f>
        <v>0</v>
      </c>
      <c r="AH635" s="37">
        <f>IF(AND(AH345&lt;=$I60,AH345&gt;$J60),Tarification!$D$8,IF(AND(AH345&lt;=$J60,AH345&gt;$K60),Tarification!$D$9,IF(AND(AH345&lt;=$K60,AH345&gt;0),Tarification!$D$10,0)))</f>
        <v>0</v>
      </c>
      <c r="AI635" s="37">
        <f>IF(AND(AI345&lt;=$I60,AI345&gt;$J60),Tarification!$D$8,IF(AND(AI345&lt;=$J60,AI345&gt;$K60),Tarification!$D$9,IF(AND(AI345&lt;=$K60,AI345&gt;0),Tarification!$D$10,0)))</f>
        <v>50000</v>
      </c>
      <c r="AJ635" s="37">
        <f>IF(AND(AJ345&lt;=$I60,AJ345&gt;$J60),Tarification!$D$8,IF(AND(AJ345&lt;=$J60,AJ345&gt;$K60),Tarification!$D$9,IF(AND(AJ345&lt;=$K60,AJ345&gt;0),Tarification!$D$10,0)))</f>
        <v>0</v>
      </c>
      <c r="AK635" s="37">
        <f>IF(AND(AK345&lt;=$I60,AK345&gt;$J60),Tarification!$D$8,IF(AND(AK345&lt;=$J60,AK345&gt;$K60),Tarification!$D$9,IF(AND(AK345&lt;=$K60,AK345&gt;0),Tarification!$D$10,0)))</f>
        <v>0</v>
      </c>
      <c r="AL635" s="37">
        <f>IF(AND(AL345&lt;=$I60,AL345&gt;$J60),Tarification!$D$8,IF(AND(AL345&lt;=$J60,AL345&gt;$K60),Tarification!$D$9,IF(AND(AL345&lt;=$K60,AL345&gt;0),Tarification!$D$10,0)))</f>
        <v>0</v>
      </c>
      <c r="AM635" s="37">
        <f>IF(AND(AM345&lt;=$I60,AM345&gt;$J60),Tarification!$D$8,IF(AND(AM345&lt;=$J60,AM345&gt;$K60),Tarification!$D$9,IF(AND(AM345&lt;=$K60,AM345&gt;0),Tarification!$D$10,0)))</f>
        <v>0</v>
      </c>
      <c r="AN635" s="37">
        <f>IF(AND(AN345&lt;=$I60,AN345&gt;$J60),Tarification!$D$8,IF(AND(AN345&lt;=$J60,AN345&gt;$K60),Tarification!$D$9,IF(AND(AN345&lt;=$K60,AN345&gt;0),Tarification!$D$10,0)))</f>
        <v>50000</v>
      </c>
      <c r="AQ635" s="101">
        <f t="shared" si="148"/>
        <v>13157.894736842105</v>
      </c>
    </row>
    <row r="636" spans="14:43" ht="15.6">
      <c r="N636" s="39" t="s">
        <v>26</v>
      </c>
      <c r="O636" s="39" t="s">
        <v>251</v>
      </c>
      <c r="P636" t="s">
        <v>672</v>
      </c>
      <c r="Q636" s="39"/>
      <c r="V636" s="37">
        <f>IF(AND(V346&lt;=$I61,V346&gt;$J61),Tarification!$D$8,IF(AND(V346&lt;=$J61,V346&gt;$K61),Tarification!$D$9,IF(AND(V346&lt;=$K61,V346&gt;0),Tarification!$D$10,0)))</f>
        <v>0</v>
      </c>
      <c r="W636" s="37">
        <f>IF(AND(W346&lt;=$I61,W346&gt;$J61),Tarification!$D$8,IF(AND(W346&lt;=$J61,W346&gt;$K61),Tarification!$D$9,IF(AND(W346&lt;=$K61,W346&gt;0),Tarification!$D$10,0)))</f>
        <v>50000</v>
      </c>
      <c r="X636" s="37">
        <f>IF(AND(X346&lt;=$I61,X346&gt;$J61),Tarification!$D$8,IF(AND(X346&lt;=$J61,X346&gt;$K61),Tarification!$D$9,IF(AND(X346&lt;=$K61,X346&gt;0),Tarification!$D$10,0)))</f>
        <v>0</v>
      </c>
      <c r="Y636" s="37">
        <f>IF(AND(Y346&lt;=$I61,Y346&gt;$J61),Tarification!$D$8,IF(AND(Y346&lt;=$J61,Y346&gt;$K61),Tarification!$D$9,IF(AND(Y346&lt;=$K61,Y346&gt;0),Tarification!$D$10,0)))</f>
        <v>0</v>
      </c>
      <c r="Z636" s="37">
        <f>IF(AND(Z346&lt;=$I61,Z346&gt;$J61),Tarification!$D$8,IF(AND(Z346&lt;=$J61,Z346&gt;$K61),Tarification!$D$9,IF(AND(Z346&lt;=$K61,Z346&gt;0),Tarification!$D$10,0)))</f>
        <v>0</v>
      </c>
      <c r="AA636" s="37">
        <f>IF(AND(AA346&lt;=$I61,AA346&gt;$J61),Tarification!$D$8,IF(AND(AA346&lt;=$J61,AA346&gt;$K61),Tarification!$D$9,IF(AND(AA346&lt;=$K61,AA346&gt;0),Tarification!$D$10,0)))</f>
        <v>0</v>
      </c>
      <c r="AB636" s="37">
        <f>IF(AND(AB346&lt;=$I61,AB346&gt;$J61),Tarification!$D$8,IF(AND(AB346&lt;=$J61,AB346&gt;$K61),Tarification!$D$9,IF(AND(AB346&lt;=$K61,AB346&gt;0),Tarification!$D$10,0)))</f>
        <v>0</v>
      </c>
      <c r="AC636" s="37">
        <f>IF(AND(AC346&lt;=$I61,AC346&gt;$J61),Tarification!$D$8,IF(AND(AC346&lt;=$J61,AC346&gt;$K61),Tarification!$D$9,IF(AND(AC346&lt;=$K61,AC346&gt;0),Tarification!$D$10,0)))</f>
        <v>0</v>
      </c>
      <c r="AD636" s="37">
        <f>IF(AND(AD346&lt;=$I61,AD346&gt;$J61),Tarification!$D$8,IF(AND(AD346&lt;=$J61,AD346&gt;$K61),Tarification!$D$9,IF(AND(AD346&lt;=$K61,AD346&gt;0),Tarification!$D$10,0)))</f>
        <v>0</v>
      </c>
      <c r="AE636" s="37">
        <f>IF(AND(AE346&lt;=$I61,AE346&gt;$J61),Tarification!$D$8,IF(AND(AE346&lt;=$J61,AE346&gt;$K61),Tarification!$D$9,IF(AND(AE346&lt;=$K61,AE346&gt;0),Tarification!$D$10,0)))</f>
        <v>50000</v>
      </c>
      <c r="AF636" s="37">
        <f>IF(AND(AF346&lt;=$I61,AF346&gt;$J61),Tarification!$D$8,IF(AND(AF346&lt;=$J61,AF346&gt;$K61),Tarification!$D$9,IF(AND(AF346&lt;=$K61,AF346&gt;0),Tarification!$D$10,0)))</f>
        <v>50000</v>
      </c>
      <c r="AG636" s="37">
        <f>IF(AND(AG346&lt;=$I61,AG346&gt;$J61),Tarification!$D$8,IF(AND(AG346&lt;=$J61,AG346&gt;$K61),Tarification!$D$9,IF(AND(AG346&lt;=$K61,AG346&gt;0),Tarification!$D$10,0)))</f>
        <v>0</v>
      </c>
      <c r="AH636" s="37">
        <f>IF(AND(AH346&lt;=$I61,AH346&gt;$J61),Tarification!$D$8,IF(AND(AH346&lt;=$J61,AH346&gt;$K61),Tarification!$D$9,IF(AND(AH346&lt;=$K61,AH346&gt;0),Tarification!$D$10,0)))</f>
        <v>0</v>
      </c>
      <c r="AI636" s="37">
        <f>IF(AND(AI346&lt;=$I61,AI346&gt;$J61),Tarification!$D$8,IF(AND(AI346&lt;=$J61,AI346&gt;$K61),Tarification!$D$9,IF(AND(AI346&lt;=$K61,AI346&gt;0),Tarification!$D$10,0)))</f>
        <v>0</v>
      </c>
      <c r="AJ636" s="37">
        <f>IF(AND(AJ346&lt;=$I61,AJ346&gt;$J61),Tarification!$D$8,IF(AND(AJ346&lt;=$J61,AJ346&gt;$K61),Tarification!$D$9,IF(AND(AJ346&lt;=$K61,AJ346&gt;0),Tarification!$D$10,0)))</f>
        <v>0</v>
      </c>
      <c r="AK636" s="37">
        <f>IF(AND(AK346&lt;=$I61,AK346&gt;$J61),Tarification!$D$8,IF(AND(AK346&lt;=$J61,AK346&gt;$K61),Tarification!$D$9,IF(AND(AK346&lt;=$K61,AK346&gt;0),Tarification!$D$10,0)))</f>
        <v>0</v>
      </c>
      <c r="AL636" s="37">
        <f>IF(AND(AL346&lt;=$I61,AL346&gt;$J61),Tarification!$D$8,IF(AND(AL346&lt;=$J61,AL346&gt;$K61),Tarification!$D$9,IF(AND(AL346&lt;=$K61,AL346&gt;0),Tarification!$D$10,0)))</f>
        <v>0</v>
      </c>
      <c r="AM636" s="37">
        <f>IF(AND(AM346&lt;=$I61,AM346&gt;$J61),Tarification!$D$8,IF(AND(AM346&lt;=$J61,AM346&gt;$K61),Tarification!$D$9,IF(AND(AM346&lt;=$K61,AM346&gt;0),Tarification!$D$10,0)))</f>
        <v>0</v>
      </c>
      <c r="AN636" s="37">
        <f>IF(AND(AN346&lt;=$I61,AN346&gt;$J61),Tarification!$D$8,IF(AND(AN346&lt;=$J61,AN346&gt;$K61),Tarification!$D$9,IF(AND(AN346&lt;=$K61,AN346&gt;0),Tarification!$D$10,0)))</f>
        <v>50000</v>
      </c>
      <c r="AQ636" s="101">
        <f t="shared" si="148"/>
        <v>10526.315789473685</v>
      </c>
    </row>
    <row r="637" spans="14:43" ht="15.6">
      <c r="N637" s="39" t="s">
        <v>26</v>
      </c>
      <c r="O637" s="39" t="s">
        <v>588</v>
      </c>
      <c r="P637" t="s">
        <v>673</v>
      </c>
      <c r="Q637" s="39"/>
      <c r="V637" s="37">
        <f>IF(AND(V347&lt;=$I62,V347&gt;$J62),Tarification!$D$8,IF(AND(V347&lt;=$J62,V347&gt;$K62),Tarification!$D$9,IF(AND(V347&lt;=$K62,V347&gt;0),Tarification!$D$10,0)))</f>
        <v>0</v>
      </c>
      <c r="W637" s="37">
        <f>IF(AND(W347&lt;=$I62,W347&gt;$J62),Tarification!$D$8,IF(AND(W347&lt;=$J62,W347&gt;$K62),Tarification!$D$9,IF(AND(W347&lt;=$K62,W347&gt;0),Tarification!$D$10,0)))</f>
        <v>0</v>
      </c>
      <c r="X637" s="37">
        <f>IF(AND(X347&lt;=$I62,X347&gt;$J62),Tarification!$D$8,IF(AND(X347&lt;=$J62,X347&gt;$K62),Tarification!$D$9,IF(AND(X347&lt;=$K62,X347&gt;0),Tarification!$D$10,0)))</f>
        <v>0</v>
      </c>
      <c r="Y637" s="37">
        <f>IF(AND(Y347&lt;=$I62,Y347&gt;$J62),Tarification!$D$8,IF(AND(Y347&lt;=$J62,Y347&gt;$K62),Tarification!$D$9,IF(AND(Y347&lt;=$K62,Y347&gt;0),Tarification!$D$10,0)))</f>
        <v>0</v>
      </c>
      <c r="Z637" s="37">
        <f>IF(AND(Z347&lt;=$I62,Z347&gt;$J62),Tarification!$D$8,IF(AND(Z347&lt;=$J62,Z347&gt;$K62),Tarification!$D$9,IF(AND(Z347&lt;=$K62,Z347&gt;0),Tarification!$D$10,0)))</f>
        <v>0</v>
      </c>
      <c r="AA637" s="37">
        <f>IF(AND(AA347&lt;=$I62,AA347&gt;$J62),Tarification!$D$8,IF(AND(AA347&lt;=$J62,AA347&gt;$K62),Tarification!$D$9,IF(AND(AA347&lt;=$K62,AA347&gt;0),Tarification!$D$10,0)))</f>
        <v>0</v>
      </c>
      <c r="AB637" s="37">
        <f>IF(AND(AB347&lt;=$I62,AB347&gt;$J62),Tarification!$D$8,IF(AND(AB347&lt;=$J62,AB347&gt;$K62),Tarification!$D$9,IF(AND(AB347&lt;=$K62,AB347&gt;0),Tarification!$D$10,0)))</f>
        <v>0</v>
      </c>
      <c r="AC637" s="37">
        <f>IF(AND(AC347&lt;=$I62,AC347&gt;$J62),Tarification!$D$8,IF(AND(AC347&lt;=$J62,AC347&gt;$K62),Tarification!$D$9,IF(AND(AC347&lt;=$K62,AC347&gt;0),Tarification!$D$10,0)))</f>
        <v>0</v>
      </c>
      <c r="AD637" s="37">
        <f>IF(AND(AD347&lt;=$I62,AD347&gt;$J62),Tarification!$D$8,IF(AND(AD347&lt;=$J62,AD347&gt;$K62),Tarification!$D$9,IF(AND(AD347&lt;=$K62,AD347&gt;0),Tarification!$D$10,0)))</f>
        <v>0</v>
      </c>
      <c r="AE637" s="37">
        <f>IF(AND(AE347&lt;=$I62,AE347&gt;$J62),Tarification!$D$8,IF(AND(AE347&lt;=$J62,AE347&gt;$K62),Tarification!$D$9,IF(AND(AE347&lt;=$K62,AE347&gt;0),Tarification!$D$10,0)))</f>
        <v>0</v>
      </c>
      <c r="AF637" s="37">
        <f>IF(AND(AF347&lt;=$I62,AF347&gt;$J62),Tarification!$D$8,IF(AND(AF347&lt;=$J62,AF347&gt;$K62),Tarification!$D$9,IF(AND(AF347&lt;=$K62,AF347&gt;0),Tarification!$D$10,0)))</f>
        <v>0</v>
      </c>
      <c r="AG637" s="37">
        <f>IF(AND(AG347&lt;=$I62,AG347&gt;$J62),Tarification!$D$8,IF(AND(AG347&lt;=$J62,AG347&gt;$K62),Tarification!$D$9,IF(AND(AG347&lt;=$K62,AG347&gt;0),Tarification!$D$10,0)))</f>
        <v>0</v>
      </c>
      <c r="AH637" s="37">
        <f>IF(AND(AH347&lt;=$I62,AH347&gt;$J62),Tarification!$D$8,IF(AND(AH347&lt;=$J62,AH347&gt;$K62),Tarification!$D$9,IF(AND(AH347&lt;=$K62,AH347&gt;0),Tarification!$D$10,0)))</f>
        <v>0</v>
      </c>
      <c r="AI637" s="37">
        <f>IF(AND(AI347&lt;=$I62,AI347&gt;$J62),Tarification!$D$8,IF(AND(AI347&lt;=$J62,AI347&gt;$K62),Tarification!$D$9,IF(AND(AI347&lt;=$K62,AI347&gt;0),Tarification!$D$10,0)))</f>
        <v>0</v>
      </c>
      <c r="AJ637" s="37">
        <f>IF(AND(AJ347&lt;=$I62,AJ347&gt;$J62),Tarification!$D$8,IF(AND(AJ347&lt;=$J62,AJ347&gt;$K62),Tarification!$D$9,IF(AND(AJ347&lt;=$K62,AJ347&gt;0),Tarification!$D$10,0)))</f>
        <v>0</v>
      </c>
      <c r="AK637" s="37">
        <f>IF(AND(AK347&lt;=$I62,AK347&gt;$J62),Tarification!$D$8,IF(AND(AK347&lt;=$J62,AK347&gt;$K62),Tarification!$D$9,IF(AND(AK347&lt;=$K62,AK347&gt;0),Tarification!$D$10,0)))</f>
        <v>0</v>
      </c>
      <c r="AL637" s="37">
        <f>IF(AND(AL347&lt;=$I62,AL347&gt;$J62),Tarification!$D$8,IF(AND(AL347&lt;=$J62,AL347&gt;$K62),Tarification!$D$9,IF(AND(AL347&lt;=$K62,AL347&gt;0),Tarification!$D$10,0)))</f>
        <v>0</v>
      </c>
      <c r="AM637" s="37">
        <f>IF(AND(AM347&lt;=$I62,AM347&gt;$J62),Tarification!$D$8,IF(AND(AM347&lt;=$J62,AM347&gt;$K62),Tarification!$D$9,IF(AND(AM347&lt;=$K62,AM347&gt;0),Tarification!$D$10,0)))</f>
        <v>0</v>
      </c>
      <c r="AN637" s="37">
        <f>IF(AND(AN347&lt;=$I62,AN347&gt;$J62),Tarification!$D$8,IF(AND(AN347&lt;=$J62,AN347&gt;$K62),Tarification!$D$9,IF(AND(AN347&lt;=$K62,AN347&gt;0),Tarification!$D$10,0)))</f>
        <v>0</v>
      </c>
      <c r="AQ637" s="101">
        <f t="shared" si="148"/>
        <v>0</v>
      </c>
    </row>
    <row r="638" spans="14:43" ht="15.6">
      <c r="N638" s="39" t="s">
        <v>26</v>
      </c>
      <c r="O638" s="39" t="s">
        <v>235</v>
      </c>
      <c r="P638" t="s">
        <v>674</v>
      </c>
      <c r="Q638" s="39"/>
      <c r="V638" s="37">
        <f>IF(AND(V348&lt;=$I63,V348&gt;$J63),Tarification!$D$8,IF(AND(V348&lt;=$J63,V348&gt;$K63),Tarification!$D$9,IF(AND(V348&lt;=$K63,V348&gt;0),Tarification!$D$10,0)))</f>
        <v>0</v>
      </c>
      <c r="W638" s="37">
        <f>IF(AND(W348&lt;=$I63,W348&gt;$J63),Tarification!$D$8,IF(AND(W348&lt;=$J63,W348&gt;$K63),Tarification!$D$9,IF(AND(W348&lt;=$K63,W348&gt;0),Tarification!$D$10,0)))</f>
        <v>0</v>
      </c>
      <c r="X638" s="37">
        <f>IF(AND(X348&lt;=$I63,X348&gt;$J63),Tarification!$D$8,IF(AND(X348&lt;=$J63,X348&gt;$K63),Tarification!$D$9,IF(AND(X348&lt;=$K63,X348&gt;0),Tarification!$D$10,0)))</f>
        <v>0</v>
      </c>
      <c r="Y638" s="37">
        <f>IF(AND(Y348&lt;=$I63,Y348&gt;$J63),Tarification!$D$8,IF(AND(Y348&lt;=$J63,Y348&gt;$K63),Tarification!$D$9,IF(AND(Y348&lt;=$K63,Y348&gt;0),Tarification!$D$10,0)))</f>
        <v>0</v>
      </c>
      <c r="Z638" s="37">
        <f>IF(AND(Z348&lt;=$I63,Z348&gt;$J63),Tarification!$D$8,IF(AND(Z348&lt;=$J63,Z348&gt;$K63),Tarification!$D$9,IF(AND(Z348&lt;=$K63,Z348&gt;0),Tarification!$D$10,0)))</f>
        <v>0</v>
      </c>
      <c r="AA638" s="37">
        <f>IF(AND(AA348&lt;=$I63,AA348&gt;$J63),Tarification!$D$8,IF(AND(AA348&lt;=$J63,AA348&gt;$K63),Tarification!$D$9,IF(AND(AA348&lt;=$K63,AA348&gt;0),Tarification!$D$10,0)))</f>
        <v>0</v>
      </c>
      <c r="AB638" s="37">
        <f>IF(AND(AB348&lt;=$I63,AB348&gt;$J63),Tarification!$D$8,IF(AND(AB348&lt;=$J63,AB348&gt;$K63),Tarification!$D$9,IF(AND(AB348&lt;=$K63,AB348&gt;0),Tarification!$D$10,0)))</f>
        <v>0</v>
      </c>
      <c r="AC638" s="37">
        <f>IF(AND(AC348&lt;=$I63,AC348&gt;$J63),Tarification!$D$8,IF(AND(AC348&lt;=$J63,AC348&gt;$K63),Tarification!$D$9,IF(AND(AC348&lt;=$K63,AC348&gt;0),Tarification!$D$10,0)))</f>
        <v>0</v>
      </c>
      <c r="AD638" s="37">
        <f>IF(AND(AD348&lt;=$I63,AD348&gt;$J63),Tarification!$D$8,IF(AND(AD348&lt;=$J63,AD348&gt;$K63),Tarification!$D$9,IF(AND(AD348&lt;=$K63,AD348&gt;0),Tarification!$D$10,0)))</f>
        <v>0</v>
      </c>
      <c r="AE638" s="37">
        <f>IF(AND(AE348&lt;=$I63,AE348&gt;$J63),Tarification!$D$8,IF(AND(AE348&lt;=$J63,AE348&gt;$K63),Tarification!$D$9,IF(AND(AE348&lt;=$K63,AE348&gt;0),Tarification!$D$10,0)))</f>
        <v>0</v>
      </c>
      <c r="AF638" s="37">
        <f>IF(AND(AF348&lt;=$I63,AF348&gt;$J63),Tarification!$D$8,IF(AND(AF348&lt;=$J63,AF348&gt;$K63),Tarification!$D$9,IF(AND(AF348&lt;=$K63,AF348&gt;0),Tarification!$D$10,0)))</f>
        <v>0</v>
      </c>
      <c r="AG638" s="37">
        <f>IF(AND(AG348&lt;=$I63,AG348&gt;$J63),Tarification!$D$8,IF(AND(AG348&lt;=$J63,AG348&gt;$K63),Tarification!$D$9,IF(AND(AG348&lt;=$K63,AG348&gt;0),Tarification!$D$10,0)))</f>
        <v>0</v>
      </c>
      <c r="AH638" s="37">
        <f>IF(AND(AH348&lt;=$I63,AH348&gt;$J63),Tarification!$D$8,IF(AND(AH348&lt;=$J63,AH348&gt;$K63),Tarification!$D$9,IF(AND(AH348&lt;=$K63,AH348&gt;0),Tarification!$D$10,0)))</f>
        <v>0</v>
      </c>
      <c r="AI638" s="37">
        <f>IF(AND(AI348&lt;=$I63,AI348&gt;$J63),Tarification!$D$8,IF(AND(AI348&lt;=$J63,AI348&gt;$K63),Tarification!$D$9,IF(AND(AI348&lt;=$K63,AI348&gt;0),Tarification!$D$10,0)))</f>
        <v>0</v>
      </c>
      <c r="AJ638" s="37">
        <f>IF(AND(AJ348&lt;=$I63,AJ348&gt;$J63),Tarification!$D$8,IF(AND(AJ348&lt;=$J63,AJ348&gt;$K63),Tarification!$D$9,IF(AND(AJ348&lt;=$K63,AJ348&gt;0),Tarification!$D$10,0)))</f>
        <v>0</v>
      </c>
      <c r="AK638" s="37">
        <f>IF(AND(AK348&lt;=$I63,AK348&gt;$J63),Tarification!$D$8,IF(AND(AK348&lt;=$J63,AK348&gt;$K63),Tarification!$D$9,IF(AND(AK348&lt;=$K63,AK348&gt;0),Tarification!$D$10,0)))</f>
        <v>0</v>
      </c>
      <c r="AL638" s="37">
        <f>IF(AND(AL348&lt;=$I63,AL348&gt;$J63),Tarification!$D$8,IF(AND(AL348&lt;=$J63,AL348&gt;$K63),Tarification!$D$9,IF(AND(AL348&lt;=$K63,AL348&gt;0),Tarification!$D$10,0)))</f>
        <v>0</v>
      </c>
      <c r="AM638" s="37">
        <f>IF(AND(AM348&lt;=$I63,AM348&gt;$J63),Tarification!$D$8,IF(AND(AM348&lt;=$J63,AM348&gt;$K63),Tarification!$D$9,IF(AND(AM348&lt;=$K63,AM348&gt;0),Tarification!$D$10,0)))</f>
        <v>0</v>
      </c>
      <c r="AN638" s="37">
        <f>IF(AND(AN348&lt;=$I63,AN348&gt;$J63),Tarification!$D$8,IF(AND(AN348&lt;=$J63,AN348&gt;$K63),Tarification!$D$9,IF(AND(AN348&lt;=$K63,AN348&gt;0),Tarification!$D$10,0)))</f>
        <v>0</v>
      </c>
      <c r="AQ638" s="101">
        <f t="shared" si="148"/>
        <v>0</v>
      </c>
    </row>
    <row r="639" spans="14:43" ht="15.6">
      <c r="N639" s="39" t="s">
        <v>26</v>
      </c>
      <c r="O639" s="39" t="s">
        <v>245</v>
      </c>
      <c r="P639" t="s">
        <v>675</v>
      </c>
      <c r="Q639" s="39"/>
      <c r="V639" s="37">
        <f>IF(AND(V349&lt;=$I64,V349&gt;$J64),Tarification!$D$8,IF(AND(V349&lt;=$J64,V349&gt;$K64),Tarification!$D$9,IF(AND(V349&lt;=$K64,V349&gt;0),Tarification!$D$10,0)))</f>
        <v>0</v>
      </c>
      <c r="W639" s="37">
        <f>IF(AND(W349&lt;=$I64,W349&gt;$J64),Tarification!$D$8,IF(AND(W349&lt;=$J64,W349&gt;$K64),Tarification!$D$9,IF(AND(W349&lt;=$K64,W349&gt;0),Tarification!$D$10,0)))</f>
        <v>50000</v>
      </c>
      <c r="X639" s="37">
        <f>IF(AND(X349&lt;=$I64,X349&gt;$J64),Tarification!$D$8,IF(AND(X349&lt;=$J64,X349&gt;$K64),Tarification!$D$9,IF(AND(X349&lt;=$K64,X349&gt;0),Tarification!$D$10,0)))</f>
        <v>0</v>
      </c>
      <c r="Y639" s="37">
        <f>IF(AND(Y349&lt;=$I64,Y349&gt;$J64),Tarification!$D$8,IF(AND(Y349&lt;=$J64,Y349&gt;$K64),Tarification!$D$9,IF(AND(Y349&lt;=$K64,Y349&gt;0),Tarification!$D$10,0)))</f>
        <v>0</v>
      </c>
      <c r="Z639" s="37">
        <f>IF(AND(Z349&lt;=$I64,Z349&gt;$J64),Tarification!$D$8,IF(AND(Z349&lt;=$J64,Z349&gt;$K64),Tarification!$D$9,IF(AND(Z349&lt;=$K64,Z349&gt;0),Tarification!$D$10,0)))</f>
        <v>0</v>
      </c>
      <c r="AA639" s="37">
        <f>IF(AND(AA349&lt;=$I64,AA349&gt;$J64),Tarification!$D$8,IF(AND(AA349&lt;=$J64,AA349&gt;$K64),Tarification!$D$9,IF(AND(AA349&lt;=$K64,AA349&gt;0),Tarification!$D$10,0)))</f>
        <v>0</v>
      </c>
      <c r="AB639" s="37">
        <f>IF(AND(AB349&lt;=$I64,AB349&gt;$J64),Tarification!$D$8,IF(AND(AB349&lt;=$J64,AB349&gt;$K64),Tarification!$D$9,IF(AND(AB349&lt;=$K64,AB349&gt;0),Tarification!$D$10,0)))</f>
        <v>0</v>
      </c>
      <c r="AC639" s="37">
        <f>IF(AND(AC349&lt;=$I64,AC349&gt;$J64),Tarification!$D$8,IF(AND(AC349&lt;=$J64,AC349&gt;$K64),Tarification!$D$9,IF(AND(AC349&lt;=$K64,AC349&gt;0),Tarification!$D$10,0)))</f>
        <v>0</v>
      </c>
      <c r="AD639" s="37">
        <f>IF(AND(AD349&lt;=$I64,AD349&gt;$J64),Tarification!$D$8,IF(AND(AD349&lt;=$J64,AD349&gt;$K64),Tarification!$D$9,IF(AND(AD349&lt;=$K64,AD349&gt;0),Tarification!$D$10,0)))</f>
        <v>0</v>
      </c>
      <c r="AE639" s="37">
        <f>IF(AND(AE349&lt;=$I64,AE349&gt;$J64),Tarification!$D$8,IF(AND(AE349&lt;=$J64,AE349&gt;$K64),Tarification!$D$9,IF(AND(AE349&lt;=$K64,AE349&gt;0),Tarification!$D$10,0)))</f>
        <v>250000</v>
      </c>
      <c r="AF639" s="37">
        <f>IF(AND(AF349&lt;=$I64,AF349&gt;$J64),Tarification!$D$8,IF(AND(AF349&lt;=$J64,AF349&gt;$K64),Tarification!$D$9,IF(AND(AF349&lt;=$K64,AF349&gt;0),Tarification!$D$10,0)))</f>
        <v>50000</v>
      </c>
      <c r="AG639" s="37">
        <f>IF(AND(AG349&lt;=$I64,AG349&gt;$J64),Tarification!$D$8,IF(AND(AG349&lt;=$J64,AG349&gt;$K64),Tarification!$D$9,IF(AND(AG349&lt;=$K64,AG349&gt;0),Tarification!$D$10,0)))</f>
        <v>0</v>
      </c>
      <c r="AH639" s="37">
        <f>IF(AND(AH349&lt;=$I64,AH349&gt;$J64),Tarification!$D$8,IF(AND(AH349&lt;=$J64,AH349&gt;$K64),Tarification!$D$9,IF(AND(AH349&lt;=$K64,AH349&gt;0),Tarification!$D$10,0)))</f>
        <v>0</v>
      </c>
      <c r="AI639" s="37">
        <f>IF(AND(AI349&lt;=$I64,AI349&gt;$J64),Tarification!$D$8,IF(AND(AI349&lt;=$J64,AI349&gt;$K64),Tarification!$D$9,IF(AND(AI349&lt;=$K64,AI349&gt;0),Tarification!$D$10,0)))</f>
        <v>0</v>
      </c>
      <c r="AJ639" s="37">
        <f>IF(AND(AJ349&lt;=$I64,AJ349&gt;$J64),Tarification!$D$8,IF(AND(AJ349&lt;=$J64,AJ349&gt;$K64),Tarification!$D$9,IF(AND(AJ349&lt;=$K64,AJ349&gt;0),Tarification!$D$10,0)))</f>
        <v>0</v>
      </c>
      <c r="AK639" s="37">
        <f>IF(AND(AK349&lt;=$I64,AK349&gt;$J64),Tarification!$D$8,IF(AND(AK349&lt;=$J64,AK349&gt;$K64),Tarification!$D$9,IF(AND(AK349&lt;=$K64,AK349&gt;0),Tarification!$D$10,0)))</f>
        <v>50000</v>
      </c>
      <c r="AL639" s="37">
        <f>IF(AND(AL349&lt;=$I64,AL349&gt;$J64),Tarification!$D$8,IF(AND(AL349&lt;=$J64,AL349&gt;$K64),Tarification!$D$9,IF(AND(AL349&lt;=$K64,AL349&gt;0),Tarification!$D$10,0)))</f>
        <v>50000</v>
      </c>
      <c r="AM639" s="37">
        <f>IF(AND(AM349&lt;=$I64,AM349&gt;$J64),Tarification!$D$8,IF(AND(AM349&lt;=$J64,AM349&gt;$K64),Tarification!$D$9,IF(AND(AM349&lt;=$K64,AM349&gt;0),Tarification!$D$10,0)))</f>
        <v>0</v>
      </c>
      <c r="AN639" s="37">
        <f>IF(AND(AN349&lt;=$I64,AN349&gt;$J64),Tarification!$D$8,IF(AND(AN349&lt;=$J64,AN349&gt;$K64),Tarification!$D$9,IF(AND(AN349&lt;=$K64,AN349&gt;0),Tarification!$D$10,0)))</f>
        <v>125000</v>
      </c>
      <c r="AQ639" s="101">
        <f t="shared" si="148"/>
        <v>30263.157894736843</v>
      </c>
    </row>
    <row r="640" spans="14:43" ht="15.6">
      <c r="N640" s="39" t="s">
        <v>26</v>
      </c>
      <c r="O640" s="39" t="s">
        <v>498</v>
      </c>
      <c r="P640" t="s">
        <v>676</v>
      </c>
      <c r="Q640" s="39"/>
      <c r="V640" s="37">
        <f>IF(AND(V350&lt;=$I65,V350&gt;$J65),Tarification!$D$8,IF(AND(V350&lt;=$J65,V350&gt;$K65),Tarification!$D$9,IF(AND(V350&lt;=$K65,V350&gt;0),Tarification!$D$10,0)))</f>
        <v>0</v>
      </c>
      <c r="W640" s="37">
        <f>IF(AND(W350&lt;=$I65,W350&gt;$J65),Tarification!$D$8,IF(AND(W350&lt;=$J65,W350&gt;$K65),Tarification!$D$9,IF(AND(W350&lt;=$K65,W350&gt;0),Tarification!$D$10,0)))</f>
        <v>50000</v>
      </c>
      <c r="X640" s="37">
        <f>IF(AND(X350&lt;=$I65,X350&gt;$J65),Tarification!$D$8,IF(AND(X350&lt;=$J65,X350&gt;$K65),Tarification!$D$9,IF(AND(X350&lt;=$K65,X350&gt;0),Tarification!$D$10,0)))</f>
        <v>50000</v>
      </c>
      <c r="Y640" s="37">
        <f>IF(AND(Y350&lt;=$I65,Y350&gt;$J65),Tarification!$D$8,IF(AND(Y350&lt;=$J65,Y350&gt;$K65),Tarification!$D$9,IF(AND(Y350&lt;=$K65,Y350&gt;0),Tarification!$D$10,0)))</f>
        <v>0</v>
      </c>
      <c r="Z640" s="37">
        <f>IF(AND(Z350&lt;=$I65,Z350&gt;$J65),Tarification!$D$8,IF(AND(Z350&lt;=$J65,Z350&gt;$K65),Tarification!$D$9,IF(AND(Z350&lt;=$K65,Z350&gt;0),Tarification!$D$10,0)))</f>
        <v>0</v>
      </c>
      <c r="AA640" s="37">
        <f>IF(AND(AA350&lt;=$I65,AA350&gt;$J65),Tarification!$D$8,IF(AND(AA350&lt;=$J65,AA350&gt;$K65),Tarification!$D$9,IF(AND(AA350&lt;=$K65,AA350&gt;0),Tarification!$D$10,0)))</f>
        <v>0</v>
      </c>
      <c r="AB640" s="37">
        <f>IF(AND(AB350&lt;=$I65,AB350&gt;$J65),Tarification!$D$8,IF(AND(AB350&lt;=$J65,AB350&gt;$K65),Tarification!$D$9,IF(AND(AB350&lt;=$K65,AB350&gt;0),Tarification!$D$10,0)))</f>
        <v>0</v>
      </c>
      <c r="AC640" s="37">
        <f>IF(AND(AC350&lt;=$I65,AC350&gt;$J65),Tarification!$D$8,IF(AND(AC350&lt;=$J65,AC350&gt;$K65),Tarification!$D$9,IF(AND(AC350&lt;=$K65,AC350&gt;0),Tarification!$D$10,0)))</f>
        <v>0</v>
      </c>
      <c r="AD640" s="37">
        <f>IF(AND(AD350&lt;=$I65,AD350&gt;$J65),Tarification!$D$8,IF(AND(AD350&lt;=$J65,AD350&gt;$K65),Tarification!$D$9,IF(AND(AD350&lt;=$K65,AD350&gt;0),Tarification!$D$10,0)))</f>
        <v>0</v>
      </c>
      <c r="AE640" s="37">
        <f>IF(AND(AE350&lt;=$I65,AE350&gt;$J65),Tarification!$D$8,IF(AND(AE350&lt;=$J65,AE350&gt;$K65),Tarification!$D$9,IF(AND(AE350&lt;=$K65,AE350&gt;0),Tarification!$D$10,0)))</f>
        <v>50000</v>
      </c>
      <c r="AF640" s="37">
        <f>IF(AND(AF350&lt;=$I65,AF350&gt;$J65),Tarification!$D$8,IF(AND(AF350&lt;=$J65,AF350&gt;$K65),Tarification!$D$9,IF(AND(AF350&lt;=$K65,AF350&gt;0),Tarification!$D$10,0)))</f>
        <v>50000</v>
      </c>
      <c r="AG640" s="37">
        <f>IF(AND(AG350&lt;=$I65,AG350&gt;$J65),Tarification!$D$8,IF(AND(AG350&lt;=$J65,AG350&gt;$K65),Tarification!$D$9,IF(AND(AG350&lt;=$K65,AG350&gt;0),Tarification!$D$10,0)))</f>
        <v>0</v>
      </c>
      <c r="AH640" s="37">
        <f>IF(AND(AH350&lt;=$I65,AH350&gt;$J65),Tarification!$D$8,IF(AND(AH350&lt;=$J65,AH350&gt;$K65),Tarification!$D$9,IF(AND(AH350&lt;=$K65,AH350&gt;0),Tarification!$D$10,0)))</f>
        <v>0</v>
      </c>
      <c r="AI640" s="37">
        <f>IF(AND(AI350&lt;=$I65,AI350&gt;$J65),Tarification!$D$8,IF(AND(AI350&lt;=$J65,AI350&gt;$K65),Tarification!$D$9,IF(AND(AI350&lt;=$K65,AI350&gt;0),Tarification!$D$10,0)))</f>
        <v>125000</v>
      </c>
      <c r="AJ640" s="37">
        <f>IF(AND(AJ350&lt;=$I65,AJ350&gt;$J65),Tarification!$D$8,IF(AND(AJ350&lt;=$J65,AJ350&gt;$K65),Tarification!$D$9,IF(AND(AJ350&lt;=$K65,AJ350&gt;0),Tarification!$D$10,0)))</f>
        <v>0</v>
      </c>
      <c r="AK640" s="37">
        <f>IF(AND(AK350&lt;=$I65,AK350&gt;$J65),Tarification!$D$8,IF(AND(AK350&lt;=$J65,AK350&gt;$K65),Tarification!$D$9,IF(AND(AK350&lt;=$K65,AK350&gt;0),Tarification!$D$10,0)))</f>
        <v>0</v>
      </c>
      <c r="AL640" s="37">
        <f>IF(AND(AL350&lt;=$I65,AL350&gt;$J65),Tarification!$D$8,IF(AND(AL350&lt;=$J65,AL350&gt;$K65),Tarification!$D$9,IF(AND(AL350&lt;=$K65,AL350&gt;0),Tarification!$D$10,0)))</f>
        <v>0</v>
      </c>
      <c r="AM640" s="37">
        <f>IF(AND(AM350&lt;=$I65,AM350&gt;$J65),Tarification!$D$8,IF(AND(AM350&lt;=$J65,AM350&gt;$K65),Tarification!$D$9,IF(AND(AM350&lt;=$K65,AM350&gt;0),Tarification!$D$10,0)))</f>
        <v>0</v>
      </c>
      <c r="AN640" s="37">
        <f>IF(AND(AN350&lt;=$I65,AN350&gt;$J65),Tarification!$D$8,IF(AND(AN350&lt;=$J65,AN350&gt;$K65),Tarification!$D$9,IF(AND(AN350&lt;=$K65,AN350&gt;0),Tarification!$D$10,0)))</f>
        <v>0</v>
      </c>
      <c r="AQ640" s="101">
        <f t="shared" si="148"/>
        <v>17105.263157894737</v>
      </c>
    </row>
    <row r="641" spans="14:43" ht="15.6">
      <c r="N641" s="39" t="s">
        <v>26</v>
      </c>
      <c r="O641" s="39" t="s">
        <v>99</v>
      </c>
      <c r="P641" t="s">
        <v>677</v>
      </c>
      <c r="Q641" s="39"/>
      <c r="V641" s="37">
        <f>IF(AND(V351&lt;=$I66,V351&gt;$J66),Tarification!$D$8,IF(AND(V351&lt;=$J66,V351&gt;$K66),Tarification!$D$9,IF(AND(V351&lt;=$K66,V351&gt;0),Tarification!$D$10,0)))</f>
        <v>0</v>
      </c>
      <c r="W641" s="37">
        <f>IF(AND(W351&lt;=$I66,W351&gt;$J66),Tarification!$D$8,IF(AND(W351&lt;=$J66,W351&gt;$K66),Tarification!$D$9,IF(AND(W351&lt;=$K66,W351&gt;0),Tarification!$D$10,0)))</f>
        <v>0</v>
      </c>
      <c r="X641" s="37">
        <f>IF(AND(X351&lt;=$I66,X351&gt;$J66),Tarification!$D$8,IF(AND(X351&lt;=$J66,X351&gt;$K66),Tarification!$D$9,IF(AND(X351&lt;=$K66,X351&gt;0),Tarification!$D$10,0)))</f>
        <v>0</v>
      </c>
      <c r="Y641" s="37">
        <f>IF(AND(Y351&lt;=$I66,Y351&gt;$J66),Tarification!$D$8,IF(AND(Y351&lt;=$J66,Y351&gt;$K66),Tarification!$D$9,IF(AND(Y351&lt;=$K66,Y351&gt;0),Tarification!$D$10,0)))</f>
        <v>0</v>
      </c>
      <c r="Z641" s="37">
        <f>IF(AND(Z351&lt;=$I66,Z351&gt;$J66),Tarification!$D$8,IF(AND(Z351&lt;=$J66,Z351&gt;$K66),Tarification!$D$9,IF(AND(Z351&lt;=$K66,Z351&gt;0),Tarification!$D$10,0)))</f>
        <v>0</v>
      </c>
      <c r="AA641" s="37">
        <f>IF(AND(AA351&lt;=$I66,AA351&gt;$J66),Tarification!$D$8,IF(AND(AA351&lt;=$J66,AA351&gt;$K66),Tarification!$D$9,IF(AND(AA351&lt;=$K66,AA351&gt;0),Tarification!$D$10,0)))</f>
        <v>0</v>
      </c>
      <c r="AB641" s="37">
        <f>IF(AND(AB351&lt;=$I66,AB351&gt;$J66),Tarification!$D$8,IF(AND(AB351&lt;=$J66,AB351&gt;$K66),Tarification!$D$9,IF(AND(AB351&lt;=$K66,AB351&gt;0),Tarification!$D$10,0)))</f>
        <v>0</v>
      </c>
      <c r="AC641" s="37">
        <f>IF(AND(AC351&lt;=$I66,AC351&gt;$J66),Tarification!$D$8,IF(AND(AC351&lt;=$J66,AC351&gt;$K66),Tarification!$D$9,IF(AND(AC351&lt;=$K66,AC351&gt;0),Tarification!$D$10,0)))</f>
        <v>0</v>
      </c>
      <c r="AD641" s="37">
        <f>IF(AND(AD351&lt;=$I66,AD351&gt;$J66),Tarification!$D$8,IF(AND(AD351&lt;=$J66,AD351&gt;$K66),Tarification!$D$9,IF(AND(AD351&lt;=$K66,AD351&gt;0),Tarification!$D$10,0)))</f>
        <v>0</v>
      </c>
      <c r="AE641" s="37">
        <f>IF(AND(AE351&lt;=$I66,AE351&gt;$J66),Tarification!$D$8,IF(AND(AE351&lt;=$J66,AE351&gt;$K66),Tarification!$D$9,IF(AND(AE351&lt;=$K66,AE351&gt;0),Tarification!$D$10,0)))</f>
        <v>0</v>
      </c>
      <c r="AF641" s="37">
        <f>IF(AND(AF351&lt;=$I66,AF351&gt;$J66),Tarification!$D$8,IF(AND(AF351&lt;=$J66,AF351&gt;$K66),Tarification!$D$9,IF(AND(AF351&lt;=$K66,AF351&gt;0),Tarification!$D$10,0)))</f>
        <v>0</v>
      </c>
      <c r="AG641" s="37">
        <f>IF(AND(AG351&lt;=$I66,AG351&gt;$J66),Tarification!$D$8,IF(AND(AG351&lt;=$J66,AG351&gt;$K66),Tarification!$D$9,IF(AND(AG351&lt;=$K66,AG351&gt;0),Tarification!$D$10,0)))</f>
        <v>0</v>
      </c>
      <c r="AH641" s="37">
        <f>IF(AND(AH351&lt;=$I66,AH351&gt;$J66),Tarification!$D$8,IF(AND(AH351&lt;=$J66,AH351&gt;$K66),Tarification!$D$9,IF(AND(AH351&lt;=$K66,AH351&gt;0),Tarification!$D$10,0)))</f>
        <v>0</v>
      </c>
      <c r="AI641" s="37">
        <f>IF(AND(AI351&lt;=$I66,AI351&gt;$J66),Tarification!$D$8,IF(AND(AI351&lt;=$J66,AI351&gt;$K66),Tarification!$D$9,IF(AND(AI351&lt;=$K66,AI351&gt;0),Tarification!$D$10,0)))</f>
        <v>0</v>
      </c>
      <c r="AJ641" s="37">
        <f>IF(AND(AJ351&lt;=$I66,AJ351&gt;$J66),Tarification!$D$8,IF(AND(AJ351&lt;=$J66,AJ351&gt;$K66),Tarification!$D$9,IF(AND(AJ351&lt;=$K66,AJ351&gt;0),Tarification!$D$10,0)))</f>
        <v>0</v>
      </c>
      <c r="AK641" s="37">
        <f>IF(AND(AK351&lt;=$I66,AK351&gt;$J66),Tarification!$D$8,IF(AND(AK351&lt;=$J66,AK351&gt;$K66),Tarification!$D$9,IF(AND(AK351&lt;=$K66,AK351&gt;0),Tarification!$D$10,0)))</f>
        <v>0</v>
      </c>
      <c r="AL641" s="37">
        <f>IF(AND(AL351&lt;=$I66,AL351&gt;$J66),Tarification!$D$8,IF(AND(AL351&lt;=$J66,AL351&gt;$K66),Tarification!$D$9,IF(AND(AL351&lt;=$K66,AL351&gt;0),Tarification!$D$10,0)))</f>
        <v>0</v>
      </c>
      <c r="AM641" s="37">
        <f>IF(AND(AM351&lt;=$I66,AM351&gt;$J66),Tarification!$D$8,IF(AND(AM351&lt;=$J66,AM351&gt;$K66),Tarification!$D$9,IF(AND(AM351&lt;=$K66,AM351&gt;0),Tarification!$D$10,0)))</f>
        <v>0</v>
      </c>
      <c r="AN641" s="37">
        <f>IF(AND(AN351&lt;=$I66,AN351&gt;$J66),Tarification!$D$8,IF(AND(AN351&lt;=$J66,AN351&gt;$K66),Tarification!$D$9,IF(AND(AN351&lt;=$K66,AN351&gt;0),Tarification!$D$10,0)))</f>
        <v>0</v>
      </c>
      <c r="AQ641" s="101">
        <f t="shared" si="148"/>
        <v>0</v>
      </c>
    </row>
    <row r="642" spans="14:43" ht="15.6">
      <c r="N642" s="39" t="s">
        <v>26</v>
      </c>
      <c r="O642" s="39" t="s">
        <v>270</v>
      </c>
      <c r="P642" t="s">
        <v>678</v>
      </c>
      <c r="Q642" s="39"/>
      <c r="V642" s="37">
        <f>IF(AND(V352&lt;=$I67,V352&gt;$J67),Tarification!$D$8,IF(AND(V352&lt;=$J67,V352&gt;$K67),Tarification!$D$9,IF(AND(V352&lt;=$K67,V352&gt;0),Tarification!$D$10,0)))</f>
        <v>0</v>
      </c>
      <c r="W642" s="37">
        <f>IF(AND(W352&lt;=$I67,W352&gt;$J67),Tarification!$D$8,IF(AND(W352&lt;=$J67,W352&gt;$K67),Tarification!$D$9,IF(AND(W352&lt;=$K67,W352&gt;0),Tarification!$D$10,0)))</f>
        <v>0</v>
      </c>
      <c r="X642" s="37">
        <f>IF(AND(X352&lt;=$I67,X352&gt;$J67),Tarification!$D$8,IF(AND(X352&lt;=$J67,X352&gt;$K67),Tarification!$D$9,IF(AND(X352&lt;=$K67,X352&gt;0),Tarification!$D$10,0)))</f>
        <v>0</v>
      </c>
      <c r="Y642" s="37">
        <f>IF(AND(Y352&lt;=$I67,Y352&gt;$J67),Tarification!$D$8,IF(AND(Y352&lt;=$J67,Y352&gt;$K67),Tarification!$D$9,IF(AND(Y352&lt;=$K67,Y352&gt;0),Tarification!$D$10,0)))</f>
        <v>0</v>
      </c>
      <c r="Z642" s="37">
        <f>IF(AND(Z352&lt;=$I67,Z352&gt;$J67),Tarification!$D$8,IF(AND(Z352&lt;=$J67,Z352&gt;$K67),Tarification!$D$9,IF(AND(Z352&lt;=$K67,Z352&gt;0),Tarification!$D$10,0)))</f>
        <v>0</v>
      </c>
      <c r="AA642" s="37">
        <f>IF(AND(AA352&lt;=$I67,AA352&gt;$J67),Tarification!$D$8,IF(AND(AA352&lt;=$J67,AA352&gt;$K67),Tarification!$D$9,IF(AND(AA352&lt;=$K67,AA352&gt;0),Tarification!$D$10,0)))</f>
        <v>0</v>
      </c>
      <c r="AB642" s="37">
        <f>IF(AND(AB352&lt;=$I67,AB352&gt;$J67),Tarification!$D$8,IF(AND(AB352&lt;=$J67,AB352&gt;$K67),Tarification!$D$9,IF(AND(AB352&lt;=$K67,AB352&gt;0),Tarification!$D$10,0)))</f>
        <v>0</v>
      </c>
      <c r="AC642" s="37">
        <f>IF(AND(AC352&lt;=$I67,AC352&gt;$J67),Tarification!$D$8,IF(AND(AC352&lt;=$J67,AC352&gt;$K67),Tarification!$D$9,IF(AND(AC352&lt;=$K67,AC352&gt;0),Tarification!$D$10,0)))</f>
        <v>0</v>
      </c>
      <c r="AD642" s="37">
        <f>IF(AND(AD352&lt;=$I67,AD352&gt;$J67),Tarification!$D$8,IF(AND(AD352&lt;=$J67,AD352&gt;$K67),Tarification!$D$9,IF(AND(AD352&lt;=$K67,AD352&gt;0),Tarification!$D$10,0)))</f>
        <v>0</v>
      </c>
      <c r="AE642" s="37">
        <f>IF(AND(AE352&lt;=$I67,AE352&gt;$J67),Tarification!$D$8,IF(AND(AE352&lt;=$J67,AE352&gt;$K67),Tarification!$D$9,IF(AND(AE352&lt;=$K67,AE352&gt;0),Tarification!$D$10,0)))</f>
        <v>0</v>
      </c>
      <c r="AF642" s="37">
        <f>IF(AND(AF352&lt;=$I67,AF352&gt;$J67),Tarification!$D$8,IF(AND(AF352&lt;=$J67,AF352&gt;$K67),Tarification!$D$9,IF(AND(AF352&lt;=$K67,AF352&gt;0),Tarification!$D$10,0)))</f>
        <v>0</v>
      </c>
      <c r="AG642" s="37">
        <f>IF(AND(AG352&lt;=$I67,AG352&gt;$J67),Tarification!$D$8,IF(AND(AG352&lt;=$J67,AG352&gt;$K67),Tarification!$D$9,IF(AND(AG352&lt;=$K67,AG352&gt;0),Tarification!$D$10,0)))</f>
        <v>0</v>
      </c>
      <c r="AH642" s="37">
        <f>IF(AND(AH352&lt;=$I67,AH352&gt;$J67),Tarification!$D$8,IF(AND(AH352&lt;=$J67,AH352&gt;$K67),Tarification!$D$9,IF(AND(AH352&lt;=$K67,AH352&gt;0),Tarification!$D$10,0)))</f>
        <v>0</v>
      </c>
      <c r="AI642" s="37">
        <f>IF(AND(AI352&lt;=$I67,AI352&gt;$J67),Tarification!$D$8,IF(AND(AI352&lt;=$J67,AI352&gt;$K67),Tarification!$D$9,IF(AND(AI352&lt;=$K67,AI352&gt;0),Tarification!$D$10,0)))</f>
        <v>0</v>
      </c>
      <c r="AJ642" s="37">
        <f>IF(AND(AJ352&lt;=$I67,AJ352&gt;$J67),Tarification!$D$8,IF(AND(AJ352&lt;=$J67,AJ352&gt;$K67),Tarification!$D$9,IF(AND(AJ352&lt;=$K67,AJ352&gt;0),Tarification!$D$10,0)))</f>
        <v>0</v>
      </c>
      <c r="AK642" s="37">
        <f>IF(AND(AK352&lt;=$I67,AK352&gt;$J67),Tarification!$D$8,IF(AND(AK352&lt;=$J67,AK352&gt;$K67),Tarification!$D$9,IF(AND(AK352&lt;=$K67,AK352&gt;0),Tarification!$D$10,0)))</f>
        <v>0</v>
      </c>
      <c r="AL642" s="37">
        <f>IF(AND(AL352&lt;=$I67,AL352&gt;$J67),Tarification!$D$8,IF(AND(AL352&lt;=$J67,AL352&gt;$K67),Tarification!$D$9,IF(AND(AL352&lt;=$K67,AL352&gt;0),Tarification!$D$10,0)))</f>
        <v>0</v>
      </c>
      <c r="AM642" s="37">
        <f>IF(AND(AM352&lt;=$I67,AM352&gt;$J67),Tarification!$D$8,IF(AND(AM352&lt;=$J67,AM352&gt;$K67),Tarification!$D$9,IF(AND(AM352&lt;=$K67,AM352&gt;0),Tarification!$D$10,0)))</f>
        <v>0</v>
      </c>
      <c r="AN642" s="37">
        <f>IF(AND(AN352&lt;=$I67,AN352&gt;$J67),Tarification!$D$8,IF(AND(AN352&lt;=$J67,AN352&gt;$K67),Tarification!$D$9,IF(AND(AN352&lt;=$K67,AN352&gt;0),Tarification!$D$10,0)))</f>
        <v>50000</v>
      </c>
      <c r="AQ642" s="101">
        <f t="shared" si="148"/>
        <v>2631.5789473684213</v>
      </c>
    </row>
    <row r="643" spans="14:43" ht="15.6">
      <c r="N643" s="39" t="s">
        <v>26</v>
      </c>
      <c r="O643" s="39" t="s">
        <v>257</v>
      </c>
      <c r="P643" t="s">
        <v>679</v>
      </c>
      <c r="Q643" s="39"/>
      <c r="V643" s="37">
        <f>IF(AND(V353&lt;=$I68,V353&gt;$J68),Tarification!$D$8,IF(AND(V353&lt;=$J68,V353&gt;$K68),Tarification!$D$9,IF(AND(V353&lt;=$K68,V353&gt;0),Tarification!$D$10,0)))</f>
        <v>0</v>
      </c>
      <c r="W643" s="37">
        <f>IF(AND(W353&lt;=$I68,W353&gt;$J68),Tarification!$D$8,IF(AND(W353&lt;=$J68,W353&gt;$K68),Tarification!$D$9,IF(AND(W353&lt;=$K68,W353&gt;0),Tarification!$D$10,0)))</f>
        <v>0</v>
      </c>
      <c r="X643" s="37">
        <f>IF(AND(X353&lt;=$I68,X353&gt;$J68),Tarification!$D$8,IF(AND(X353&lt;=$J68,X353&gt;$K68),Tarification!$D$9,IF(AND(X353&lt;=$K68,X353&gt;0),Tarification!$D$10,0)))</f>
        <v>0</v>
      </c>
      <c r="Y643" s="37">
        <f>IF(AND(Y353&lt;=$I68,Y353&gt;$J68),Tarification!$D$8,IF(AND(Y353&lt;=$J68,Y353&gt;$K68),Tarification!$D$9,IF(AND(Y353&lt;=$K68,Y353&gt;0),Tarification!$D$10,0)))</f>
        <v>0</v>
      </c>
      <c r="Z643" s="37">
        <f>IF(AND(Z353&lt;=$I68,Z353&gt;$J68),Tarification!$D$8,IF(AND(Z353&lt;=$J68,Z353&gt;$K68),Tarification!$D$9,IF(AND(Z353&lt;=$K68,Z353&gt;0),Tarification!$D$10,0)))</f>
        <v>0</v>
      </c>
      <c r="AA643" s="37">
        <f>IF(AND(AA353&lt;=$I68,AA353&gt;$J68),Tarification!$D$8,IF(AND(AA353&lt;=$J68,AA353&gt;$K68),Tarification!$D$9,IF(AND(AA353&lt;=$K68,AA353&gt;0),Tarification!$D$10,0)))</f>
        <v>0</v>
      </c>
      <c r="AB643" s="37">
        <f>IF(AND(AB353&lt;=$I68,AB353&gt;$J68),Tarification!$D$8,IF(AND(AB353&lt;=$J68,AB353&gt;$K68),Tarification!$D$9,IF(AND(AB353&lt;=$K68,AB353&gt;0),Tarification!$D$10,0)))</f>
        <v>0</v>
      </c>
      <c r="AC643" s="37">
        <f>IF(AND(AC353&lt;=$I68,AC353&gt;$J68),Tarification!$D$8,IF(AND(AC353&lt;=$J68,AC353&gt;$K68),Tarification!$D$9,IF(AND(AC353&lt;=$K68,AC353&gt;0),Tarification!$D$10,0)))</f>
        <v>0</v>
      </c>
      <c r="AD643" s="37">
        <f>IF(AND(AD353&lt;=$I68,AD353&gt;$J68),Tarification!$D$8,IF(AND(AD353&lt;=$J68,AD353&gt;$K68),Tarification!$D$9,IF(AND(AD353&lt;=$K68,AD353&gt;0),Tarification!$D$10,0)))</f>
        <v>0</v>
      </c>
      <c r="AE643" s="37">
        <f>IF(AND(AE353&lt;=$I68,AE353&gt;$J68),Tarification!$D$8,IF(AND(AE353&lt;=$J68,AE353&gt;$K68),Tarification!$D$9,IF(AND(AE353&lt;=$K68,AE353&gt;0),Tarification!$D$10,0)))</f>
        <v>0</v>
      </c>
      <c r="AF643" s="37">
        <f>IF(AND(AF353&lt;=$I68,AF353&gt;$J68),Tarification!$D$8,IF(AND(AF353&lt;=$J68,AF353&gt;$K68),Tarification!$D$9,IF(AND(AF353&lt;=$K68,AF353&gt;0),Tarification!$D$10,0)))</f>
        <v>0</v>
      </c>
      <c r="AG643" s="37">
        <f>IF(AND(AG353&lt;=$I68,AG353&gt;$J68),Tarification!$D$8,IF(AND(AG353&lt;=$J68,AG353&gt;$K68),Tarification!$D$9,IF(AND(AG353&lt;=$K68,AG353&gt;0),Tarification!$D$10,0)))</f>
        <v>0</v>
      </c>
      <c r="AH643" s="37">
        <f>IF(AND(AH353&lt;=$I68,AH353&gt;$J68),Tarification!$D$8,IF(AND(AH353&lt;=$J68,AH353&gt;$K68),Tarification!$D$9,IF(AND(AH353&lt;=$K68,AH353&gt;0),Tarification!$D$10,0)))</f>
        <v>0</v>
      </c>
      <c r="AI643" s="37">
        <f>IF(AND(AI353&lt;=$I68,AI353&gt;$J68),Tarification!$D$8,IF(AND(AI353&lt;=$J68,AI353&gt;$K68),Tarification!$D$9,IF(AND(AI353&lt;=$K68,AI353&gt;0),Tarification!$D$10,0)))</f>
        <v>0</v>
      </c>
      <c r="AJ643" s="37">
        <f>IF(AND(AJ353&lt;=$I68,AJ353&gt;$J68),Tarification!$D$8,IF(AND(AJ353&lt;=$J68,AJ353&gt;$K68),Tarification!$D$9,IF(AND(AJ353&lt;=$K68,AJ353&gt;0),Tarification!$D$10,0)))</f>
        <v>0</v>
      </c>
      <c r="AK643" s="37">
        <f>IF(AND(AK353&lt;=$I68,AK353&gt;$J68),Tarification!$D$8,IF(AND(AK353&lt;=$J68,AK353&gt;$K68),Tarification!$D$9,IF(AND(AK353&lt;=$K68,AK353&gt;0),Tarification!$D$10,0)))</f>
        <v>0</v>
      </c>
      <c r="AL643" s="37">
        <f>IF(AND(AL353&lt;=$I68,AL353&gt;$J68),Tarification!$D$8,IF(AND(AL353&lt;=$J68,AL353&gt;$K68),Tarification!$D$9,IF(AND(AL353&lt;=$K68,AL353&gt;0),Tarification!$D$10,0)))</f>
        <v>0</v>
      </c>
      <c r="AM643" s="37">
        <f>IF(AND(AM353&lt;=$I68,AM353&gt;$J68),Tarification!$D$8,IF(AND(AM353&lt;=$J68,AM353&gt;$K68),Tarification!$D$9,IF(AND(AM353&lt;=$K68,AM353&gt;0),Tarification!$D$10,0)))</f>
        <v>0</v>
      </c>
      <c r="AN643" s="37">
        <f>IF(AND(AN353&lt;=$I68,AN353&gt;$J68),Tarification!$D$8,IF(AND(AN353&lt;=$J68,AN353&gt;$K68),Tarification!$D$9,IF(AND(AN353&lt;=$K68,AN353&gt;0),Tarification!$D$10,0)))</f>
        <v>0</v>
      </c>
      <c r="AQ643" s="101">
        <f t="shared" si="148"/>
        <v>0</v>
      </c>
    </row>
    <row r="644" spans="14:43" ht="15.6">
      <c r="N644" s="39" t="s">
        <v>26</v>
      </c>
      <c r="O644" s="39" t="s">
        <v>598</v>
      </c>
      <c r="P644" t="s">
        <v>680</v>
      </c>
      <c r="Q644" s="39"/>
      <c r="V644" s="37">
        <f>IF(AND(V354&lt;=$I69,V354&gt;$J69),Tarification!$D$8,IF(AND(V354&lt;=$J69,V354&gt;$K69),Tarification!$D$9,IF(AND(V354&lt;=$K69,V354&gt;0),Tarification!$D$10,0)))</f>
        <v>0</v>
      </c>
      <c r="W644" s="37">
        <f>IF(AND(W354&lt;=$I69,W354&gt;$J69),Tarification!$D$8,IF(AND(W354&lt;=$J69,W354&gt;$K69),Tarification!$D$9,IF(AND(W354&lt;=$K69,W354&gt;0),Tarification!$D$10,0)))</f>
        <v>0</v>
      </c>
      <c r="X644" s="37">
        <f>IF(AND(X354&lt;=$I69,X354&gt;$J69),Tarification!$D$8,IF(AND(X354&lt;=$J69,X354&gt;$K69),Tarification!$D$9,IF(AND(X354&lt;=$K69,X354&gt;0),Tarification!$D$10,0)))</f>
        <v>0</v>
      </c>
      <c r="Y644" s="37">
        <f>IF(AND(Y354&lt;=$I69,Y354&gt;$J69),Tarification!$D$8,IF(AND(Y354&lt;=$J69,Y354&gt;$K69),Tarification!$D$9,IF(AND(Y354&lt;=$K69,Y354&gt;0),Tarification!$D$10,0)))</f>
        <v>0</v>
      </c>
      <c r="Z644" s="37">
        <f>IF(AND(Z354&lt;=$I69,Z354&gt;$J69),Tarification!$D$8,IF(AND(Z354&lt;=$J69,Z354&gt;$K69),Tarification!$D$9,IF(AND(Z354&lt;=$K69,Z354&gt;0),Tarification!$D$10,0)))</f>
        <v>0</v>
      </c>
      <c r="AA644" s="37">
        <f>IF(AND(AA354&lt;=$I69,AA354&gt;$J69),Tarification!$D$8,IF(AND(AA354&lt;=$J69,AA354&gt;$K69),Tarification!$D$9,IF(AND(AA354&lt;=$K69,AA354&gt;0),Tarification!$D$10,0)))</f>
        <v>0</v>
      </c>
      <c r="AB644" s="37">
        <f>IF(AND(AB354&lt;=$I69,AB354&gt;$J69),Tarification!$D$8,IF(AND(AB354&lt;=$J69,AB354&gt;$K69),Tarification!$D$9,IF(AND(AB354&lt;=$K69,AB354&gt;0),Tarification!$D$10,0)))</f>
        <v>0</v>
      </c>
      <c r="AC644" s="37">
        <f>IF(AND(AC354&lt;=$I69,AC354&gt;$J69),Tarification!$D$8,IF(AND(AC354&lt;=$J69,AC354&gt;$K69),Tarification!$D$9,IF(AND(AC354&lt;=$K69,AC354&gt;0),Tarification!$D$10,0)))</f>
        <v>0</v>
      </c>
      <c r="AD644" s="37">
        <f>IF(AND(AD354&lt;=$I69,AD354&gt;$J69),Tarification!$D$8,IF(AND(AD354&lt;=$J69,AD354&gt;$K69),Tarification!$D$9,IF(AND(AD354&lt;=$K69,AD354&gt;0),Tarification!$D$10,0)))</f>
        <v>0</v>
      </c>
      <c r="AE644" s="37">
        <f>IF(AND(AE354&lt;=$I69,AE354&gt;$J69),Tarification!$D$8,IF(AND(AE354&lt;=$J69,AE354&gt;$K69),Tarification!$D$9,IF(AND(AE354&lt;=$K69,AE354&gt;0),Tarification!$D$10,0)))</f>
        <v>50000</v>
      </c>
      <c r="AF644" s="37">
        <f>IF(AND(AF354&lt;=$I69,AF354&gt;$J69),Tarification!$D$8,IF(AND(AF354&lt;=$J69,AF354&gt;$K69),Tarification!$D$9,IF(AND(AF354&lt;=$K69,AF354&gt;0),Tarification!$D$10,0)))</f>
        <v>0</v>
      </c>
      <c r="AG644" s="37">
        <f>IF(AND(AG354&lt;=$I69,AG354&gt;$J69),Tarification!$D$8,IF(AND(AG354&lt;=$J69,AG354&gt;$K69),Tarification!$D$9,IF(AND(AG354&lt;=$K69,AG354&gt;0),Tarification!$D$10,0)))</f>
        <v>0</v>
      </c>
      <c r="AH644" s="37">
        <f>IF(AND(AH354&lt;=$I69,AH354&gt;$J69),Tarification!$D$8,IF(AND(AH354&lt;=$J69,AH354&gt;$K69),Tarification!$D$9,IF(AND(AH354&lt;=$K69,AH354&gt;0),Tarification!$D$10,0)))</f>
        <v>0</v>
      </c>
      <c r="AI644" s="37">
        <f>IF(AND(AI354&lt;=$I69,AI354&gt;$J69),Tarification!$D$8,IF(AND(AI354&lt;=$J69,AI354&gt;$K69),Tarification!$D$9,IF(AND(AI354&lt;=$K69,AI354&gt;0),Tarification!$D$10,0)))</f>
        <v>0</v>
      </c>
      <c r="AJ644" s="37">
        <f>IF(AND(AJ354&lt;=$I69,AJ354&gt;$J69),Tarification!$D$8,IF(AND(AJ354&lt;=$J69,AJ354&gt;$K69),Tarification!$D$9,IF(AND(AJ354&lt;=$K69,AJ354&gt;0),Tarification!$D$10,0)))</f>
        <v>0</v>
      </c>
      <c r="AK644" s="37">
        <f>IF(AND(AK354&lt;=$I69,AK354&gt;$J69),Tarification!$D$8,IF(AND(AK354&lt;=$J69,AK354&gt;$K69),Tarification!$D$9,IF(AND(AK354&lt;=$K69,AK354&gt;0),Tarification!$D$10,0)))</f>
        <v>0</v>
      </c>
      <c r="AL644" s="37">
        <f>IF(AND(AL354&lt;=$I69,AL354&gt;$J69),Tarification!$D$8,IF(AND(AL354&lt;=$J69,AL354&gt;$K69),Tarification!$D$9,IF(AND(AL354&lt;=$K69,AL354&gt;0),Tarification!$D$10,0)))</f>
        <v>0</v>
      </c>
      <c r="AM644" s="37">
        <f>IF(AND(AM354&lt;=$I69,AM354&gt;$J69),Tarification!$D$8,IF(AND(AM354&lt;=$J69,AM354&gt;$K69),Tarification!$D$9,IF(AND(AM354&lt;=$K69,AM354&gt;0),Tarification!$D$10,0)))</f>
        <v>0</v>
      </c>
      <c r="AN644" s="37">
        <f>IF(AND(AN354&lt;=$I69,AN354&gt;$J69),Tarification!$D$8,IF(AND(AN354&lt;=$J69,AN354&gt;$K69),Tarification!$D$9,IF(AND(AN354&lt;=$K69,AN354&gt;0),Tarification!$D$10,0)))</f>
        <v>0</v>
      </c>
      <c r="AQ644" s="101">
        <f t="shared" si="148"/>
        <v>2631.5789473684213</v>
      </c>
    </row>
    <row r="645" spans="14:43" ht="15.6">
      <c r="N645" s="39" t="s">
        <v>26</v>
      </c>
      <c r="O645" s="39" t="s">
        <v>588</v>
      </c>
      <c r="P645" t="s">
        <v>681</v>
      </c>
      <c r="Q645" s="39"/>
      <c r="V645" s="37">
        <f>IF(AND(V355&lt;=$I70,V355&gt;$J70),Tarification!$D$8,IF(AND(V355&lt;=$J70,V355&gt;$K70),Tarification!$D$9,IF(AND(V355&lt;=$K70,V355&gt;0),Tarification!$D$10,0)))</f>
        <v>0</v>
      </c>
      <c r="W645" s="37">
        <f>IF(AND(W355&lt;=$I70,W355&gt;$J70),Tarification!$D$8,IF(AND(W355&lt;=$J70,W355&gt;$K70),Tarification!$D$9,IF(AND(W355&lt;=$K70,W355&gt;0),Tarification!$D$10,0)))</f>
        <v>50000</v>
      </c>
      <c r="X645" s="37">
        <f>IF(AND(X355&lt;=$I70,X355&gt;$J70),Tarification!$D$8,IF(AND(X355&lt;=$J70,X355&gt;$K70),Tarification!$D$9,IF(AND(X355&lt;=$K70,X355&gt;0),Tarification!$D$10,0)))</f>
        <v>0</v>
      </c>
      <c r="Y645" s="37">
        <f>IF(AND(Y355&lt;=$I70,Y355&gt;$J70),Tarification!$D$8,IF(AND(Y355&lt;=$J70,Y355&gt;$K70),Tarification!$D$9,IF(AND(Y355&lt;=$K70,Y355&gt;0),Tarification!$D$10,0)))</f>
        <v>0</v>
      </c>
      <c r="Z645" s="37">
        <f>IF(AND(Z355&lt;=$I70,Z355&gt;$J70),Tarification!$D$8,IF(AND(Z355&lt;=$J70,Z355&gt;$K70),Tarification!$D$9,IF(AND(Z355&lt;=$K70,Z355&gt;0),Tarification!$D$10,0)))</f>
        <v>0</v>
      </c>
      <c r="AA645" s="37">
        <f>IF(AND(AA355&lt;=$I70,AA355&gt;$J70),Tarification!$D$8,IF(AND(AA355&lt;=$J70,AA355&gt;$K70),Tarification!$D$9,IF(AND(AA355&lt;=$K70,AA355&gt;0),Tarification!$D$10,0)))</f>
        <v>0</v>
      </c>
      <c r="AB645" s="37">
        <f>IF(AND(AB355&lt;=$I70,AB355&gt;$J70),Tarification!$D$8,IF(AND(AB355&lt;=$J70,AB355&gt;$K70),Tarification!$D$9,IF(AND(AB355&lt;=$K70,AB355&gt;0),Tarification!$D$10,0)))</f>
        <v>0</v>
      </c>
      <c r="AC645" s="37">
        <f>IF(AND(AC355&lt;=$I70,AC355&gt;$J70),Tarification!$D$8,IF(AND(AC355&lt;=$J70,AC355&gt;$K70),Tarification!$D$9,IF(AND(AC355&lt;=$K70,AC355&gt;0),Tarification!$D$10,0)))</f>
        <v>50000</v>
      </c>
      <c r="AD645" s="37">
        <f>IF(AND(AD355&lt;=$I70,AD355&gt;$J70),Tarification!$D$8,IF(AND(AD355&lt;=$J70,AD355&gt;$K70),Tarification!$D$9,IF(AND(AD355&lt;=$K70,AD355&gt;0),Tarification!$D$10,0)))</f>
        <v>0</v>
      </c>
      <c r="AE645" s="37">
        <f>IF(AND(AE355&lt;=$I70,AE355&gt;$J70),Tarification!$D$8,IF(AND(AE355&lt;=$J70,AE355&gt;$K70),Tarification!$D$9,IF(AND(AE355&lt;=$K70,AE355&gt;0),Tarification!$D$10,0)))</f>
        <v>125000</v>
      </c>
      <c r="AF645" s="37">
        <f>IF(AND(AF355&lt;=$I70,AF355&gt;$J70),Tarification!$D$8,IF(AND(AF355&lt;=$J70,AF355&gt;$K70),Tarification!$D$9,IF(AND(AF355&lt;=$K70,AF355&gt;0),Tarification!$D$10,0)))</f>
        <v>50000</v>
      </c>
      <c r="AG645" s="37">
        <f>IF(AND(AG355&lt;=$I70,AG355&gt;$J70),Tarification!$D$8,IF(AND(AG355&lt;=$J70,AG355&gt;$K70),Tarification!$D$9,IF(AND(AG355&lt;=$K70,AG355&gt;0),Tarification!$D$10,0)))</f>
        <v>0</v>
      </c>
      <c r="AH645" s="37">
        <f>IF(AND(AH355&lt;=$I70,AH355&gt;$J70),Tarification!$D$8,IF(AND(AH355&lt;=$J70,AH355&gt;$K70),Tarification!$D$9,IF(AND(AH355&lt;=$K70,AH355&gt;0),Tarification!$D$10,0)))</f>
        <v>0</v>
      </c>
      <c r="AI645" s="37">
        <f>IF(AND(AI355&lt;=$I70,AI355&gt;$J70),Tarification!$D$8,IF(AND(AI355&lt;=$J70,AI355&gt;$K70),Tarification!$D$9,IF(AND(AI355&lt;=$K70,AI355&gt;0),Tarification!$D$10,0)))</f>
        <v>0</v>
      </c>
      <c r="AJ645" s="37">
        <f>IF(AND(AJ355&lt;=$I70,AJ355&gt;$J70),Tarification!$D$8,IF(AND(AJ355&lt;=$J70,AJ355&gt;$K70),Tarification!$D$9,IF(AND(AJ355&lt;=$K70,AJ355&gt;0),Tarification!$D$10,0)))</f>
        <v>0</v>
      </c>
      <c r="AK645" s="37">
        <f>IF(AND(AK355&lt;=$I70,AK355&gt;$J70),Tarification!$D$8,IF(AND(AK355&lt;=$J70,AK355&gt;$K70),Tarification!$D$9,IF(AND(AK355&lt;=$K70,AK355&gt;0),Tarification!$D$10,0)))</f>
        <v>0</v>
      </c>
      <c r="AL645" s="37">
        <f>IF(AND(AL355&lt;=$I70,AL355&gt;$J70),Tarification!$D$8,IF(AND(AL355&lt;=$J70,AL355&gt;$K70),Tarification!$D$9,IF(AND(AL355&lt;=$K70,AL355&gt;0),Tarification!$D$10,0)))</f>
        <v>0</v>
      </c>
      <c r="AM645" s="37">
        <f>IF(AND(AM355&lt;=$I70,AM355&gt;$J70),Tarification!$D$8,IF(AND(AM355&lt;=$J70,AM355&gt;$K70),Tarification!$D$9,IF(AND(AM355&lt;=$K70,AM355&gt;0),Tarification!$D$10,0)))</f>
        <v>0</v>
      </c>
      <c r="AN645" s="37">
        <f>IF(AND(AN355&lt;=$I70,AN355&gt;$J70),Tarification!$D$8,IF(AND(AN355&lt;=$J70,AN355&gt;$K70),Tarification!$D$9,IF(AND(AN355&lt;=$K70,AN355&gt;0),Tarification!$D$10,0)))</f>
        <v>0</v>
      </c>
      <c r="AQ645" s="101">
        <f t="shared" si="148"/>
        <v>14473.684210526315</v>
      </c>
    </row>
    <row r="646" spans="14:43" ht="15.6">
      <c r="N646" s="39" t="s">
        <v>26</v>
      </c>
      <c r="O646" s="39" t="s">
        <v>267</v>
      </c>
      <c r="P646" t="s">
        <v>682</v>
      </c>
      <c r="Q646" s="39"/>
      <c r="V646" s="37">
        <f>IF(AND(V356&lt;=$I71,V356&gt;$J71),Tarification!$D$8,IF(AND(V356&lt;=$J71,V356&gt;$K71),Tarification!$D$9,IF(AND(V356&lt;=$K71,V356&gt;0),Tarification!$D$10,0)))</f>
        <v>0</v>
      </c>
      <c r="W646" s="37">
        <f>IF(AND(W356&lt;=$I71,W356&gt;$J71),Tarification!$D$8,IF(AND(W356&lt;=$J71,W356&gt;$K71),Tarification!$D$9,IF(AND(W356&lt;=$K71,W356&gt;0),Tarification!$D$10,0)))</f>
        <v>50000</v>
      </c>
      <c r="X646" s="37">
        <f>IF(AND(X356&lt;=$I71,X356&gt;$J71),Tarification!$D$8,IF(AND(X356&lt;=$J71,X356&gt;$K71),Tarification!$D$9,IF(AND(X356&lt;=$K71,X356&gt;0),Tarification!$D$10,0)))</f>
        <v>0</v>
      </c>
      <c r="Y646" s="37">
        <f>IF(AND(Y356&lt;=$I71,Y356&gt;$J71),Tarification!$D$8,IF(AND(Y356&lt;=$J71,Y356&gt;$K71),Tarification!$D$9,IF(AND(Y356&lt;=$K71,Y356&gt;0),Tarification!$D$10,0)))</f>
        <v>0</v>
      </c>
      <c r="Z646" s="37">
        <f>IF(AND(Z356&lt;=$I71,Z356&gt;$J71),Tarification!$D$8,IF(AND(Z356&lt;=$J71,Z356&gt;$K71),Tarification!$D$9,IF(AND(Z356&lt;=$K71,Z356&gt;0),Tarification!$D$10,0)))</f>
        <v>0</v>
      </c>
      <c r="AA646" s="37">
        <f>IF(AND(AA356&lt;=$I71,AA356&gt;$J71),Tarification!$D$8,IF(AND(AA356&lt;=$J71,AA356&gt;$K71),Tarification!$D$9,IF(AND(AA356&lt;=$K71,AA356&gt;0),Tarification!$D$10,0)))</f>
        <v>0</v>
      </c>
      <c r="AB646" s="37">
        <f>IF(AND(AB356&lt;=$I71,AB356&gt;$J71),Tarification!$D$8,IF(AND(AB356&lt;=$J71,AB356&gt;$K71),Tarification!$D$9,IF(AND(AB356&lt;=$K71,AB356&gt;0),Tarification!$D$10,0)))</f>
        <v>0</v>
      </c>
      <c r="AC646" s="37">
        <f>IF(AND(AC356&lt;=$I71,AC356&gt;$J71),Tarification!$D$8,IF(AND(AC356&lt;=$J71,AC356&gt;$K71),Tarification!$D$9,IF(AND(AC356&lt;=$K71,AC356&gt;0),Tarification!$D$10,0)))</f>
        <v>0</v>
      </c>
      <c r="AD646" s="37">
        <f>IF(AND(AD356&lt;=$I71,AD356&gt;$J71),Tarification!$D$8,IF(AND(AD356&lt;=$J71,AD356&gt;$K71),Tarification!$D$9,IF(AND(AD356&lt;=$K71,AD356&gt;0),Tarification!$D$10,0)))</f>
        <v>0</v>
      </c>
      <c r="AE646" s="37">
        <f>IF(AND(AE356&lt;=$I71,AE356&gt;$J71),Tarification!$D$8,IF(AND(AE356&lt;=$J71,AE356&gt;$K71),Tarification!$D$9,IF(AND(AE356&lt;=$K71,AE356&gt;0),Tarification!$D$10,0)))</f>
        <v>50000</v>
      </c>
      <c r="AF646" s="37">
        <f>IF(AND(AF356&lt;=$I71,AF356&gt;$J71),Tarification!$D$8,IF(AND(AF356&lt;=$J71,AF356&gt;$K71),Tarification!$D$9,IF(AND(AF356&lt;=$K71,AF356&gt;0),Tarification!$D$10,0)))</f>
        <v>0</v>
      </c>
      <c r="AG646" s="37">
        <f>IF(AND(AG356&lt;=$I71,AG356&gt;$J71),Tarification!$D$8,IF(AND(AG356&lt;=$J71,AG356&gt;$K71),Tarification!$D$9,IF(AND(AG356&lt;=$K71,AG356&gt;0),Tarification!$D$10,0)))</f>
        <v>0</v>
      </c>
      <c r="AH646" s="37">
        <f>IF(AND(AH356&lt;=$I71,AH356&gt;$J71),Tarification!$D$8,IF(AND(AH356&lt;=$J71,AH356&gt;$K71),Tarification!$D$9,IF(AND(AH356&lt;=$K71,AH356&gt;0),Tarification!$D$10,0)))</f>
        <v>0</v>
      </c>
      <c r="AI646" s="37">
        <f>IF(AND(AI356&lt;=$I71,AI356&gt;$J71),Tarification!$D$8,IF(AND(AI356&lt;=$J71,AI356&gt;$K71),Tarification!$D$9,IF(AND(AI356&lt;=$K71,AI356&gt;0),Tarification!$D$10,0)))</f>
        <v>0</v>
      </c>
      <c r="AJ646" s="37">
        <f>IF(AND(AJ356&lt;=$I71,AJ356&gt;$J71),Tarification!$D$8,IF(AND(AJ356&lt;=$J71,AJ356&gt;$K71),Tarification!$D$9,IF(AND(AJ356&lt;=$K71,AJ356&gt;0),Tarification!$D$10,0)))</f>
        <v>0</v>
      </c>
      <c r="AK646" s="37">
        <f>IF(AND(AK356&lt;=$I71,AK356&gt;$J71),Tarification!$D$8,IF(AND(AK356&lt;=$J71,AK356&gt;$K71),Tarification!$D$9,IF(AND(AK356&lt;=$K71,AK356&gt;0),Tarification!$D$10,0)))</f>
        <v>0</v>
      </c>
      <c r="AL646" s="37">
        <f>IF(AND(AL356&lt;=$I71,AL356&gt;$J71),Tarification!$D$8,IF(AND(AL356&lt;=$J71,AL356&gt;$K71),Tarification!$D$9,IF(AND(AL356&lt;=$K71,AL356&gt;0),Tarification!$D$10,0)))</f>
        <v>0</v>
      </c>
      <c r="AM646" s="37">
        <f>IF(AND(AM356&lt;=$I71,AM356&gt;$J71),Tarification!$D$8,IF(AND(AM356&lt;=$J71,AM356&gt;$K71),Tarification!$D$9,IF(AND(AM356&lt;=$K71,AM356&gt;0),Tarification!$D$10,0)))</f>
        <v>0</v>
      </c>
      <c r="AN646" s="37">
        <f>IF(AND(AN356&lt;=$I71,AN356&gt;$J71),Tarification!$D$8,IF(AND(AN356&lt;=$J71,AN356&gt;$K71),Tarification!$D$9,IF(AND(AN356&lt;=$K71,AN356&gt;0),Tarification!$D$10,0)))</f>
        <v>0</v>
      </c>
      <c r="AQ646" s="101">
        <f t="shared" si="148"/>
        <v>5263.1578947368425</v>
      </c>
    </row>
    <row r="647" spans="14:43" ht="15.6">
      <c r="N647" s="39" t="s">
        <v>26</v>
      </c>
      <c r="O647" s="39" t="s">
        <v>588</v>
      </c>
      <c r="P647" t="s">
        <v>683</v>
      </c>
      <c r="Q647" s="39"/>
      <c r="V647" s="37">
        <f>IF(AND(V357&lt;=$I72,V357&gt;$J72),Tarification!$D$8,IF(AND(V357&lt;=$J72,V357&gt;$K72),Tarification!$D$9,IF(AND(V357&lt;=$K72,V357&gt;0),Tarification!$D$10,0)))</f>
        <v>0</v>
      </c>
      <c r="W647" s="37">
        <f>IF(AND(W357&lt;=$I72,W357&gt;$J72),Tarification!$D$8,IF(AND(W357&lt;=$J72,W357&gt;$K72),Tarification!$D$9,IF(AND(W357&lt;=$K72,W357&gt;0),Tarification!$D$10,0)))</f>
        <v>0</v>
      </c>
      <c r="X647" s="37">
        <f>IF(AND(X357&lt;=$I72,X357&gt;$J72),Tarification!$D$8,IF(AND(X357&lt;=$J72,X357&gt;$K72),Tarification!$D$9,IF(AND(X357&lt;=$K72,X357&gt;0),Tarification!$D$10,0)))</f>
        <v>0</v>
      </c>
      <c r="Y647" s="37">
        <f>IF(AND(Y357&lt;=$I72,Y357&gt;$J72),Tarification!$D$8,IF(AND(Y357&lt;=$J72,Y357&gt;$K72),Tarification!$D$9,IF(AND(Y357&lt;=$K72,Y357&gt;0),Tarification!$D$10,0)))</f>
        <v>0</v>
      </c>
      <c r="Z647" s="37">
        <f>IF(AND(Z357&lt;=$I72,Z357&gt;$J72),Tarification!$D$8,IF(AND(Z357&lt;=$J72,Z357&gt;$K72),Tarification!$D$9,IF(AND(Z357&lt;=$K72,Z357&gt;0),Tarification!$D$10,0)))</f>
        <v>0</v>
      </c>
      <c r="AA647" s="37">
        <f>IF(AND(AA357&lt;=$I72,AA357&gt;$J72),Tarification!$D$8,IF(AND(AA357&lt;=$J72,AA357&gt;$K72),Tarification!$D$9,IF(AND(AA357&lt;=$K72,AA357&gt;0),Tarification!$D$10,0)))</f>
        <v>0</v>
      </c>
      <c r="AB647" s="37">
        <f>IF(AND(AB357&lt;=$I72,AB357&gt;$J72),Tarification!$D$8,IF(AND(AB357&lt;=$J72,AB357&gt;$K72),Tarification!$D$9,IF(AND(AB357&lt;=$K72,AB357&gt;0),Tarification!$D$10,0)))</f>
        <v>0</v>
      </c>
      <c r="AC647" s="37">
        <f>IF(AND(AC357&lt;=$I72,AC357&gt;$J72),Tarification!$D$8,IF(AND(AC357&lt;=$J72,AC357&gt;$K72),Tarification!$D$9,IF(AND(AC357&lt;=$K72,AC357&gt;0),Tarification!$D$10,0)))</f>
        <v>50000</v>
      </c>
      <c r="AD647" s="37">
        <f>IF(AND(AD357&lt;=$I72,AD357&gt;$J72),Tarification!$D$8,IF(AND(AD357&lt;=$J72,AD357&gt;$K72),Tarification!$D$9,IF(AND(AD357&lt;=$K72,AD357&gt;0),Tarification!$D$10,0)))</f>
        <v>0</v>
      </c>
      <c r="AE647" s="37">
        <f>IF(AND(AE357&lt;=$I72,AE357&gt;$J72),Tarification!$D$8,IF(AND(AE357&lt;=$J72,AE357&gt;$K72),Tarification!$D$9,IF(AND(AE357&lt;=$K72,AE357&gt;0),Tarification!$D$10,0)))</f>
        <v>50000</v>
      </c>
      <c r="AF647" s="37">
        <f>IF(AND(AF357&lt;=$I72,AF357&gt;$J72),Tarification!$D$8,IF(AND(AF357&lt;=$J72,AF357&gt;$K72),Tarification!$D$9,IF(AND(AF357&lt;=$K72,AF357&gt;0),Tarification!$D$10,0)))</f>
        <v>0</v>
      </c>
      <c r="AG647" s="37">
        <f>IF(AND(AG357&lt;=$I72,AG357&gt;$J72),Tarification!$D$8,IF(AND(AG357&lt;=$J72,AG357&gt;$K72),Tarification!$D$9,IF(AND(AG357&lt;=$K72,AG357&gt;0),Tarification!$D$10,0)))</f>
        <v>0</v>
      </c>
      <c r="AH647" s="37">
        <f>IF(AND(AH357&lt;=$I72,AH357&gt;$J72),Tarification!$D$8,IF(AND(AH357&lt;=$J72,AH357&gt;$K72),Tarification!$D$9,IF(AND(AH357&lt;=$K72,AH357&gt;0),Tarification!$D$10,0)))</f>
        <v>0</v>
      </c>
      <c r="AI647" s="37">
        <f>IF(AND(AI357&lt;=$I72,AI357&gt;$J72),Tarification!$D$8,IF(AND(AI357&lt;=$J72,AI357&gt;$K72),Tarification!$D$9,IF(AND(AI357&lt;=$K72,AI357&gt;0),Tarification!$D$10,0)))</f>
        <v>0</v>
      </c>
      <c r="AJ647" s="37">
        <f>IF(AND(AJ357&lt;=$I72,AJ357&gt;$J72),Tarification!$D$8,IF(AND(AJ357&lt;=$J72,AJ357&gt;$K72),Tarification!$D$9,IF(AND(AJ357&lt;=$K72,AJ357&gt;0),Tarification!$D$10,0)))</f>
        <v>0</v>
      </c>
      <c r="AK647" s="37">
        <f>IF(AND(AK357&lt;=$I72,AK357&gt;$J72),Tarification!$D$8,IF(AND(AK357&lt;=$J72,AK357&gt;$K72),Tarification!$D$9,IF(AND(AK357&lt;=$K72,AK357&gt;0),Tarification!$D$10,0)))</f>
        <v>0</v>
      </c>
      <c r="AL647" s="37">
        <f>IF(AND(AL357&lt;=$I72,AL357&gt;$J72),Tarification!$D$8,IF(AND(AL357&lt;=$J72,AL357&gt;$K72),Tarification!$D$9,IF(AND(AL357&lt;=$K72,AL357&gt;0),Tarification!$D$10,0)))</f>
        <v>0</v>
      </c>
      <c r="AM647" s="37">
        <f>IF(AND(AM357&lt;=$I72,AM357&gt;$J72),Tarification!$D$8,IF(AND(AM357&lt;=$J72,AM357&gt;$K72),Tarification!$D$9,IF(AND(AM357&lt;=$K72,AM357&gt;0),Tarification!$D$10,0)))</f>
        <v>0</v>
      </c>
      <c r="AN647" s="37">
        <f>IF(AND(AN357&lt;=$I72,AN357&gt;$J72),Tarification!$D$8,IF(AND(AN357&lt;=$J72,AN357&gt;$K72),Tarification!$D$9,IF(AND(AN357&lt;=$K72,AN357&gt;0),Tarification!$D$10,0)))</f>
        <v>0</v>
      </c>
      <c r="AQ647" s="101">
        <f t="shared" si="148"/>
        <v>5263.1578947368425</v>
      </c>
    </row>
    <row r="648" spans="14:43" ht="15.6">
      <c r="N648" s="39" t="s">
        <v>26</v>
      </c>
      <c r="O648" s="39" t="s">
        <v>235</v>
      </c>
      <c r="P648" t="s">
        <v>684</v>
      </c>
      <c r="Q648" s="39"/>
      <c r="V648" s="37">
        <f>IF(AND(V358&lt;=$I73,V358&gt;$J73),Tarification!$D$8,IF(AND(V358&lt;=$J73,V358&gt;$K73),Tarification!$D$9,IF(AND(V358&lt;=$K73,V358&gt;0),Tarification!$D$10,0)))</f>
        <v>0</v>
      </c>
      <c r="W648" s="37">
        <f>IF(AND(W358&lt;=$I73,W358&gt;$J73),Tarification!$D$8,IF(AND(W358&lt;=$J73,W358&gt;$K73),Tarification!$D$9,IF(AND(W358&lt;=$K73,W358&gt;0),Tarification!$D$10,0)))</f>
        <v>0</v>
      </c>
      <c r="X648" s="37">
        <f>IF(AND(X358&lt;=$I73,X358&gt;$J73),Tarification!$D$8,IF(AND(X358&lt;=$J73,X358&gt;$K73),Tarification!$D$9,IF(AND(X358&lt;=$K73,X358&gt;0),Tarification!$D$10,0)))</f>
        <v>0</v>
      </c>
      <c r="Y648" s="37">
        <f>IF(AND(Y358&lt;=$I73,Y358&gt;$J73),Tarification!$D$8,IF(AND(Y358&lt;=$J73,Y358&gt;$K73),Tarification!$D$9,IF(AND(Y358&lt;=$K73,Y358&gt;0),Tarification!$D$10,0)))</f>
        <v>0</v>
      </c>
      <c r="Z648" s="37">
        <f>IF(AND(Z358&lt;=$I73,Z358&gt;$J73),Tarification!$D$8,IF(AND(Z358&lt;=$J73,Z358&gt;$K73),Tarification!$D$9,IF(AND(Z358&lt;=$K73,Z358&gt;0),Tarification!$D$10,0)))</f>
        <v>0</v>
      </c>
      <c r="AA648" s="37">
        <f>IF(AND(AA358&lt;=$I73,AA358&gt;$J73),Tarification!$D$8,IF(AND(AA358&lt;=$J73,AA358&gt;$K73),Tarification!$D$9,IF(AND(AA358&lt;=$K73,AA358&gt;0),Tarification!$D$10,0)))</f>
        <v>0</v>
      </c>
      <c r="AB648" s="37">
        <f>IF(AND(AB358&lt;=$I73,AB358&gt;$J73),Tarification!$D$8,IF(AND(AB358&lt;=$J73,AB358&gt;$K73),Tarification!$D$9,IF(AND(AB358&lt;=$K73,AB358&gt;0),Tarification!$D$10,0)))</f>
        <v>0</v>
      </c>
      <c r="AC648" s="37">
        <f>IF(AND(AC358&lt;=$I73,AC358&gt;$J73),Tarification!$D$8,IF(AND(AC358&lt;=$J73,AC358&gt;$K73),Tarification!$D$9,IF(AND(AC358&lt;=$K73,AC358&gt;0),Tarification!$D$10,0)))</f>
        <v>0</v>
      </c>
      <c r="AD648" s="37">
        <f>IF(AND(AD358&lt;=$I73,AD358&gt;$J73),Tarification!$D$8,IF(AND(AD358&lt;=$J73,AD358&gt;$K73),Tarification!$D$9,IF(AND(AD358&lt;=$K73,AD358&gt;0),Tarification!$D$10,0)))</f>
        <v>0</v>
      </c>
      <c r="AE648" s="37">
        <f>IF(AND(AE358&lt;=$I73,AE358&gt;$J73),Tarification!$D$8,IF(AND(AE358&lt;=$J73,AE358&gt;$K73),Tarification!$D$9,IF(AND(AE358&lt;=$K73,AE358&gt;0),Tarification!$D$10,0)))</f>
        <v>0</v>
      </c>
      <c r="AF648" s="37">
        <f>IF(AND(AF358&lt;=$I73,AF358&gt;$J73),Tarification!$D$8,IF(AND(AF358&lt;=$J73,AF358&gt;$K73),Tarification!$D$9,IF(AND(AF358&lt;=$K73,AF358&gt;0),Tarification!$D$10,0)))</f>
        <v>0</v>
      </c>
      <c r="AG648" s="37">
        <f>IF(AND(AG358&lt;=$I73,AG358&gt;$J73),Tarification!$D$8,IF(AND(AG358&lt;=$J73,AG358&gt;$K73),Tarification!$D$9,IF(AND(AG358&lt;=$K73,AG358&gt;0),Tarification!$D$10,0)))</f>
        <v>0</v>
      </c>
      <c r="AH648" s="37">
        <f>IF(AND(AH358&lt;=$I73,AH358&gt;$J73),Tarification!$D$8,IF(AND(AH358&lt;=$J73,AH358&gt;$K73),Tarification!$D$9,IF(AND(AH358&lt;=$K73,AH358&gt;0),Tarification!$D$10,0)))</f>
        <v>0</v>
      </c>
      <c r="AI648" s="37">
        <f>IF(AND(AI358&lt;=$I73,AI358&gt;$J73),Tarification!$D$8,IF(AND(AI358&lt;=$J73,AI358&gt;$K73),Tarification!$D$9,IF(AND(AI358&lt;=$K73,AI358&gt;0),Tarification!$D$10,0)))</f>
        <v>0</v>
      </c>
      <c r="AJ648" s="37">
        <f>IF(AND(AJ358&lt;=$I73,AJ358&gt;$J73),Tarification!$D$8,IF(AND(AJ358&lt;=$J73,AJ358&gt;$K73),Tarification!$D$9,IF(AND(AJ358&lt;=$K73,AJ358&gt;0),Tarification!$D$10,0)))</f>
        <v>0</v>
      </c>
      <c r="AK648" s="37">
        <f>IF(AND(AK358&lt;=$I73,AK358&gt;$J73),Tarification!$D$8,IF(AND(AK358&lt;=$J73,AK358&gt;$K73),Tarification!$D$9,IF(AND(AK358&lt;=$K73,AK358&gt;0),Tarification!$D$10,0)))</f>
        <v>0</v>
      </c>
      <c r="AL648" s="37">
        <f>IF(AND(AL358&lt;=$I73,AL358&gt;$J73),Tarification!$D$8,IF(AND(AL358&lt;=$J73,AL358&gt;$K73),Tarification!$D$9,IF(AND(AL358&lt;=$K73,AL358&gt;0),Tarification!$D$10,0)))</f>
        <v>0</v>
      </c>
      <c r="AM648" s="37">
        <f>IF(AND(AM358&lt;=$I73,AM358&gt;$J73),Tarification!$D$8,IF(AND(AM358&lt;=$J73,AM358&gt;$K73),Tarification!$D$9,IF(AND(AM358&lt;=$K73,AM358&gt;0),Tarification!$D$10,0)))</f>
        <v>0</v>
      </c>
      <c r="AN648" s="37">
        <f>IF(AND(AN358&lt;=$I73,AN358&gt;$J73),Tarification!$D$8,IF(AND(AN358&lt;=$J73,AN358&gt;$K73),Tarification!$D$9,IF(AND(AN358&lt;=$K73,AN358&gt;0),Tarification!$D$10,0)))</f>
        <v>0</v>
      </c>
      <c r="AQ648" s="101">
        <f t="shared" ref="AQ648:AQ711" si="149">AVERAGE(V648:AN648)</f>
        <v>0</v>
      </c>
    </row>
    <row r="649" spans="14:43" ht="15.6">
      <c r="N649" s="39" t="s">
        <v>26</v>
      </c>
      <c r="O649" s="39" t="s">
        <v>270</v>
      </c>
      <c r="P649" t="s">
        <v>685</v>
      </c>
      <c r="Q649" s="39"/>
      <c r="V649" s="37">
        <f>IF(AND(V359&lt;=$I74,V359&gt;$J74),Tarification!$D$8,IF(AND(V359&lt;=$J74,V359&gt;$K74),Tarification!$D$9,IF(AND(V359&lt;=$K74,V359&gt;0),Tarification!$D$10,0)))</f>
        <v>0</v>
      </c>
      <c r="W649" s="37">
        <f>IF(AND(W359&lt;=$I74,W359&gt;$J74),Tarification!$D$8,IF(AND(W359&lt;=$J74,W359&gt;$K74),Tarification!$D$9,IF(AND(W359&lt;=$K74,W359&gt;0),Tarification!$D$10,0)))</f>
        <v>0</v>
      </c>
      <c r="X649" s="37">
        <f>IF(AND(X359&lt;=$I74,X359&gt;$J74),Tarification!$D$8,IF(AND(X359&lt;=$J74,X359&gt;$K74),Tarification!$D$9,IF(AND(X359&lt;=$K74,X359&gt;0),Tarification!$D$10,0)))</f>
        <v>0</v>
      </c>
      <c r="Y649" s="37">
        <f>IF(AND(Y359&lt;=$I74,Y359&gt;$J74),Tarification!$D$8,IF(AND(Y359&lt;=$J74,Y359&gt;$K74),Tarification!$D$9,IF(AND(Y359&lt;=$K74,Y359&gt;0),Tarification!$D$10,0)))</f>
        <v>0</v>
      </c>
      <c r="Z649" s="37">
        <f>IF(AND(Z359&lt;=$I74,Z359&gt;$J74),Tarification!$D$8,IF(AND(Z359&lt;=$J74,Z359&gt;$K74),Tarification!$D$9,IF(AND(Z359&lt;=$K74,Z359&gt;0),Tarification!$D$10,0)))</f>
        <v>0</v>
      </c>
      <c r="AA649" s="37">
        <f>IF(AND(AA359&lt;=$I74,AA359&gt;$J74),Tarification!$D$8,IF(AND(AA359&lt;=$J74,AA359&gt;$K74),Tarification!$D$9,IF(AND(AA359&lt;=$K74,AA359&gt;0),Tarification!$D$10,0)))</f>
        <v>0</v>
      </c>
      <c r="AB649" s="37">
        <f>IF(AND(AB359&lt;=$I74,AB359&gt;$J74),Tarification!$D$8,IF(AND(AB359&lt;=$J74,AB359&gt;$K74),Tarification!$D$9,IF(AND(AB359&lt;=$K74,AB359&gt;0),Tarification!$D$10,0)))</f>
        <v>0</v>
      </c>
      <c r="AC649" s="37">
        <f>IF(AND(AC359&lt;=$I74,AC359&gt;$J74),Tarification!$D$8,IF(AND(AC359&lt;=$J74,AC359&gt;$K74),Tarification!$D$9,IF(AND(AC359&lt;=$K74,AC359&gt;0),Tarification!$D$10,0)))</f>
        <v>0</v>
      </c>
      <c r="AD649" s="37">
        <f>IF(AND(AD359&lt;=$I74,AD359&gt;$J74),Tarification!$D$8,IF(AND(AD359&lt;=$J74,AD359&gt;$K74),Tarification!$D$9,IF(AND(AD359&lt;=$K74,AD359&gt;0),Tarification!$D$10,0)))</f>
        <v>0</v>
      </c>
      <c r="AE649" s="37">
        <f>IF(AND(AE359&lt;=$I74,AE359&gt;$J74),Tarification!$D$8,IF(AND(AE359&lt;=$J74,AE359&gt;$K74),Tarification!$D$9,IF(AND(AE359&lt;=$K74,AE359&gt;0),Tarification!$D$10,0)))</f>
        <v>0</v>
      </c>
      <c r="AF649" s="37">
        <f>IF(AND(AF359&lt;=$I74,AF359&gt;$J74),Tarification!$D$8,IF(AND(AF359&lt;=$J74,AF359&gt;$K74),Tarification!$D$9,IF(AND(AF359&lt;=$K74,AF359&gt;0),Tarification!$D$10,0)))</f>
        <v>0</v>
      </c>
      <c r="AG649" s="37">
        <f>IF(AND(AG359&lt;=$I74,AG359&gt;$J74),Tarification!$D$8,IF(AND(AG359&lt;=$J74,AG359&gt;$K74),Tarification!$D$9,IF(AND(AG359&lt;=$K74,AG359&gt;0),Tarification!$D$10,0)))</f>
        <v>0</v>
      </c>
      <c r="AH649" s="37">
        <f>IF(AND(AH359&lt;=$I74,AH359&gt;$J74),Tarification!$D$8,IF(AND(AH359&lt;=$J74,AH359&gt;$K74),Tarification!$D$9,IF(AND(AH359&lt;=$K74,AH359&gt;0),Tarification!$D$10,0)))</f>
        <v>0</v>
      </c>
      <c r="AI649" s="37">
        <f>IF(AND(AI359&lt;=$I74,AI359&gt;$J74),Tarification!$D$8,IF(AND(AI359&lt;=$J74,AI359&gt;$K74),Tarification!$D$9,IF(AND(AI359&lt;=$K74,AI359&gt;0),Tarification!$D$10,0)))</f>
        <v>0</v>
      </c>
      <c r="AJ649" s="37">
        <f>IF(AND(AJ359&lt;=$I74,AJ359&gt;$J74),Tarification!$D$8,IF(AND(AJ359&lt;=$J74,AJ359&gt;$K74),Tarification!$D$9,IF(AND(AJ359&lt;=$K74,AJ359&gt;0),Tarification!$D$10,0)))</f>
        <v>0</v>
      </c>
      <c r="AK649" s="37">
        <f>IF(AND(AK359&lt;=$I74,AK359&gt;$J74),Tarification!$D$8,IF(AND(AK359&lt;=$J74,AK359&gt;$K74),Tarification!$D$9,IF(AND(AK359&lt;=$K74,AK359&gt;0),Tarification!$D$10,0)))</f>
        <v>0</v>
      </c>
      <c r="AL649" s="37">
        <f>IF(AND(AL359&lt;=$I74,AL359&gt;$J74),Tarification!$D$8,IF(AND(AL359&lt;=$J74,AL359&gt;$K74),Tarification!$D$9,IF(AND(AL359&lt;=$K74,AL359&gt;0),Tarification!$D$10,0)))</f>
        <v>0</v>
      </c>
      <c r="AM649" s="37">
        <f>IF(AND(AM359&lt;=$I74,AM359&gt;$J74),Tarification!$D$8,IF(AND(AM359&lt;=$J74,AM359&gt;$K74),Tarification!$D$9,IF(AND(AM359&lt;=$K74,AM359&gt;0),Tarification!$D$10,0)))</f>
        <v>0</v>
      </c>
      <c r="AN649" s="37">
        <f>IF(AND(AN359&lt;=$I74,AN359&gt;$J74),Tarification!$D$8,IF(AND(AN359&lt;=$J74,AN359&gt;$K74),Tarification!$D$9,IF(AND(AN359&lt;=$K74,AN359&gt;0),Tarification!$D$10,0)))</f>
        <v>0</v>
      </c>
      <c r="AQ649" s="101">
        <f t="shared" si="149"/>
        <v>0</v>
      </c>
    </row>
    <row r="650" spans="14:43" ht="15.6">
      <c r="N650" s="39" t="s">
        <v>26</v>
      </c>
      <c r="O650" s="39" t="s">
        <v>505</v>
      </c>
      <c r="P650" t="s">
        <v>686</v>
      </c>
      <c r="Q650" s="39"/>
      <c r="V650" s="37">
        <f>IF(AND(V360&lt;=$I75,V360&gt;$J75),Tarification!$D$8,IF(AND(V360&lt;=$J75,V360&gt;$K75),Tarification!$D$9,IF(AND(V360&lt;=$K75,V360&gt;0),Tarification!$D$10,0)))</f>
        <v>0</v>
      </c>
      <c r="W650" s="37">
        <f>IF(AND(W360&lt;=$I75,W360&gt;$J75),Tarification!$D$8,IF(AND(W360&lt;=$J75,W360&gt;$K75),Tarification!$D$9,IF(AND(W360&lt;=$K75,W360&gt;0),Tarification!$D$10,0)))</f>
        <v>125000</v>
      </c>
      <c r="X650" s="37">
        <f>IF(AND(X360&lt;=$I75,X360&gt;$J75),Tarification!$D$8,IF(AND(X360&lt;=$J75,X360&gt;$K75),Tarification!$D$9,IF(AND(X360&lt;=$K75,X360&gt;0),Tarification!$D$10,0)))</f>
        <v>0</v>
      </c>
      <c r="Y650" s="37">
        <f>IF(AND(Y360&lt;=$I75,Y360&gt;$J75),Tarification!$D$8,IF(AND(Y360&lt;=$J75,Y360&gt;$K75),Tarification!$D$9,IF(AND(Y360&lt;=$K75,Y360&gt;0),Tarification!$D$10,0)))</f>
        <v>0</v>
      </c>
      <c r="Z650" s="37">
        <f>IF(AND(Z360&lt;=$I75,Z360&gt;$J75),Tarification!$D$8,IF(AND(Z360&lt;=$J75,Z360&gt;$K75),Tarification!$D$9,IF(AND(Z360&lt;=$K75,Z360&gt;0),Tarification!$D$10,0)))</f>
        <v>0</v>
      </c>
      <c r="AA650" s="37">
        <f>IF(AND(AA360&lt;=$I75,AA360&gt;$J75),Tarification!$D$8,IF(AND(AA360&lt;=$J75,AA360&gt;$K75),Tarification!$D$9,IF(AND(AA360&lt;=$K75,AA360&gt;0),Tarification!$D$10,0)))</f>
        <v>0</v>
      </c>
      <c r="AB650" s="37">
        <f>IF(AND(AB360&lt;=$I75,AB360&gt;$J75),Tarification!$D$8,IF(AND(AB360&lt;=$J75,AB360&gt;$K75),Tarification!$D$9,IF(AND(AB360&lt;=$K75,AB360&gt;0),Tarification!$D$10,0)))</f>
        <v>0</v>
      </c>
      <c r="AC650" s="37">
        <f>IF(AND(AC360&lt;=$I75,AC360&gt;$J75),Tarification!$D$8,IF(AND(AC360&lt;=$J75,AC360&gt;$K75),Tarification!$D$9,IF(AND(AC360&lt;=$K75,AC360&gt;0),Tarification!$D$10,0)))</f>
        <v>0</v>
      </c>
      <c r="AD650" s="37">
        <f>IF(AND(AD360&lt;=$I75,AD360&gt;$J75),Tarification!$D$8,IF(AND(AD360&lt;=$J75,AD360&gt;$K75),Tarification!$D$9,IF(AND(AD360&lt;=$K75,AD360&gt;0),Tarification!$D$10,0)))</f>
        <v>0</v>
      </c>
      <c r="AE650" s="37">
        <f>IF(AND(AE360&lt;=$I75,AE360&gt;$J75),Tarification!$D$8,IF(AND(AE360&lt;=$J75,AE360&gt;$K75),Tarification!$D$9,IF(AND(AE360&lt;=$K75,AE360&gt;0),Tarification!$D$10,0)))</f>
        <v>125000</v>
      </c>
      <c r="AF650" s="37">
        <f>IF(AND(AF360&lt;=$I75,AF360&gt;$J75),Tarification!$D$8,IF(AND(AF360&lt;=$J75,AF360&gt;$K75),Tarification!$D$9,IF(AND(AF360&lt;=$K75,AF360&gt;0),Tarification!$D$10,0)))</f>
        <v>50000</v>
      </c>
      <c r="AG650" s="37">
        <f>IF(AND(AG360&lt;=$I75,AG360&gt;$J75),Tarification!$D$8,IF(AND(AG360&lt;=$J75,AG360&gt;$K75),Tarification!$D$9,IF(AND(AG360&lt;=$K75,AG360&gt;0),Tarification!$D$10,0)))</f>
        <v>0</v>
      </c>
      <c r="AH650" s="37">
        <f>IF(AND(AH360&lt;=$I75,AH360&gt;$J75),Tarification!$D$8,IF(AND(AH360&lt;=$J75,AH360&gt;$K75),Tarification!$D$9,IF(AND(AH360&lt;=$K75,AH360&gt;0),Tarification!$D$10,0)))</f>
        <v>0</v>
      </c>
      <c r="AI650" s="37">
        <f>IF(AND(AI360&lt;=$I75,AI360&gt;$J75),Tarification!$D$8,IF(AND(AI360&lt;=$J75,AI360&gt;$K75),Tarification!$D$9,IF(AND(AI360&lt;=$K75,AI360&gt;0),Tarification!$D$10,0)))</f>
        <v>50000</v>
      </c>
      <c r="AJ650" s="37">
        <f>IF(AND(AJ360&lt;=$I75,AJ360&gt;$J75),Tarification!$D$8,IF(AND(AJ360&lt;=$J75,AJ360&gt;$K75),Tarification!$D$9,IF(AND(AJ360&lt;=$K75,AJ360&gt;0),Tarification!$D$10,0)))</f>
        <v>0</v>
      </c>
      <c r="AK650" s="37">
        <f>IF(AND(AK360&lt;=$I75,AK360&gt;$J75),Tarification!$D$8,IF(AND(AK360&lt;=$J75,AK360&gt;$K75),Tarification!$D$9,IF(AND(AK360&lt;=$K75,AK360&gt;0),Tarification!$D$10,0)))</f>
        <v>0</v>
      </c>
      <c r="AL650" s="37">
        <f>IF(AND(AL360&lt;=$I75,AL360&gt;$J75),Tarification!$D$8,IF(AND(AL360&lt;=$J75,AL360&gt;$K75),Tarification!$D$9,IF(AND(AL360&lt;=$K75,AL360&gt;0),Tarification!$D$10,0)))</f>
        <v>0</v>
      </c>
      <c r="AM650" s="37">
        <f>IF(AND(AM360&lt;=$I75,AM360&gt;$J75),Tarification!$D$8,IF(AND(AM360&lt;=$J75,AM360&gt;$K75),Tarification!$D$9,IF(AND(AM360&lt;=$K75,AM360&gt;0),Tarification!$D$10,0)))</f>
        <v>0</v>
      </c>
      <c r="AN650" s="37">
        <f>IF(AND(AN360&lt;=$I75,AN360&gt;$J75),Tarification!$D$8,IF(AND(AN360&lt;=$J75,AN360&gt;$K75),Tarification!$D$9,IF(AND(AN360&lt;=$K75,AN360&gt;0),Tarification!$D$10,0)))</f>
        <v>0</v>
      </c>
      <c r="AQ650" s="101">
        <f t="shared" si="149"/>
        <v>18421.052631578947</v>
      </c>
    </row>
    <row r="651" spans="14:43" ht="15.6">
      <c r="N651" s="39" t="s">
        <v>26</v>
      </c>
      <c r="O651" s="39" t="s">
        <v>505</v>
      </c>
      <c r="P651" t="s">
        <v>687</v>
      </c>
      <c r="Q651" s="39"/>
      <c r="V651" s="37">
        <f>IF(AND(V361&lt;=$I76,V361&gt;$J76),Tarification!$D$8,IF(AND(V361&lt;=$J76,V361&gt;$K76),Tarification!$D$9,IF(AND(V361&lt;=$K76,V361&gt;0),Tarification!$D$10,0)))</f>
        <v>0</v>
      </c>
      <c r="W651" s="37">
        <f>IF(AND(W361&lt;=$I76,W361&gt;$J76),Tarification!$D$8,IF(AND(W361&lt;=$J76,W361&gt;$K76),Tarification!$D$9,IF(AND(W361&lt;=$K76,W361&gt;0),Tarification!$D$10,0)))</f>
        <v>50000</v>
      </c>
      <c r="X651" s="37">
        <f>IF(AND(X361&lt;=$I76,X361&gt;$J76),Tarification!$D$8,IF(AND(X361&lt;=$J76,X361&gt;$K76),Tarification!$D$9,IF(AND(X361&lt;=$K76,X361&gt;0),Tarification!$D$10,0)))</f>
        <v>0</v>
      </c>
      <c r="Y651" s="37">
        <f>IF(AND(Y361&lt;=$I76,Y361&gt;$J76),Tarification!$D$8,IF(AND(Y361&lt;=$J76,Y361&gt;$K76),Tarification!$D$9,IF(AND(Y361&lt;=$K76,Y361&gt;0),Tarification!$D$10,0)))</f>
        <v>0</v>
      </c>
      <c r="Z651" s="37">
        <f>IF(AND(Z361&lt;=$I76,Z361&gt;$J76),Tarification!$D$8,IF(AND(Z361&lt;=$J76,Z361&gt;$K76),Tarification!$D$9,IF(AND(Z361&lt;=$K76,Z361&gt;0),Tarification!$D$10,0)))</f>
        <v>0</v>
      </c>
      <c r="AA651" s="37">
        <f>IF(AND(AA361&lt;=$I76,AA361&gt;$J76),Tarification!$D$8,IF(AND(AA361&lt;=$J76,AA361&gt;$K76),Tarification!$D$9,IF(AND(AA361&lt;=$K76,AA361&gt;0),Tarification!$D$10,0)))</f>
        <v>0</v>
      </c>
      <c r="AB651" s="37">
        <f>IF(AND(AB361&lt;=$I76,AB361&gt;$J76),Tarification!$D$8,IF(AND(AB361&lt;=$J76,AB361&gt;$K76),Tarification!$D$9,IF(AND(AB361&lt;=$K76,AB361&gt;0),Tarification!$D$10,0)))</f>
        <v>0</v>
      </c>
      <c r="AC651" s="37">
        <f>IF(AND(AC361&lt;=$I76,AC361&gt;$J76),Tarification!$D$8,IF(AND(AC361&lt;=$J76,AC361&gt;$K76),Tarification!$D$9,IF(AND(AC361&lt;=$K76,AC361&gt;0),Tarification!$D$10,0)))</f>
        <v>0</v>
      </c>
      <c r="AD651" s="37">
        <f>IF(AND(AD361&lt;=$I76,AD361&gt;$J76),Tarification!$D$8,IF(AND(AD361&lt;=$J76,AD361&gt;$K76),Tarification!$D$9,IF(AND(AD361&lt;=$K76,AD361&gt;0),Tarification!$D$10,0)))</f>
        <v>0</v>
      </c>
      <c r="AE651" s="37">
        <f>IF(AND(AE361&lt;=$I76,AE361&gt;$J76),Tarification!$D$8,IF(AND(AE361&lt;=$J76,AE361&gt;$K76),Tarification!$D$9,IF(AND(AE361&lt;=$K76,AE361&gt;0),Tarification!$D$10,0)))</f>
        <v>50000</v>
      </c>
      <c r="AF651" s="37">
        <f>IF(AND(AF361&lt;=$I76,AF361&gt;$J76),Tarification!$D$8,IF(AND(AF361&lt;=$J76,AF361&gt;$K76),Tarification!$D$9,IF(AND(AF361&lt;=$K76,AF361&gt;0),Tarification!$D$10,0)))</f>
        <v>0</v>
      </c>
      <c r="AG651" s="37">
        <f>IF(AND(AG361&lt;=$I76,AG361&gt;$J76),Tarification!$D$8,IF(AND(AG361&lt;=$J76,AG361&gt;$K76),Tarification!$D$9,IF(AND(AG361&lt;=$K76,AG361&gt;0),Tarification!$D$10,0)))</f>
        <v>0</v>
      </c>
      <c r="AH651" s="37">
        <f>IF(AND(AH361&lt;=$I76,AH361&gt;$J76),Tarification!$D$8,IF(AND(AH361&lt;=$J76,AH361&gt;$K76),Tarification!$D$9,IF(AND(AH361&lt;=$K76,AH361&gt;0),Tarification!$D$10,0)))</f>
        <v>0</v>
      </c>
      <c r="AI651" s="37">
        <f>IF(AND(AI361&lt;=$I76,AI361&gt;$J76),Tarification!$D$8,IF(AND(AI361&lt;=$J76,AI361&gt;$K76),Tarification!$D$9,IF(AND(AI361&lt;=$K76,AI361&gt;0),Tarification!$D$10,0)))</f>
        <v>0</v>
      </c>
      <c r="AJ651" s="37">
        <f>IF(AND(AJ361&lt;=$I76,AJ361&gt;$J76),Tarification!$D$8,IF(AND(AJ361&lt;=$J76,AJ361&gt;$K76),Tarification!$D$9,IF(AND(AJ361&lt;=$K76,AJ361&gt;0),Tarification!$D$10,0)))</f>
        <v>0</v>
      </c>
      <c r="AK651" s="37">
        <f>IF(AND(AK361&lt;=$I76,AK361&gt;$J76),Tarification!$D$8,IF(AND(AK361&lt;=$J76,AK361&gt;$K76),Tarification!$D$9,IF(AND(AK361&lt;=$K76,AK361&gt;0),Tarification!$D$10,0)))</f>
        <v>0</v>
      </c>
      <c r="AL651" s="37">
        <f>IF(AND(AL361&lt;=$I76,AL361&gt;$J76),Tarification!$D$8,IF(AND(AL361&lt;=$J76,AL361&gt;$K76),Tarification!$D$9,IF(AND(AL361&lt;=$K76,AL361&gt;0),Tarification!$D$10,0)))</f>
        <v>0</v>
      </c>
      <c r="AM651" s="37">
        <f>IF(AND(AM361&lt;=$I76,AM361&gt;$J76),Tarification!$D$8,IF(AND(AM361&lt;=$J76,AM361&gt;$K76),Tarification!$D$9,IF(AND(AM361&lt;=$K76,AM361&gt;0),Tarification!$D$10,0)))</f>
        <v>0</v>
      </c>
      <c r="AN651" s="37">
        <f>IF(AND(AN361&lt;=$I76,AN361&gt;$J76),Tarification!$D$8,IF(AND(AN361&lt;=$J76,AN361&gt;$K76),Tarification!$D$9,IF(AND(AN361&lt;=$K76,AN361&gt;0),Tarification!$D$10,0)))</f>
        <v>0</v>
      </c>
      <c r="AQ651" s="101">
        <f t="shared" si="149"/>
        <v>5263.1578947368425</v>
      </c>
    </row>
    <row r="652" spans="14:43" ht="15.6">
      <c r="N652" s="39" t="s">
        <v>26</v>
      </c>
      <c r="O652" s="39" t="s">
        <v>576</v>
      </c>
      <c r="P652" t="s">
        <v>688</v>
      </c>
      <c r="Q652" s="39"/>
      <c r="V652" s="37">
        <f>IF(AND(V362&lt;=$I77,V362&gt;$J77),Tarification!$D$8,IF(AND(V362&lt;=$J77,V362&gt;$K77),Tarification!$D$9,IF(AND(V362&lt;=$K77,V362&gt;0),Tarification!$D$10,0)))</f>
        <v>0</v>
      </c>
      <c r="W652" s="37">
        <f>IF(AND(W362&lt;=$I77,W362&gt;$J77),Tarification!$D$8,IF(AND(W362&lt;=$J77,W362&gt;$K77),Tarification!$D$9,IF(AND(W362&lt;=$K77,W362&gt;0),Tarification!$D$10,0)))</f>
        <v>50000</v>
      </c>
      <c r="X652" s="37">
        <f>IF(AND(X362&lt;=$I77,X362&gt;$J77),Tarification!$D$8,IF(AND(X362&lt;=$J77,X362&gt;$K77),Tarification!$D$9,IF(AND(X362&lt;=$K77,X362&gt;0),Tarification!$D$10,0)))</f>
        <v>0</v>
      </c>
      <c r="Y652" s="37">
        <f>IF(AND(Y362&lt;=$I77,Y362&gt;$J77),Tarification!$D$8,IF(AND(Y362&lt;=$J77,Y362&gt;$K77),Tarification!$D$9,IF(AND(Y362&lt;=$K77,Y362&gt;0),Tarification!$D$10,0)))</f>
        <v>0</v>
      </c>
      <c r="Z652" s="37">
        <f>IF(AND(Z362&lt;=$I77,Z362&gt;$J77),Tarification!$D$8,IF(AND(Z362&lt;=$J77,Z362&gt;$K77),Tarification!$D$9,IF(AND(Z362&lt;=$K77,Z362&gt;0),Tarification!$D$10,0)))</f>
        <v>0</v>
      </c>
      <c r="AA652" s="37">
        <f>IF(AND(AA362&lt;=$I77,AA362&gt;$J77),Tarification!$D$8,IF(AND(AA362&lt;=$J77,AA362&gt;$K77),Tarification!$D$9,IF(AND(AA362&lt;=$K77,AA362&gt;0),Tarification!$D$10,0)))</f>
        <v>0</v>
      </c>
      <c r="AB652" s="37">
        <f>IF(AND(AB362&lt;=$I77,AB362&gt;$J77),Tarification!$D$8,IF(AND(AB362&lt;=$J77,AB362&gt;$K77),Tarification!$D$9,IF(AND(AB362&lt;=$K77,AB362&gt;0),Tarification!$D$10,0)))</f>
        <v>0</v>
      </c>
      <c r="AC652" s="37">
        <f>IF(AND(AC362&lt;=$I77,AC362&gt;$J77),Tarification!$D$8,IF(AND(AC362&lt;=$J77,AC362&gt;$K77),Tarification!$D$9,IF(AND(AC362&lt;=$K77,AC362&gt;0),Tarification!$D$10,0)))</f>
        <v>250000</v>
      </c>
      <c r="AD652" s="37">
        <f>IF(AND(AD362&lt;=$I77,AD362&gt;$J77),Tarification!$D$8,IF(AND(AD362&lt;=$J77,AD362&gt;$K77),Tarification!$D$9,IF(AND(AD362&lt;=$K77,AD362&gt;0),Tarification!$D$10,0)))</f>
        <v>0</v>
      </c>
      <c r="AE652" s="37">
        <f>IF(AND(AE362&lt;=$I77,AE362&gt;$J77),Tarification!$D$8,IF(AND(AE362&lt;=$J77,AE362&gt;$K77),Tarification!$D$9,IF(AND(AE362&lt;=$K77,AE362&gt;0),Tarification!$D$10,0)))</f>
        <v>125000</v>
      </c>
      <c r="AF652" s="37">
        <f>IF(AND(AF362&lt;=$I77,AF362&gt;$J77),Tarification!$D$8,IF(AND(AF362&lt;=$J77,AF362&gt;$K77),Tarification!$D$9,IF(AND(AF362&lt;=$K77,AF362&gt;0),Tarification!$D$10,0)))</f>
        <v>0</v>
      </c>
      <c r="AG652" s="37">
        <f>IF(AND(AG362&lt;=$I77,AG362&gt;$J77),Tarification!$D$8,IF(AND(AG362&lt;=$J77,AG362&gt;$K77),Tarification!$D$9,IF(AND(AG362&lt;=$K77,AG362&gt;0),Tarification!$D$10,0)))</f>
        <v>0</v>
      </c>
      <c r="AH652" s="37">
        <f>IF(AND(AH362&lt;=$I77,AH362&gt;$J77),Tarification!$D$8,IF(AND(AH362&lt;=$J77,AH362&gt;$K77),Tarification!$D$9,IF(AND(AH362&lt;=$K77,AH362&gt;0),Tarification!$D$10,0)))</f>
        <v>50000</v>
      </c>
      <c r="AI652" s="37">
        <f>IF(AND(AI362&lt;=$I77,AI362&gt;$J77),Tarification!$D$8,IF(AND(AI362&lt;=$J77,AI362&gt;$K77),Tarification!$D$9,IF(AND(AI362&lt;=$K77,AI362&gt;0),Tarification!$D$10,0)))</f>
        <v>0</v>
      </c>
      <c r="AJ652" s="37">
        <f>IF(AND(AJ362&lt;=$I77,AJ362&gt;$J77),Tarification!$D$8,IF(AND(AJ362&lt;=$J77,AJ362&gt;$K77),Tarification!$D$9,IF(AND(AJ362&lt;=$K77,AJ362&gt;0),Tarification!$D$10,0)))</f>
        <v>0</v>
      </c>
      <c r="AK652" s="37">
        <f>IF(AND(AK362&lt;=$I77,AK362&gt;$J77),Tarification!$D$8,IF(AND(AK362&lt;=$J77,AK362&gt;$K77),Tarification!$D$9,IF(AND(AK362&lt;=$K77,AK362&gt;0),Tarification!$D$10,0)))</f>
        <v>0</v>
      </c>
      <c r="AL652" s="37">
        <f>IF(AND(AL362&lt;=$I77,AL362&gt;$J77),Tarification!$D$8,IF(AND(AL362&lt;=$J77,AL362&gt;$K77),Tarification!$D$9,IF(AND(AL362&lt;=$K77,AL362&gt;0),Tarification!$D$10,0)))</f>
        <v>0</v>
      </c>
      <c r="AM652" s="37">
        <f>IF(AND(AM362&lt;=$I77,AM362&gt;$J77),Tarification!$D$8,IF(AND(AM362&lt;=$J77,AM362&gt;$K77),Tarification!$D$9,IF(AND(AM362&lt;=$K77,AM362&gt;0),Tarification!$D$10,0)))</f>
        <v>0</v>
      </c>
      <c r="AN652" s="37">
        <f>IF(AND(AN362&lt;=$I77,AN362&gt;$J77),Tarification!$D$8,IF(AND(AN362&lt;=$J77,AN362&gt;$K77),Tarification!$D$9,IF(AND(AN362&lt;=$K77,AN362&gt;0),Tarification!$D$10,0)))</f>
        <v>50000</v>
      </c>
      <c r="AQ652" s="101">
        <f t="shared" si="149"/>
        <v>27631.57894736842</v>
      </c>
    </row>
    <row r="653" spans="14:43" ht="15.6">
      <c r="N653" s="39" t="s">
        <v>26</v>
      </c>
      <c r="O653" s="39" t="s">
        <v>97</v>
      </c>
      <c r="P653" s="81" t="s">
        <v>98</v>
      </c>
      <c r="Q653" s="39"/>
      <c r="V653" s="37">
        <f>IF(AND(V363&lt;=$I78,V363&gt;$J78),Tarification!$D$8,IF(AND(V363&lt;=$J78,V363&gt;$K78),Tarification!$D$9,IF(AND(V363&lt;=$K78,V363&gt;0),Tarification!$D$10,0)))</f>
        <v>0</v>
      </c>
      <c r="W653" s="37">
        <f>IF(AND(W363&lt;=$I78,W363&gt;$J78),Tarification!$D$8,IF(AND(W363&lt;=$J78,W363&gt;$K78),Tarification!$D$9,IF(AND(W363&lt;=$K78,W363&gt;0),Tarification!$D$10,0)))</f>
        <v>125000</v>
      </c>
      <c r="X653" s="37">
        <f>IF(AND(X363&lt;=$I78,X363&gt;$J78),Tarification!$D$8,IF(AND(X363&lt;=$J78,X363&gt;$K78),Tarification!$D$9,IF(AND(X363&lt;=$K78,X363&gt;0),Tarification!$D$10,0)))</f>
        <v>0</v>
      </c>
      <c r="Y653" s="37">
        <f>IF(AND(Y363&lt;=$I78,Y363&gt;$J78),Tarification!$D$8,IF(AND(Y363&lt;=$J78,Y363&gt;$K78),Tarification!$D$9,IF(AND(Y363&lt;=$K78,Y363&gt;0),Tarification!$D$10,0)))</f>
        <v>0</v>
      </c>
      <c r="Z653" s="37">
        <f>IF(AND(Z363&lt;=$I78,Z363&gt;$J78),Tarification!$D$8,IF(AND(Z363&lt;=$J78,Z363&gt;$K78),Tarification!$D$9,IF(AND(Z363&lt;=$K78,Z363&gt;0),Tarification!$D$10,0)))</f>
        <v>0</v>
      </c>
      <c r="AA653" s="37">
        <f>IF(AND(AA363&lt;=$I78,AA363&gt;$J78),Tarification!$D$8,IF(AND(AA363&lt;=$J78,AA363&gt;$K78),Tarification!$D$9,IF(AND(AA363&lt;=$K78,AA363&gt;0),Tarification!$D$10,0)))</f>
        <v>0</v>
      </c>
      <c r="AB653" s="37">
        <f>IF(AND(AB363&lt;=$I78,AB363&gt;$J78),Tarification!$D$8,IF(AND(AB363&lt;=$J78,AB363&gt;$K78),Tarification!$D$9,IF(AND(AB363&lt;=$K78,AB363&gt;0),Tarification!$D$10,0)))</f>
        <v>0</v>
      </c>
      <c r="AC653" s="37">
        <f>IF(AND(AC363&lt;=$I78,AC363&gt;$J78),Tarification!$D$8,IF(AND(AC363&lt;=$J78,AC363&gt;$K78),Tarification!$D$9,IF(AND(AC363&lt;=$K78,AC363&gt;0),Tarification!$D$10,0)))</f>
        <v>0</v>
      </c>
      <c r="AD653" s="37">
        <f>IF(AND(AD363&lt;=$I78,AD363&gt;$J78),Tarification!$D$8,IF(AND(AD363&lt;=$J78,AD363&gt;$K78),Tarification!$D$9,IF(AND(AD363&lt;=$K78,AD363&gt;0),Tarification!$D$10,0)))</f>
        <v>0</v>
      </c>
      <c r="AE653" s="37">
        <f>IF(AND(AE363&lt;=$I78,AE363&gt;$J78),Tarification!$D$8,IF(AND(AE363&lt;=$J78,AE363&gt;$K78),Tarification!$D$9,IF(AND(AE363&lt;=$K78,AE363&gt;0),Tarification!$D$10,0)))</f>
        <v>50000</v>
      </c>
      <c r="AF653" s="37">
        <f>IF(AND(AF363&lt;=$I78,AF363&gt;$J78),Tarification!$D$8,IF(AND(AF363&lt;=$J78,AF363&gt;$K78),Tarification!$D$9,IF(AND(AF363&lt;=$K78,AF363&gt;0),Tarification!$D$10,0)))</f>
        <v>0</v>
      </c>
      <c r="AG653" s="37">
        <f>IF(AND(AG363&lt;=$I78,AG363&gt;$J78),Tarification!$D$8,IF(AND(AG363&lt;=$J78,AG363&gt;$K78),Tarification!$D$9,IF(AND(AG363&lt;=$K78,AG363&gt;0),Tarification!$D$10,0)))</f>
        <v>0</v>
      </c>
      <c r="AH653" s="37">
        <f>IF(AND(AH363&lt;=$I78,AH363&gt;$J78),Tarification!$D$8,IF(AND(AH363&lt;=$J78,AH363&gt;$K78),Tarification!$D$9,IF(AND(AH363&lt;=$K78,AH363&gt;0),Tarification!$D$10,0)))</f>
        <v>0</v>
      </c>
      <c r="AI653" s="37">
        <f>IF(AND(AI363&lt;=$I78,AI363&gt;$J78),Tarification!$D$8,IF(AND(AI363&lt;=$J78,AI363&gt;$K78),Tarification!$D$9,IF(AND(AI363&lt;=$K78,AI363&gt;0),Tarification!$D$10,0)))</f>
        <v>50000</v>
      </c>
      <c r="AJ653" s="37">
        <f>IF(AND(AJ363&lt;=$I78,AJ363&gt;$J78),Tarification!$D$8,IF(AND(AJ363&lt;=$J78,AJ363&gt;$K78),Tarification!$D$9,IF(AND(AJ363&lt;=$K78,AJ363&gt;0),Tarification!$D$10,0)))</f>
        <v>0</v>
      </c>
      <c r="AK653" s="37">
        <f>IF(AND(AK363&lt;=$I78,AK363&gt;$J78),Tarification!$D$8,IF(AND(AK363&lt;=$J78,AK363&gt;$K78),Tarification!$D$9,IF(AND(AK363&lt;=$K78,AK363&gt;0),Tarification!$D$10,0)))</f>
        <v>0</v>
      </c>
      <c r="AL653" s="37">
        <f>IF(AND(AL363&lt;=$I78,AL363&gt;$J78),Tarification!$D$8,IF(AND(AL363&lt;=$J78,AL363&gt;$K78),Tarification!$D$9,IF(AND(AL363&lt;=$K78,AL363&gt;0),Tarification!$D$10,0)))</f>
        <v>0</v>
      </c>
      <c r="AM653" s="37">
        <f>IF(AND(AM363&lt;=$I78,AM363&gt;$J78),Tarification!$D$8,IF(AND(AM363&lt;=$J78,AM363&gt;$K78),Tarification!$D$9,IF(AND(AM363&lt;=$K78,AM363&gt;0),Tarification!$D$10,0)))</f>
        <v>0</v>
      </c>
      <c r="AN653" s="37">
        <f>IF(AND(AN363&lt;=$I78,AN363&gt;$J78),Tarification!$D$8,IF(AND(AN363&lt;=$J78,AN363&gt;$K78),Tarification!$D$9,IF(AND(AN363&lt;=$K78,AN363&gt;0),Tarification!$D$10,0)))</f>
        <v>0</v>
      </c>
      <c r="AQ653" s="101">
        <f t="shared" si="149"/>
        <v>11842.105263157895</v>
      </c>
    </row>
    <row r="654" spans="14:43" ht="15.6">
      <c r="N654" s="39" t="s">
        <v>26</v>
      </c>
      <c r="O654" s="39" t="s">
        <v>498</v>
      </c>
      <c r="P654" s="90" t="s">
        <v>502</v>
      </c>
      <c r="Q654" s="39"/>
      <c r="V654" s="37">
        <f>IF(AND(V364&lt;=$I79,V364&gt;$J79),Tarification!$D$8,IF(AND(V364&lt;=$J79,V364&gt;$K79),Tarification!$D$9,IF(AND(V364&lt;=$K79,V364&gt;0),Tarification!$D$10,0)))</f>
        <v>0</v>
      </c>
      <c r="W654" s="37">
        <f>IF(AND(W364&lt;=$I79,W364&gt;$J79),Tarification!$D$8,IF(AND(W364&lt;=$J79,W364&gt;$K79),Tarification!$D$9,IF(AND(W364&lt;=$K79,W364&gt;0),Tarification!$D$10,0)))</f>
        <v>0</v>
      </c>
      <c r="X654" s="37">
        <f>IF(AND(X364&lt;=$I79,X364&gt;$J79),Tarification!$D$8,IF(AND(X364&lt;=$J79,X364&gt;$K79),Tarification!$D$9,IF(AND(X364&lt;=$K79,X364&gt;0),Tarification!$D$10,0)))</f>
        <v>0</v>
      </c>
      <c r="Y654" s="37">
        <f>IF(AND(Y364&lt;=$I79,Y364&gt;$J79),Tarification!$D$8,IF(AND(Y364&lt;=$J79,Y364&gt;$K79),Tarification!$D$9,IF(AND(Y364&lt;=$K79,Y364&gt;0),Tarification!$D$10,0)))</f>
        <v>0</v>
      </c>
      <c r="Z654" s="37">
        <f>IF(AND(Z364&lt;=$I79,Z364&gt;$J79),Tarification!$D$8,IF(AND(Z364&lt;=$J79,Z364&gt;$K79),Tarification!$D$9,IF(AND(Z364&lt;=$K79,Z364&gt;0),Tarification!$D$10,0)))</f>
        <v>0</v>
      </c>
      <c r="AA654" s="37">
        <f>IF(AND(AA364&lt;=$I79,AA364&gt;$J79),Tarification!$D$8,IF(AND(AA364&lt;=$J79,AA364&gt;$K79),Tarification!$D$9,IF(AND(AA364&lt;=$K79,AA364&gt;0),Tarification!$D$10,0)))</f>
        <v>0</v>
      </c>
      <c r="AB654" s="37">
        <f>IF(AND(AB364&lt;=$I79,AB364&gt;$J79),Tarification!$D$8,IF(AND(AB364&lt;=$J79,AB364&gt;$K79),Tarification!$D$9,IF(AND(AB364&lt;=$K79,AB364&gt;0),Tarification!$D$10,0)))</f>
        <v>0</v>
      </c>
      <c r="AC654" s="37">
        <f>IF(AND(AC364&lt;=$I79,AC364&gt;$J79),Tarification!$D$8,IF(AND(AC364&lt;=$J79,AC364&gt;$K79),Tarification!$D$9,IF(AND(AC364&lt;=$K79,AC364&gt;0),Tarification!$D$10,0)))</f>
        <v>0</v>
      </c>
      <c r="AD654" s="37">
        <f>IF(AND(AD364&lt;=$I79,AD364&gt;$J79),Tarification!$D$8,IF(AND(AD364&lt;=$J79,AD364&gt;$K79),Tarification!$D$9,IF(AND(AD364&lt;=$K79,AD364&gt;0),Tarification!$D$10,0)))</f>
        <v>0</v>
      </c>
      <c r="AE654" s="37">
        <f>IF(AND(AE364&lt;=$I79,AE364&gt;$J79),Tarification!$D$8,IF(AND(AE364&lt;=$J79,AE364&gt;$K79),Tarification!$D$9,IF(AND(AE364&lt;=$K79,AE364&gt;0),Tarification!$D$10,0)))</f>
        <v>0</v>
      </c>
      <c r="AF654" s="37">
        <f>IF(AND(AF364&lt;=$I79,AF364&gt;$J79),Tarification!$D$8,IF(AND(AF364&lt;=$J79,AF364&gt;$K79),Tarification!$D$9,IF(AND(AF364&lt;=$K79,AF364&gt;0),Tarification!$D$10,0)))</f>
        <v>0</v>
      </c>
      <c r="AG654" s="37">
        <f>IF(AND(AG364&lt;=$I79,AG364&gt;$J79),Tarification!$D$8,IF(AND(AG364&lt;=$J79,AG364&gt;$K79),Tarification!$D$9,IF(AND(AG364&lt;=$K79,AG364&gt;0),Tarification!$D$10,0)))</f>
        <v>0</v>
      </c>
      <c r="AH654" s="37">
        <f>IF(AND(AH364&lt;=$I79,AH364&gt;$J79),Tarification!$D$8,IF(AND(AH364&lt;=$J79,AH364&gt;$K79),Tarification!$D$9,IF(AND(AH364&lt;=$K79,AH364&gt;0),Tarification!$D$10,0)))</f>
        <v>0</v>
      </c>
      <c r="AI654" s="37">
        <f>IF(AND(AI364&lt;=$I79,AI364&gt;$J79),Tarification!$D$8,IF(AND(AI364&lt;=$J79,AI364&gt;$K79),Tarification!$D$9,IF(AND(AI364&lt;=$K79,AI364&gt;0),Tarification!$D$10,0)))</f>
        <v>0</v>
      </c>
      <c r="AJ654" s="37">
        <f>IF(AND(AJ364&lt;=$I79,AJ364&gt;$J79),Tarification!$D$8,IF(AND(AJ364&lt;=$J79,AJ364&gt;$K79),Tarification!$D$9,IF(AND(AJ364&lt;=$K79,AJ364&gt;0),Tarification!$D$10,0)))</f>
        <v>0</v>
      </c>
      <c r="AK654" s="37">
        <f>IF(AND(AK364&lt;=$I79,AK364&gt;$J79),Tarification!$D$8,IF(AND(AK364&lt;=$J79,AK364&gt;$K79),Tarification!$D$9,IF(AND(AK364&lt;=$K79,AK364&gt;0),Tarification!$D$10,0)))</f>
        <v>0</v>
      </c>
      <c r="AL654" s="37">
        <f>IF(AND(AL364&lt;=$I79,AL364&gt;$J79),Tarification!$D$8,IF(AND(AL364&lt;=$J79,AL364&gt;$K79),Tarification!$D$9,IF(AND(AL364&lt;=$K79,AL364&gt;0),Tarification!$D$10,0)))</f>
        <v>0</v>
      </c>
      <c r="AM654" s="37">
        <f>IF(AND(AM364&lt;=$I79,AM364&gt;$J79),Tarification!$D$8,IF(AND(AM364&lt;=$J79,AM364&gt;$K79),Tarification!$D$9,IF(AND(AM364&lt;=$K79,AM364&gt;0),Tarification!$D$10,0)))</f>
        <v>0</v>
      </c>
      <c r="AN654" s="37">
        <f>IF(AND(AN364&lt;=$I79,AN364&gt;$J79),Tarification!$D$8,IF(AND(AN364&lt;=$J79,AN364&gt;$K79),Tarification!$D$9,IF(AND(AN364&lt;=$K79,AN364&gt;0),Tarification!$D$10,0)))</f>
        <v>0</v>
      </c>
      <c r="AQ654" s="101">
        <f t="shared" si="149"/>
        <v>0</v>
      </c>
    </row>
    <row r="655" spans="14:43" ht="15.6">
      <c r="N655" s="39" t="s">
        <v>26</v>
      </c>
      <c r="O655" s="39" t="s">
        <v>230</v>
      </c>
      <c r="P655" t="s">
        <v>689</v>
      </c>
      <c r="Q655" s="39"/>
      <c r="V655" s="37">
        <f>IF(AND(V365&lt;=$I80,V365&gt;$J80),Tarification!$D$8,IF(AND(V365&lt;=$J80,V365&gt;$K80),Tarification!$D$9,IF(AND(V365&lt;=$K80,V365&gt;0),Tarification!$D$10,0)))</f>
        <v>0</v>
      </c>
      <c r="W655" s="37">
        <f>IF(AND(W365&lt;=$I80,W365&gt;$J80),Tarification!$D$8,IF(AND(W365&lt;=$J80,W365&gt;$K80),Tarification!$D$9,IF(AND(W365&lt;=$K80,W365&gt;0),Tarification!$D$10,0)))</f>
        <v>0</v>
      </c>
      <c r="X655" s="37">
        <f>IF(AND(X365&lt;=$I80,X365&gt;$J80),Tarification!$D$8,IF(AND(X365&lt;=$J80,X365&gt;$K80),Tarification!$D$9,IF(AND(X365&lt;=$K80,X365&gt;0),Tarification!$D$10,0)))</f>
        <v>0</v>
      </c>
      <c r="Y655" s="37">
        <f>IF(AND(Y365&lt;=$I80,Y365&gt;$J80),Tarification!$D$8,IF(AND(Y365&lt;=$J80,Y365&gt;$K80),Tarification!$D$9,IF(AND(Y365&lt;=$K80,Y365&gt;0),Tarification!$D$10,0)))</f>
        <v>0</v>
      </c>
      <c r="Z655" s="37">
        <f>IF(AND(Z365&lt;=$I80,Z365&gt;$J80),Tarification!$D$8,IF(AND(Z365&lt;=$J80,Z365&gt;$K80),Tarification!$D$9,IF(AND(Z365&lt;=$K80,Z365&gt;0),Tarification!$D$10,0)))</f>
        <v>0</v>
      </c>
      <c r="AA655" s="37">
        <f>IF(AND(AA365&lt;=$I80,AA365&gt;$J80),Tarification!$D$8,IF(AND(AA365&lt;=$J80,AA365&gt;$K80),Tarification!$D$9,IF(AND(AA365&lt;=$K80,AA365&gt;0),Tarification!$D$10,0)))</f>
        <v>0</v>
      </c>
      <c r="AB655" s="37">
        <f>IF(AND(AB365&lt;=$I80,AB365&gt;$J80),Tarification!$D$8,IF(AND(AB365&lt;=$J80,AB365&gt;$K80),Tarification!$D$9,IF(AND(AB365&lt;=$K80,AB365&gt;0),Tarification!$D$10,0)))</f>
        <v>0</v>
      </c>
      <c r="AC655" s="37">
        <f>IF(AND(AC365&lt;=$I80,AC365&gt;$J80),Tarification!$D$8,IF(AND(AC365&lt;=$J80,AC365&gt;$K80),Tarification!$D$9,IF(AND(AC365&lt;=$K80,AC365&gt;0),Tarification!$D$10,0)))</f>
        <v>0</v>
      </c>
      <c r="AD655" s="37">
        <f>IF(AND(AD365&lt;=$I80,AD365&gt;$J80),Tarification!$D$8,IF(AND(AD365&lt;=$J80,AD365&gt;$K80),Tarification!$D$9,IF(AND(AD365&lt;=$K80,AD365&gt;0),Tarification!$D$10,0)))</f>
        <v>0</v>
      </c>
      <c r="AE655" s="37">
        <f>IF(AND(AE365&lt;=$I80,AE365&gt;$J80),Tarification!$D$8,IF(AND(AE365&lt;=$J80,AE365&gt;$K80),Tarification!$D$9,IF(AND(AE365&lt;=$K80,AE365&gt;0),Tarification!$D$10,0)))</f>
        <v>0</v>
      </c>
      <c r="AF655" s="37">
        <f>IF(AND(AF365&lt;=$I80,AF365&gt;$J80),Tarification!$D$8,IF(AND(AF365&lt;=$J80,AF365&gt;$K80),Tarification!$D$9,IF(AND(AF365&lt;=$K80,AF365&gt;0),Tarification!$D$10,0)))</f>
        <v>0</v>
      </c>
      <c r="AG655" s="37">
        <f>IF(AND(AG365&lt;=$I80,AG365&gt;$J80),Tarification!$D$8,IF(AND(AG365&lt;=$J80,AG365&gt;$K80),Tarification!$D$9,IF(AND(AG365&lt;=$K80,AG365&gt;0),Tarification!$D$10,0)))</f>
        <v>0</v>
      </c>
      <c r="AH655" s="37">
        <f>IF(AND(AH365&lt;=$I80,AH365&gt;$J80),Tarification!$D$8,IF(AND(AH365&lt;=$J80,AH365&gt;$K80),Tarification!$D$9,IF(AND(AH365&lt;=$K80,AH365&gt;0),Tarification!$D$10,0)))</f>
        <v>0</v>
      </c>
      <c r="AI655" s="37">
        <f>IF(AND(AI365&lt;=$I80,AI365&gt;$J80),Tarification!$D$8,IF(AND(AI365&lt;=$J80,AI365&gt;$K80),Tarification!$D$9,IF(AND(AI365&lt;=$K80,AI365&gt;0),Tarification!$D$10,0)))</f>
        <v>0</v>
      </c>
      <c r="AJ655" s="37">
        <f>IF(AND(AJ365&lt;=$I80,AJ365&gt;$J80),Tarification!$D$8,IF(AND(AJ365&lt;=$J80,AJ365&gt;$K80),Tarification!$D$9,IF(AND(AJ365&lt;=$K80,AJ365&gt;0),Tarification!$D$10,0)))</f>
        <v>0</v>
      </c>
      <c r="AK655" s="37">
        <f>IF(AND(AK365&lt;=$I80,AK365&gt;$J80),Tarification!$D$8,IF(AND(AK365&lt;=$J80,AK365&gt;$K80),Tarification!$D$9,IF(AND(AK365&lt;=$K80,AK365&gt;0),Tarification!$D$10,0)))</f>
        <v>0</v>
      </c>
      <c r="AL655" s="37">
        <f>IF(AND(AL365&lt;=$I80,AL365&gt;$J80),Tarification!$D$8,IF(AND(AL365&lt;=$J80,AL365&gt;$K80),Tarification!$D$9,IF(AND(AL365&lt;=$K80,AL365&gt;0),Tarification!$D$10,0)))</f>
        <v>0</v>
      </c>
      <c r="AM655" s="37">
        <f>IF(AND(AM365&lt;=$I80,AM365&gt;$J80),Tarification!$D$8,IF(AND(AM365&lt;=$J80,AM365&gt;$K80),Tarification!$D$9,IF(AND(AM365&lt;=$K80,AM365&gt;0),Tarification!$D$10,0)))</f>
        <v>0</v>
      </c>
      <c r="AN655" s="37">
        <f>IF(AND(AN365&lt;=$I80,AN365&gt;$J80),Tarification!$D$8,IF(AND(AN365&lt;=$J80,AN365&gt;$K80),Tarification!$D$9,IF(AND(AN365&lt;=$K80,AN365&gt;0),Tarification!$D$10,0)))</f>
        <v>0</v>
      </c>
      <c r="AQ655" s="101">
        <f t="shared" si="149"/>
        <v>0</v>
      </c>
    </row>
    <row r="656" spans="14:43" ht="15.6">
      <c r="N656" s="39" t="s">
        <v>26</v>
      </c>
      <c r="O656" s="39" t="s">
        <v>267</v>
      </c>
      <c r="P656" t="s">
        <v>690</v>
      </c>
      <c r="Q656" s="39"/>
      <c r="V656" s="37">
        <f>IF(AND(V366&lt;=$I81,V366&gt;$J81),Tarification!$D$8,IF(AND(V366&lt;=$J81,V366&gt;$K81),Tarification!$D$9,IF(AND(V366&lt;=$K81,V366&gt;0),Tarification!$D$10,0)))</f>
        <v>0</v>
      </c>
      <c r="W656" s="37">
        <f>IF(AND(W366&lt;=$I81,W366&gt;$J81),Tarification!$D$8,IF(AND(W366&lt;=$J81,W366&gt;$K81),Tarification!$D$9,IF(AND(W366&lt;=$K81,W366&gt;0),Tarification!$D$10,0)))</f>
        <v>50000</v>
      </c>
      <c r="X656" s="37">
        <f>IF(AND(X366&lt;=$I81,X366&gt;$J81),Tarification!$D$8,IF(AND(X366&lt;=$J81,X366&gt;$K81),Tarification!$D$9,IF(AND(X366&lt;=$K81,X366&gt;0),Tarification!$D$10,0)))</f>
        <v>0</v>
      </c>
      <c r="Y656" s="37">
        <f>IF(AND(Y366&lt;=$I81,Y366&gt;$J81),Tarification!$D$8,IF(AND(Y366&lt;=$J81,Y366&gt;$K81),Tarification!$D$9,IF(AND(Y366&lt;=$K81,Y366&gt;0),Tarification!$D$10,0)))</f>
        <v>0</v>
      </c>
      <c r="Z656" s="37">
        <f>IF(AND(Z366&lt;=$I81,Z366&gt;$J81),Tarification!$D$8,IF(AND(Z366&lt;=$J81,Z366&gt;$K81),Tarification!$D$9,IF(AND(Z366&lt;=$K81,Z366&gt;0),Tarification!$D$10,0)))</f>
        <v>0</v>
      </c>
      <c r="AA656" s="37">
        <f>IF(AND(AA366&lt;=$I81,AA366&gt;$J81),Tarification!$D$8,IF(AND(AA366&lt;=$J81,AA366&gt;$K81),Tarification!$D$9,IF(AND(AA366&lt;=$K81,AA366&gt;0),Tarification!$D$10,0)))</f>
        <v>0</v>
      </c>
      <c r="AB656" s="37">
        <f>IF(AND(AB366&lt;=$I81,AB366&gt;$J81),Tarification!$D$8,IF(AND(AB366&lt;=$J81,AB366&gt;$K81),Tarification!$D$9,IF(AND(AB366&lt;=$K81,AB366&gt;0),Tarification!$D$10,0)))</f>
        <v>0</v>
      </c>
      <c r="AC656" s="37">
        <f>IF(AND(AC366&lt;=$I81,AC366&gt;$J81),Tarification!$D$8,IF(AND(AC366&lt;=$J81,AC366&gt;$K81),Tarification!$D$9,IF(AND(AC366&lt;=$K81,AC366&gt;0),Tarification!$D$10,0)))</f>
        <v>0</v>
      </c>
      <c r="AD656" s="37">
        <f>IF(AND(AD366&lt;=$I81,AD366&gt;$J81),Tarification!$D$8,IF(AND(AD366&lt;=$J81,AD366&gt;$K81),Tarification!$D$9,IF(AND(AD366&lt;=$K81,AD366&gt;0),Tarification!$D$10,0)))</f>
        <v>0</v>
      </c>
      <c r="AE656" s="37">
        <f>IF(AND(AE366&lt;=$I81,AE366&gt;$J81),Tarification!$D$8,IF(AND(AE366&lt;=$J81,AE366&gt;$K81),Tarification!$D$9,IF(AND(AE366&lt;=$K81,AE366&gt;0),Tarification!$D$10,0)))</f>
        <v>50000</v>
      </c>
      <c r="AF656" s="37">
        <f>IF(AND(AF366&lt;=$I81,AF366&gt;$J81),Tarification!$D$8,IF(AND(AF366&lt;=$J81,AF366&gt;$K81),Tarification!$D$9,IF(AND(AF366&lt;=$K81,AF366&gt;0),Tarification!$D$10,0)))</f>
        <v>0</v>
      </c>
      <c r="AG656" s="37">
        <f>IF(AND(AG366&lt;=$I81,AG366&gt;$J81),Tarification!$D$8,IF(AND(AG366&lt;=$J81,AG366&gt;$K81),Tarification!$D$9,IF(AND(AG366&lt;=$K81,AG366&gt;0),Tarification!$D$10,0)))</f>
        <v>0</v>
      </c>
      <c r="AH656" s="37">
        <f>IF(AND(AH366&lt;=$I81,AH366&gt;$J81),Tarification!$D$8,IF(AND(AH366&lt;=$J81,AH366&gt;$K81),Tarification!$D$9,IF(AND(AH366&lt;=$K81,AH366&gt;0),Tarification!$D$10,0)))</f>
        <v>0</v>
      </c>
      <c r="AI656" s="37">
        <f>IF(AND(AI366&lt;=$I81,AI366&gt;$J81),Tarification!$D$8,IF(AND(AI366&lt;=$J81,AI366&gt;$K81),Tarification!$D$9,IF(AND(AI366&lt;=$K81,AI366&gt;0),Tarification!$D$10,0)))</f>
        <v>0</v>
      </c>
      <c r="AJ656" s="37">
        <f>IF(AND(AJ366&lt;=$I81,AJ366&gt;$J81),Tarification!$D$8,IF(AND(AJ366&lt;=$J81,AJ366&gt;$K81),Tarification!$D$9,IF(AND(AJ366&lt;=$K81,AJ366&gt;0),Tarification!$D$10,0)))</f>
        <v>0</v>
      </c>
      <c r="AK656" s="37">
        <f>IF(AND(AK366&lt;=$I81,AK366&gt;$J81),Tarification!$D$8,IF(AND(AK366&lt;=$J81,AK366&gt;$K81),Tarification!$D$9,IF(AND(AK366&lt;=$K81,AK366&gt;0),Tarification!$D$10,0)))</f>
        <v>0</v>
      </c>
      <c r="AL656" s="37">
        <f>IF(AND(AL366&lt;=$I81,AL366&gt;$J81),Tarification!$D$8,IF(AND(AL366&lt;=$J81,AL366&gt;$K81),Tarification!$D$9,IF(AND(AL366&lt;=$K81,AL366&gt;0),Tarification!$D$10,0)))</f>
        <v>0</v>
      </c>
      <c r="AM656" s="37">
        <f>IF(AND(AM366&lt;=$I81,AM366&gt;$J81),Tarification!$D$8,IF(AND(AM366&lt;=$J81,AM366&gt;$K81),Tarification!$D$9,IF(AND(AM366&lt;=$K81,AM366&gt;0),Tarification!$D$10,0)))</f>
        <v>0</v>
      </c>
      <c r="AN656" s="37">
        <f>IF(AND(AN366&lt;=$I81,AN366&gt;$J81),Tarification!$D$8,IF(AND(AN366&lt;=$J81,AN366&gt;$K81),Tarification!$D$9,IF(AND(AN366&lt;=$K81,AN366&gt;0),Tarification!$D$10,0)))</f>
        <v>0</v>
      </c>
      <c r="AQ656" s="101">
        <f t="shared" si="149"/>
        <v>5263.1578947368425</v>
      </c>
    </row>
    <row r="657" spans="14:43" ht="15.6">
      <c r="N657" s="39" t="s">
        <v>26</v>
      </c>
      <c r="O657" s="39" t="s">
        <v>508</v>
      </c>
      <c r="P657" t="s">
        <v>691</v>
      </c>
      <c r="Q657" s="39"/>
      <c r="V657" s="37">
        <f>IF(AND(V367&lt;=$I82,V367&gt;$J82),Tarification!$D$8,IF(AND(V367&lt;=$J82,V367&gt;$K82),Tarification!$D$9,IF(AND(V367&lt;=$K82,V367&gt;0),Tarification!$D$10,0)))</f>
        <v>0</v>
      </c>
      <c r="W657" s="37">
        <f>IF(AND(W367&lt;=$I82,W367&gt;$J82),Tarification!$D$8,IF(AND(W367&lt;=$J82,W367&gt;$K82),Tarification!$D$9,IF(AND(W367&lt;=$K82,W367&gt;0),Tarification!$D$10,0)))</f>
        <v>125000</v>
      </c>
      <c r="X657" s="37">
        <f>IF(AND(X367&lt;=$I82,X367&gt;$J82),Tarification!$D$8,IF(AND(X367&lt;=$J82,X367&gt;$K82),Tarification!$D$9,IF(AND(X367&lt;=$K82,X367&gt;0),Tarification!$D$10,0)))</f>
        <v>0</v>
      </c>
      <c r="Y657" s="37">
        <f>IF(AND(Y367&lt;=$I82,Y367&gt;$J82),Tarification!$D$8,IF(AND(Y367&lt;=$J82,Y367&gt;$K82),Tarification!$D$9,IF(AND(Y367&lt;=$K82,Y367&gt;0),Tarification!$D$10,0)))</f>
        <v>0</v>
      </c>
      <c r="Z657" s="37">
        <f>IF(AND(Z367&lt;=$I82,Z367&gt;$J82),Tarification!$D$8,IF(AND(Z367&lt;=$J82,Z367&gt;$K82),Tarification!$D$9,IF(AND(Z367&lt;=$K82,Z367&gt;0),Tarification!$D$10,0)))</f>
        <v>0</v>
      </c>
      <c r="AA657" s="37">
        <f>IF(AND(AA367&lt;=$I82,AA367&gt;$J82),Tarification!$D$8,IF(AND(AA367&lt;=$J82,AA367&gt;$K82),Tarification!$D$9,IF(AND(AA367&lt;=$K82,AA367&gt;0),Tarification!$D$10,0)))</f>
        <v>0</v>
      </c>
      <c r="AB657" s="37">
        <f>IF(AND(AB367&lt;=$I82,AB367&gt;$J82),Tarification!$D$8,IF(AND(AB367&lt;=$J82,AB367&gt;$K82),Tarification!$D$9,IF(AND(AB367&lt;=$K82,AB367&gt;0),Tarification!$D$10,0)))</f>
        <v>0</v>
      </c>
      <c r="AC657" s="37">
        <f>IF(AND(AC367&lt;=$I82,AC367&gt;$J82),Tarification!$D$8,IF(AND(AC367&lt;=$J82,AC367&gt;$K82),Tarification!$D$9,IF(AND(AC367&lt;=$K82,AC367&gt;0),Tarification!$D$10,0)))</f>
        <v>50000</v>
      </c>
      <c r="AD657" s="37">
        <f>IF(AND(AD367&lt;=$I82,AD367&gt;$J82),Tarification!$D$8,IF(AND(AD367&lt;=$J82,AD367&gt;$K82),Tarification!$D$9,IF(AND(AD367&lt;=$K82,AD367&gt;0),Tarification!$D$10,0)))</f>
        <v>0</v>
      </c>
      <c r="AE657" s="37">
        <f>IF(AND(AE367&lt;=$I82,AE367&gt;$J82),Tarification!$D$8,IF(AND(AE367&lt;=$J82,AE367&gt;$K82),Tarification!$D$9,IF(AND(AE367&lt;=$K82,AE367&gt;0),Tarification!$D$10,0)))</f>
        <v>125000</v>
      </c>
      <c r="AF657" s="37">
        <f>IF(AND(AF367&lt;=$I82,AF367&gt;$J82),Tarification!$D$8,IF(AND(AF367&lt;=$J82,AF367&gt;$K82),Tarification!$D$9,IF(AND(AF367&lt;=$K82,AF367&gt;0),Tarification!$D$10,0)))</f>
        <v>0</v>
      </c>
      <c r="AG657" s="37">
        <f>IF(AND(AG367&lt;=$I82,AG367&gt;$J82),Tarification!$D$8,IF(AND(AG367&lt;=$J82,AG367&gt;$K82),Tarification!$D$9,IF(AND(AG367&lt;=$K82,AG367&gt;0),Tarification!$D$10,0)))</f>
        <v>0</v>
      </c>
      <c r="AH657" s="37">
        <f>IF(AND(AH367&lt;=$I82,AH367&gt;$J82),Tarification!$D$8,IF(AND(AH367&lt;=$J82,AH367&gt;$K82),Tarification!$D$9,IF(AND(AH367&lt;=$K82,AH367&gt;0),Tarification!$D$10,0)))</f>
        <v>0</v>
      </c>
      <c r="AI657" s="37">
        <f>IF(AND(AI367&lt;=$I82,AI367&gt;$J82),Tarification!$D$8,IF(AND(AI367&lt;=$J82,AI367&gt;$K82),Tarification!$D$9,IF(AND(AI367&lt;=$K82,AI367&gt;0),Tarification!$D$10,0)))</f>
        <v>0</v>
      </c>
      <c r="AJ657" s="37">
        <f>IF(AND(AJ367&lt;=$I82,AJ367&gt;$J82),Tarification!$D$8,IF(AND(AJ367&lt;=$J82,AJ367&gt;$K82),Tarification!$D$9,IF(AND(AJ367&lt;=$K82,AJ367&gt;0),Tarification!$D$10,0)))</f>
        <v>0</v>
      </c>
      <c r="AK657" s="37">
        <f>IF(AND(AK367&lt;=$I82,AK367&gt;$J82),Tarification!$D$8,IF(AND(AK367&lt;=$J82,AK367&gt;$K82),Tarification!$D$9,IF(AND(AK367&lt;=$K82,AK367&gt;0),Tarification!$D$10,0)))</f>
        <v>0</v>
      </c>
      <c r="AL657" s="37">
        <f>IF(AND(AL367&lt;=$I82,AL367&gt;$J82),Tarification!$D$8,IF(AND(AL367&lt;=$J82,AL367&gt;$K82),Tarification!$D$9,IF(AND(AL367&lt;=$K82,AL367&gt;0),Tarification!$D$10,0)))</f>
        <v>0</v>
      </c>
      <c r="AM657" s="37">
        <f>IF(AND(AM367&lt;=$I82,AM367&gt;$J82),Tarification!$D$8,IF(AND(AM367&lt;=$J82,AM367&gt;$K82),Tarification!$D$9,IF(AND(AM367&lt;=$K82,AM367&gt;0),Tarification!$D$10,0)))</f>
        <v>0</v>
      </c>
      <c r="AN657" s="37">
        <f>IF(AND(AN367&lt;=$I82,AN367&gt;$J82),Tarification!$D$8,IF(AND(AN367&lt;=$J82,AN367&gt;$K82),Tarification!$D$9,IF(AND(AN367&lt;=$K82,AN367&gt;0),Tarification!$D$10,0)))</f>
        <v>50000</v>
      </c>
      <c r="AQ657" s="101">
        <f t="shared" si="149"/>
        <v>18421.052631578947</v>
      </c>
    </row>
    <row r="658" spans="14:43" ht="15.6">
      <c r="N658" s="39" t="s">
        <v>26</v>
      </c>
      <c r="O658" s="39" t="s">
        <v>434</v>
      </c>
      <c r="P658" t="s">
        <v>692</v>
      </c>
      <c r="Q658" s="39"/>
      <c r="V658" s="37">
        <f>IF(AND(V368&lt;=$I83,V368&gt;$J83),Tarification!$D$8,IF(AND(V368&lt;=$J83,V368&gt;$K83),Tarification!$D$9,IF(AND(V368&lt;=$K83,V368&gt;0),Tarification!$D$10,0)))</f>
        <v>0</v>
      </c>
      <c r="W658" s="37">
        <f>IF(AND(W368&lt;=$I83,W368&gt;$J83),Tarification!$D$8,IF(AND(W368&lt;=$J83,W368&gt;$K83),Tarification!$D$9,IF(AND(W368&lt;=$K83,W368&gt;0),Tarification!$D$10,0)))</f>
        <v>0</v>
      </c>
      <c r="X658" s="37">
        <f>IF(AND(X368&lt;=$I83,X368&gt;$J83),Tarification!$D$8,IF(AND(X368&lt;=$J83,X368&gt;$K83),Tarification!$D$9,IF(AND(X368&lt;=$K83,X368&gt;0),Tarification!$D$10,0)))</f>
        <v>0</v>
      </c>
      <c r="Y658" s="37">
        <f>IF(AND(Y368&lt;=$I83,Y368&gt;$J83),Tarification!$D$8,IF(AND(Y368&lt;=$J83,Y368&gt;$K83),Tarification!$D$9,IF(AND(Y368&lt;=$K83,Y368&gt;0),Tarification!$D$10,0)))</f>
        <v>0</v>
      </c>
      <c r="Z658" s="37">
        <f>IF(AND(Z368&lt;=$I83,Z368&gt;$J83),Tarification!$D$8,IF(AND(Z368&lt;=$J83,Z368&gt;$K83),Tarification!$D$9,IF(AND(Z368&lt;=$K83,Z368&gt;0),Tarification!$D$10,0)))</f>
        <v>0</v>
      </c>
      <c r="AA658" s="37">
        <f>IF(AND(AA368&lt;=$I83,AA368&gt;$J83),Tarification!$D$8,IF(AND(AA368&lt;=$J83,AA368&gt;$K83),Tarification!$D$9,IF(AND(AA368&lt;=$K83,AA368&gt;0),Tarification!$D$10,0)))</f>
        <v>0</v>
      </c>
      <c r="AB658" s="37">
        <f>IF(AND(AB368&lt;=$I83,AB368&gt;$J83),Tarification!$D$8,IF(AND(AB368&lt;=$J83,AB368&gt;$K83),Tarification!$D$9,IF(AND(AB368&lt;=$K83,AB368&gt;0),Tarification!$D$10,0)))</f>
        <v>0</v>
      </c>
      <c r="AC658" s="37">
        <f>IF(AND(AC368&lt;=$I83,AC368&gt;$J83),Tarification!$D$8,IF(AND(AC368&lt;=$J83,AC368&gt;$K83),Tarification!$D$9,IF(AND(AC368&lt;=$K83,AC368&gt;0),Tarification!$D$10,0)))</f>
        <v>0</v>
      </c>
      <c r="AD658" s="37">
        <f>IF(AND(AD368&lt;=$I83,AD368&gt;$J83),Tarification!$D$8,IF(AND(AD368&lt;=$J83,AD368&gt;$K83),Tarification!$D$9,IF(AND(AD368&lt;=$K83,AD368&gt;0),Tarification!$D$10,0)))</f>
        <v>0</v>
      </c>
      <c r="AE658" s="37">
        <f>IF(AND(AE368&lt;=$I83,AE368&gt;$J83),Tarification!$D$8,IF(AND(AE368&lt;=$J83,AE368&gt;$K83),Tarification!$D$9,IF(AND(AE368&lt;=$K83,AE368&gt;0),Tarification!$D$10,0)))</f>
        <v>0</v>
      </c>
      <c r="AF658" s="37">
        <f>IF(AND(AF368&lt;=$I83,AF368&gt;$J83),Tarification!$D$8,IF(AND(AF368&lt;=$J83,AF368&gt;$K83),Tarification!$D$9,IF(AND(AF368&lt;=$K83,AF368&gt;0),Tarification!$D$10,0)))</f>
        <v>0</v>
      </c>
      <c r="AG658" s="37">
        <f>IF(AND(AG368&lt;=$I83,AG368&gt;$J83),Tarification!$D$8,IF(AND(AG368&lt;=$J83,AG368&gt;$K83),Tarification!$D$9,IF(AND(AG368&lt;=$K83,AG368&gt;0),Tarification!$D$10,0)))</f>
        <v>0</v>
      </c>
      <c r="AH658" s="37">
        <f>IF(AND(AH368&lt;=$I83,AH368&gt;$J83),Tarification!$D$8,IF(AND(AH368&lt;=$J83,AH368&gt;$K83),Tarification!$D$9,IF(AND(AH368&lt;=$K83,AH368&gt;0),Tarification!$D$10,0)))</f>
        <v>0</v>
      </c>
      <c r="AI658" s="37">
        <f>IF(AND(AI368&lt;=$I83,AI368&gt;$J83),Tarification!$D$8,IF(AND(AI368&lt;=$J83,AI368&gt;$K83),Tarification!$D$9,IF(AND(AI368&lt;=$K83,AI368&gt;0),Tarification!$D$10,0)))</f>
        <v>0</v>
      </c>
      <c r="AJ658" s="37">
        <f>IF(AND(AJ368&lt;=$I83,AJ368&gt;$J83),Tarification!$D$8,IF(AND(AJ368&lt;=$J83,AJ368&gt;$K83),Tarification!$D$9,IF(AND(AJ368&lt;=$K83,AJ368&gt;0),Tarification!$D$10,0)))</f>
        <v>0</v>
      </c>
      <c r="AK658" s="37">
        <f>IF(AND(AK368&lt;=$I83,AK368&gt;$J83),Tarification!$D$8,IF(AND(AK368&lt;=$J83,AK368&gt;$K83),Tarification!$D$9,IF(AND(AK368&lt;=$K83,AK368&gt;0),Tarification!$D$10,0)))</f>
        <v>0</v>
      </c>
      <c r="AL658" s="37">
        <f>IF(AND(AL368&lt;=$I83,AL368&gt;$J83),Tarification!$D$8,IF(AND(AL368&lt;=$J83,AL368&gt;$K83),Tarification!$D$9,IF(AND(AL368&lt;=$K83,AL368&gt;0),Tarification!$D$10,0)))</f>
        <v>0</v>
      </c>
      <c r="AM658" s="37">
        <f>IF(AND(AM368&lt;=$I83,AM368&gt;$J83),Tarification!$D$8,IF(AND(AM368&lt;=$J83,AM368&gt;$K83),Tarification!$D$9,IF(AND(AM368&lt;=$K83,AM368&gt;0),Tarification!$D$10,0)))</f>
        <v>0</v>
      </c>
      <c r="AN658" s="37">
        <f>IF(AND(AN368&lt;=$I83,AN368&gt;$J83),Tarification!$D$8,IF(AND(AN368&lt;=$J83,AN368&gt;$K83),Tarification!$D$9,IF(AND(AN368&lt;=$K83,AN368&gt;0),Tarification!$D$10,0)))</f>
        <v>0</v>
      </c>
      <c r="AQ658" s="101">
        <f t="shared" si="149"/>
        <v>0</v>
      </c>
    </row>
    <row r="659" spans="14:43" ht="15.6">
      <c r="N659" s="39" t="s">
        <v>26</v>
      </c>
      <c r="O659" s="39" t="s">
        <v>498</v>
      </c>
      <c r="P659" t="s">
        <v>693</v>
      </c>
      <c r="Q659" s="39"/>
      <c r="V659" s="37">
        <f>IF(AND(V369&lt;=$I84,V369&gt;$J84),Tarification!$D$8,IF(AND(V369&lt;=$J84,V369&gt;$K84),Tarification!$D$9,IF(AND(V369&lt;=$K84,V369&gt;0),Tarification!$D$10,0)))</f>
        <v>0</v>
      </c>
      <c r="W659" s="37">
        <f>IF(AND(W369&lt;=$I84,W369&gt;$J84),Tarification!$D$8,IF(AND(W369&lt;=$J84,W369&gt;$K84),Tarification!$D$9,IF(AND(W369&lt;=$K84,W369&gt;0),Tarification!$D$10,0)))</f>
        <v>125000</v>
      </c>
      <c r="X659" s="37">
        <f>IF(AND(X369&lt;=$I84,X369&gt;$J84),Tarification!$D$8,IF(AND(X369&lt;=$J84,X369&gt;$K84),Tarification!$D$9,IF(AND(X369&lt;=$K84,X369&gt;0),Tarification!$D$10,0)))</f>
        <v>0</v>
      </c>
      <c r="Y659" s="37">
        <f>IF(AND(Y369&lt;=$I84,Y369&gt;$J84),Tarification!$D$8,IF(AND(Y369&lt;=$J84,Y369&gt;$K84),Tarification!$D$9,IF(AND(Y369&lt;=$K84,Y369&gt;0),Tarification!$D$10,0)))</f>
        <v>0</v>
      </c>
      <c r="Z659" s="37">
        <f>IF(AND(Z369&lt;=$I84,Z369&gt;$J84),Tarification!$D$8,IF(AND(Z369&lt;=$J84,Z369&gt;$K84),Tarification!$D$9,IF(AND(Z369&lt;=$K84,Z369&gt;0),Tarification!$D$10,0)))</f>
        <v>50000</v>
      </c>
      <c r="AA659" s="37">
        <f>IF(AND(AA369&lt;=$I84,AA369&gt;$J84),Tarification!$D$8,IF(AND(AA369&lt;=$J84,AA369&gt;$K84),Tarification!$D$9,IF(AND(AA369&lt;=$K84,AA369&gt;0),Tarification!$D$10,0)))</f>
        <v>50000</v>
      </c>
      <c r="AB659" s="37">
        <f>IF(AND(AB369&lt;=$I84,AB369&gt;$J84),Tarification!$D$8,IF(AND(AB369&lt;=$J84,AB369&gt;$K84),Tarification!$D$9,IF(AND(AB369&lt;=$K84,AB369&gt;0),Tarification!$D$10,0)))</f>
        <v>0</v>
      </c>
      <c r="AC659" s="37">
        <f>IF(AND(AC369&lt;=$I84,AC369&gt;$J84),Tarification!$D$8,IF(AND(AC369&lt;=$J84,AC369&gt;$K84),Tarification!$D$9,IF(AND(AC369&lt;=$K84,AC369&gt;0),Tarification!$D$10,0)))</f>
        <v>0</v>
      </c>
      <c r="AD659" s="37">
        <f>IF(AND(AD369&lt;=$I84,AD369&gt;$J84),Tarification!$D$8,IF(AND(AD369&lt;=$J84,AD369&gt;$K84),Tarification!$D$9,IF(AND(AD369&lt;=$K84,AD369&gt;0),Tarification!$D$10,0)))</f>
        <v>0</v>
      </c>
      <c r="AE659" s="37">
        <f>IF(AND(AE369&lt;=$I84,AE369&gt;$J84),Tarification!$D$8,IF(AND(AE369&lt;=$J84,AE369&gt;$K84),Tarification!$D$9,IF(AND(AE369&lt;=$K84,AE369&gt;0),Tarification!$D$10,0)))</f>
        <v>125000</v>
      </c>
      <c r="AF659" s="37">
        <f>IF(AND(AF369&lt;=$I84,AF369&gt;$J84),Tarification!$D$8,IF(AND(AF369&lt;=$J84,AF369&gt;$K84),Tarification!$D$9,IF(AND(AF369&lt;=$K84,AF369&gt;0),Tarification!$D$10,0)))</f>
        <v>50000</v>
      </c>
      <c r="AG659" s="37">
        <f>IF(AND(AG369&lt;=$I84,AG369&gt;$J84),Tarification!$D$8,IF(AND(AG369&lt;=$J84,AG369&gt;$K84),Tarification!$D$9,IF(AND(AG369&lt;=$K84,AG369&gt;0),Tarification!$D$10,0)))</f>
        <v>0</v>
      </c>
      <c r="AH659" s="37">
        <f>IF(AND(AH369&lt;=$I84,AH369&gt;$J84),Tarification!$D$8,IF(AND(AH369&lt;=$J84,AH369&gt;$K84),Tarification!$D$9,IF(AND(AH369&lt;=$K84,AH369&gt;0),Tarification!$D$10,0)))</f>
        <v>0</v>
      </c>
      <c r="AI659" s="37">
        <f>IF(AND(AI369&lt;=$I84,AI369&gt;$J84),Tarification!$D$8,IF(AND(AI369&lt;=$J84,AI369&gt;$K84),Tarification!$D$9,IF(AND(AI369&lt;=$K84,AI369&gt;0),Tarification!$D$10,0)))</f>
        <v>125000</v>
      </c>
      <c r="AJ659" s="37">
        <f>IF(AND(AJ369&lt;=$I84,AJ369&gt;$J84),Tarification!$D$8,IF(AND(AJ369&lt;=$J84,AJ369&gt;$K84),Tarification!$D$9,IF(AND(AJ369&lt;=$K84,AJ369&gt;0),Tarification!$D$10,0)))</f>
        <v>0</v>
      </c>
      <c r="AK659" s="37">
        <f>IF(AND(AK369&lt;=$I84,AK369&gt;$J84),Tarification!$D$8,IF(AND(AK369&lt;=$J84,AK369&gt;$K84),Tarification!$D$9,IF(AND(AK369&lt;=$K84,AK369&gt;0),Tarification!$D$10,0)))</f>
        <v>0</v>
      </c>
      <c r="AL659" s="37">
        <f>IF(AND(AL369&lt;=$I84,AL369&gt;$J84),Tarification!$D$8,IF(AND(AL369&lt;=$J84,AL369&gt;$K84),Tarification!$D$9,IF(AND(AL369&lt;=$K84,AL369&gt;0),Tarification!$D$10,0)))</f>
        <v>0</v>
      </c>
      <c r="AM659" s="37">
        <f>IF(AND(AM369&lt;=$I84,AM369&gt;$J84),Tarification!$D$8,IF(AND(AM369&lt;=$J84,AM369&gt;$K84),Tarification!$D$9,IF(AND(AM369&lt;=$K84,AM369&gt;0),Tarification!$D$10,0)))</f>
        <v>0</v>
      </c>
      <c r="AN659" s="37">
        <f>IF(AND(AN369&lt;=$I84,AN369&gt;$J84),Tarification!$D$8,IF(AND(AN369&lt;=$J84,AN369&gt;$K84),Tarification!$D$9,IF(AND(AN369&lt;=$K84,AN369&gt;0),Tarification!$D$10,0)))</f>
        <v>50000</v>
      </c>
      <c r="AQ659" s="101">
        <f t="shared" si="149"/>
        <v>30263.157894736843</v>
      </c>
    </row>
    <row r="660" spans="14:43" ht="15.6">
      <c r="N660" s="39" t="s">
        <v>26</v>
      </c>
      <c r="O660" s="39" t="s">
        <v>245</v>
      </c>
      <c r="P660" t="s">
        <v>694</v>
      </c>
      <c r="Q660" s="39"/>
      <c r="V660" s="37">
        <f>IF(AND(V370&lt;=$I85,V370&gt;$J85),Tarification!$D$8,IF(AND(V370&lt;=$J85,V370&gt;$K85),Tarification!$D$9,IF(AND(V370&lt;=$K85,V370&gt;0),Tarification!$D$10,0)))</f>
        <v>0</v>
      </c>
      <c r="W660" s="37">
        <f>IF(AND(W370&lt;=$I85,W370&gt;$J85),Tarification!$D$8,IF(AND(W370&lt;=$J85,W370&gt;$K85),Tarification!$D$9,IF(AND(W370&lt;=$K85,W370&gt;0),Tarification!$D$10,0)))</f>
        <v>50000</v>
      </c>
      <c r="X660" s="37">
        <f>IF(AND(X370&lt;=$I85,X370&gt;$J85),Tarification!$D$8,IF(AND(X370&lt;=$J85,X370&gt;$K85),Tarification!$D$9,IF(AND(X370&lt;=$K85,X370&gt;0),Tarification!$D$10,0)))</f>
        <v>0</v>
      </c>
      <c r="Y660" s="37">
        <f>IF(AND(Y370&lt;=$I85,Y370&gt;$J85),Tarification!$D$8,IF(AND(Y370&lt;=$J85,Y370&gt;$K85),Tarification!$D$9,IF(AND(Y370&lt;=$K85,Y370&gt;0),Tarification!$D$10,0)))</f>
        <v>0</v>
      </c>
      <c r="Z660" s="37">
        <f>IF(AND(Z370&lt;=$I85,Z370&gt;$J85),Tarification!$D$8,IF(AND(Z370&lt;=$J85,Z370&gt;$K85),Tarification!$D$9,IF(AND(Z370&lt;=$K85,Z370&gt;0),Tarification!$D$10,0)))</f>
        <v>0</v>
      </c>
      <c r="AA660" s="37">
        <f>IF(AND(AA370&lt;=$I85,AA370&gt;$J85),Tarification!$D$8,IF(AND(AA370&lt;=$J85,AA370&gt;$K85),Tarification!$D$9,IF(AND(AA370&lt;=$K85,AA370&gt;0),Tarification!$D$10,0)))</f>
        <v>0</v>
      </c>
      <c r="AB660" s="37">
        <f>IF(AND(AB370&lt;=$I85,AB370&gt;$J85),Tarification!$D$8,IF(AND(AB370&lt;=$J85,AB370&gt;$K85),Tarification!$D$9,IF(AND(AB370&lt;=$K85,AB370&gt;0),Tarification!$D$10,0)))</f>
        <v>0</v>
      </c>
      <c r="AC660" s="37">
        <f>IF(AND(AC370&lt;=$I85,AC370&gt;$J85),Tarification!$D$8,IF(AND(AC370&lt;=$J85,AC370&gt;$K85),Tarification!$D$9,IF(AND(AC370&lt;=$K85,AC370&gt;0),Tarification!$D$10,0)))</f>
        <v>0</v>
      </c>
      <c r="AD660" s="37">
        <f>IF(AND(AD370&lt;=$I85,AD370&gt;$J85),Tarification!$D$8,IF(AND(AD370&lt;=$J85,AD370&gt;$K85),Tarification!$D$9,IF(AND(AD370&lt;=$K85,AD370&gt;0),Tarification!$D$10,0)))</f>
        <v>0</v>
      </c>
      <c r="AE660" s="37">
        <f>IF(AND(AE370&lt;=$I85,AE370&gt;$J85),Tarification!$D$8,IF(AND(AE370&lt;=$J85,AE370&gt;$K85),Tarification!$D$9,IF(AND(AE370&lt;=$K85,AE370&gt;0),Tarification!$D$10,0)))</f>
        <v>125000</v>
      </c>
      <c r="AF660" s="37">
        <f>IF(AND(AF370&lt;=$I85,AF370&gt;$J85),Tarification!$D$8,IF(AND(AF370&lt;=$J85,AF370&gt;$K85),Tarification!$D$9,IF(AND(AF370&lt;=$K85,AF370&gt;0),Tarification!$D$10,0)))</f>
        <v>0</v>
      </c>
      <c r="AG660" s="37">
        <f>IF(AND(AG370&lt;=$I85,AG370&gt;$J85),Tarification!$D$8,IF(AND(AG370&lt;=$J85,AG370&gt;$K85),Tarification!$D$9,IF(AND(AG370&lt;=$K85,AG370&gt;0),Tarification!$D$10,0)))</f>
        <v>0</v>
      </c>
      <c r="AH660" s="37">
        <f>IF(AND(AH370&lt;=$I85,AH370&gt;$J85),Tarification!$D$8,IF(AND(AH370&lt;=$J85,AH370&gt;$K85),Tarification!$D$9,IF(AND(AH370&lt;=$K85,AH370&gt;0),Tarification!$D$10,0)))</f>
        <v>0</v>
      </c>
      <c r="AI660" s="37">
        <f>IF(AND(AI370&lt;=$I85,AI370&gt;$J85),Tarification!$D$8,IF(AND(AI370&lt;=$J85,AI370&gt;$K85),Tarification!$D$9,IF(AND(AI370&lt;=$K85,AI370&gt;0),Tarification!$D$10,0)))</f>
        <v>0</v>
      </c>
      <c r="AJ660" s="37">
        <f>IF(AND(AJ370&lt;=$I85,AJ370&gt;$J85),Tarification!$D$8,IF(AND(AJ370&lt;=$J85,AJ370&gt;$K85),Tarification!$D$9,IF(AND(AJ370&lt;=$K85,AJ370&gt;0),Tarification!$D$10,0)))</f>
        <v>0</v>
      </c>
      <c r="AK660" s="37">
        <f>IF(AND(AK370&lt;=$I85,AK370&gt;$J85),Tarification!$D$8,IF(AND(AK370&lt;=$J85,AK370&gt;$K85),Tarification!$D$9,IF(AND(AK370&lt;=$K85,AK370&gt;0),Tarification!$D$10,0)))</f>
        <v>0</v>
      </c>
      <c r="AL660" s="37">
        <f>IF(AND(AL370&lt;=$I85,AL370&gt;$J85),Tarification!$D$8,IF(AND(AL370&lt;=$J85,AL370&gt;$K85),Tarification!$D$9,IF(AND(AL370&lt;=$K85,AL370&gt;0),Tarification!$D$10,0)))</f>
        <v>0</v>
      </c>
      <c r="AM660" s="37">
        <f>IF(AND(AM370&lt;=$I85,AM370&gt;$J85),Tarification!$D$8,IF(AND(AM370&lt;=$J85,AM370&gt;$K85),Tarification!$D$9,IF(AND(AM370&lt;=$K85,AM370&gt;0),Tarification!$D$10,0)))</f>
        <v>0</v>
      </c>
      <c r="AN660" s="37">
        <f>IF(AND(AN370&lt;=$I85,AN370&gt;$J85),Tarification!$D$8,IF(AND(AN370&lt;=$J85,AN370&gt;$K85),Tarification!$D$9,IF(AND(AN370&lt;=$K85,AN370&gt;0),Tarification!$D$10,0)))</f>
        <v>50000</v>
      </c>
      <c r="AQ660" s="101">
        <f t="shared" si="149"/>
        <v>11842.105263157895</v>
      </c>
    </row>
    <row r="661" spans="14:43" ht="15.6">
      <c r="N661" s="39" t="s">
        <v>26</v>
      </c>
      <c r="O661" s="39" t="s">
        <v>278</v>
      </c>
      <c r="P661" t="s">
        <v>695</v>
      </c>
      <c r="Q661" s="39"/>
      <c r="V661" s="37">
        <f>IF(AND(V371&lt;=$I86,V371&gt;$J86),Tarification!$D$8,IF(AND(V371&lt;=$J86,V371&gt;$K86),Tarification!$D$9,IF(AND(V371&lt;=$K86,V371&gt;0),Tarification!$D$10,0)))</f>
        <v>0</v>
      </c>
      <c r="W661" s="37">
        <f>IF(AND(W371&lt;=$I86,W371&gt;$J86),Tarification!$D$8,IF(AND(W371&lt;=$J86,W371&gt;$K86),Tarification!$D$9,IF(AND(W371&lt;=$K86,W371&gt;0),Tarification!$D$10,0)))</f>
        <v>0</v>
      </c>
      <c r="X661" s="37">
        <f>IF(AND(X371&lt;=$I86,X371&gt;$J86),Tarification!$D$8,IF(AND(X371&lt;=$J86,X371&gt;$K86),Tarification!$D$9,IF(AND(X371&lt;=$K86,X371&gt;0),Tarification!$D$10,0)))</f>
        <v>0</v>
      </c>
      <c r="Y661" s="37">
        <f>IF(AND(Y371&lt;=$I86,Y371&gt;$J86),Tarification!$D$8,IF(AND(Y371&lt;=$J86,Y371&gt;$K86),Tarification!$D$9,IF(AND(Y371&lt;=$K86,Y371&gt;0),Tarification!$D$10,0)))</f>
        <v>0</v>
      </c>
      <c r="Z661" s="37">
        <f>IF(AND(Z371&lt;=$I86,Z371&gt;$J86),Tarification!$D$8,IF(AND(Z371&lt;=$J86,Z371&gt;$K86),Tarification!$D$9,IF(AND(Z371&lt;=$K86,Z371&gt;0),Tarification!$D$10,0)))</f>
        <v>0</v>
      </c>
      <c r="AA661" s="37">
        <f>IF(AND(AA371&lt;=$I86,AA371&gt;$J86),Tarification!$D$8,IF(AND(AA371&lt;=$J86,AA371&gt;$K86),Tarification!$D$9,IF(AND(AA371&lt;=$K86,AA371&gt;0),Tarification!$D$10,0)))</f>
        <v>0</v>
      </c>
      <c r="AB661" s="37">
        <f>IF(AND(AB371&lt;=$I86,AB371&gt;$J86),Tarification!$D$8,IF(AND(AB371&lt;=$J86,AB371&gt;$K86),Tarification!$D$9,IF(AND(AB371&lt;=$K86,AB371&gt;0),Tarification!$D$10,0)))</f>
        <v>0</v>
      </c>
      <c r="AC661" s="37">
        <f>IF(AND(AC371&lt;=$I86,AC371&gt;$J86),Tarification!$D$8,IF(AND(AC371&lt;=$J86,AC371&gt;$K86),Tarification!$D$9,IF(AND(AC371&lt;=$K86,AC371&gt;0),Tarification!$D$10,0)))</f>
        <v>0</v>
      </c>
      <c r="AD661" s="37">
        <f>IF(AND(AD371&lt;=$I86,AD371&gt;$J86),Tarification!$D$8,IF(AND(AD371&lt;=$J86,AD371&gt;$K86),Tarification!$D$9,IF(AND(AD371&lt;=$K86,AD371&gt;0),Tarification!$D$10,0)))</f>
        <v>0</v>
      </c>
      <c r="AE661" s="37">
        <f>IF(AND(AE371&lt;=$I86,AE371&gt;$J86),Tarification!$D$8,IF(AND(AE371&lt;=$J86,AE371&gt;$K86),Tarification!$D$9,IF(AND(AE371&lt;=$K86,AE371&gt;0),Tarification!$D$10,0)))</f>
        <v>0</v>
      </c>
      <c r="AF661" s="37">
        <f>IF(AND(AF371&lt;=$I86,AF371&gt;$J86),Tarification!$D$8,IF(AND(AF371&lt;=$J86,AF371&gt;$K86),Tarification!$D$9,IF(AND(AF371&lt;=$K86,AF371&gt;0),Tarification!$D$10,0)))</f>
        <v>0</v>
      </c>
      <c r="AG661" s="37">
        <f>IF(AND(AG371&lt;=$I86,AG371&gt;$J86),Tarification!$D$8,IF(AND(AG371&lt;=$J86,AG371&gt;$K86),Tarification!$D$9,IF(AND(AG371&lt;=$K86,AG371&gt;0),Tarification!$D$10,0)))</f>
        <v>0</v>
      </c>
      <c r="AH661" s="37">
        <f>IF(AND(AH371&lt;=$I86,AH371&gt;$J86),Tarification!$D$8,IF(AND(AH371&lt;=$J86,AH371&gt;$K86),Tarification!$D$9,IF(AND(AH371&lt;=$K86,AH371&gt;0),Tarification!$D$10,0)))</f>
        <v>0</v>
      </c>
      <c r="AI661" s="37">
        <f>IF(AND(AI371&lt;=$I86,AI371&gt;$J86),Tarification!$D$8,IF(AND(AI371&lt;=$J86,AI371&gt;$K86),Tarification!$D$9,IF(AND(AI371&lt;=$K86,AI371&gt;0),Tarification!$D$10,0)))</f>
        <v>0</v>
      </c>
      <c r="AJ661" s="37">
        <f>IF(AND(AJ371&lt;=$I86,AJ371&gt;$J86),Tarification!$D$8,IF(AND(AJ371&lt;=$J86,AJ371&gt;$K86),Tarification!$D$9,IF(AND(AJ371&lt;=$K86,AJ371&gt;0),Tarification!$D$10,0)))</f>
        <v>0</v>
      </c>
      <c r="AK661" s="37">
        <f>IF(AND(AK371&lt;=$I86,AK371&gt;$J86),Tarification!$D$8,IF(AND(AK371&lt;=$J86,AK371&gt;$K86),Tarification!$D$9,IF(AND(AK371&lt;=$K86,AK371&gt;0),Tarification!$D$10,0)))</f>
        <v>0</v>
      </c>
      <c r="AL661" s="37">
        <f>IF(AND(AL371&lt;=$I86,AL371&gt;$J86),Tarification!$D$8,IF(AND(AL371&lt;=$J86,AL371&gt;$K86),Tarification!$D$9,IF(AND(AL371&lt;=$K86,AL371&gt;0),Tarification!$D$10,0)))</f>
        <v>0</v>
      </c>
      <c r="AM661" s="37">
        <f>IF(AND(AM371&lt;=$I86,AM371&gt;$J86),Tarification!$D$8,IF(AND(AM371&lt;=$J86,AM371&gt;$K86),Tarification!$D$9,IF(AND(AM371&lt;=$K86,AM371&gt;0),Tarification!$D$10,0)))</f>
        <v>0</v>
      </c>
      <c r="AN661" s="37">
        <f>IF(AND(AN371&lt;=$I86,AN371&gt;$J86),Tarification!$D$8,IF(AND(AN371&lt;=$J86,AN371&gt;$K86),Tarification!$D$9,IF(AND(AN371&lt;=$K86,AN371&gt;0),Tarification!$D$10,0)))</f>
        <v>0</v>
      </c>
      <c r="AQ661" s="101">
        <f t="shared" si="149"/>
        <v>0</v>
      </c>
    </row>
    <row r="662" spans="14:43" ht="15.6">
      <c r="N662" s="39" t="s">
        <v>26</v>
      </c>
      <c r="O662" s="39" t="s">
        <v>230</v>
      </c>
      <c r="P662" t="s">
        <v>696</v>
      </c>
      <c r="Q662" s="39"/>
      <c r="V662" s="37">
        <f>IF(AND(V372&lt;=$I87,V372&gt;$J87),Tarification!$D$8,IF(AND(V372&lt;=$J87,V372&gt;$K87),Tarification!$D$9,IF(AND(V372&lt;=$K87,V372&gt;0),Tarification!$D$10,0)))</f>
        <v>0</v>
      </c>
      <c r="W662" s="37">
        <f>IF(AND(W372&lt;=$I87,W372&gt;$J87),Tarification!$D$8,IF(AND(W372&lt;=$J87,W372&gt;$K87),Tarification!$D$9,IF(AND(W372&lt;=$K87,W372&gt;0),Tarification!$D$10,0)))</f>
        <v>50000</v>
      </c>
      <c r="X662" s="37">
        <f>IF(AND(X372&lt;=$I87,X372&gt;$J87),Tarification!$D$8,IF(AND(X372&lt;=$J87,X372&gt;$K87),Tarification!$D$9,IF(AND(X372&lt;=$K87,X372&gt;0),Tarification!$D$10,0)))</f>
        <v>0</v>
      </c>
      <c r="Y662" s="37">
        <f>IF(AND(Y372&lt;=$I87,Y372&gt;$J87),Tarification!$D$8,IF(AND(Y372&lt;=$J87,Y372&gt;$K87),Tarification!$D$9,IF(AND(Y372&lt;=$K87,Y372&gt;0),Tarification!$D$10,0)))</f>
        <v>0</v>
      </c>
      <c r="Z662" s="37">
        <f>IF(AND(Z372&lt;=$I87,Z372&gt;$J87),Tarification!$D$8,IF(AND(Z372&lt;=$J87,Z372&gt;$K87),Tarification!$D$9,IF(AND(Z372&lt;=$K87,Z372&gt;0),Tarification!$D$10,0)))</f>
        <v>0</v>
      </c>
      <c r="AA662" s="37">
        <f>IF(AND(AA372&lt;=$I87,AA372&gt;$J87),Tarification!$D$8,IF(AND(AA372&lt;=$J87,AA372&gt;$K87),Tarification!$D$9,IF(AND(AA372&lt;=$K87,AA372&gt;0),Tarification!$D$10,0)))</f>
        <v>0</v>
      </c>
      <c r="AB662" s="37">
        <f>IF(AND(AB372&lt;=$I87,AB372&gt;$J87),Tarification!$D$8,IF(AND(AB372&lt;=$J87,AB372&gt;$K87),Tarification!$D$9,IF(AND(AB372&lt;=$K87,AB372&gt;0),Tarification!$D$10,0)))</f>
        <v>0</v>
      </c>
      <c r="AC662" s="37">
        <f>IF(AND(AC372&lt;=$I87,AC372&gt;$J87),Tarification!$D$8,IF(AND(AC372&lt;=$J87,AC372&gt;$K87),Tarification!$D$9,IF(AND(AC372&lt;=$K87,AC372&gt;0),Tarification!$D$10,0)))</f>
        <v>0</v>
      </c>
      <c r="AD662" s="37">
        <f>IF(AND(AD372&lt;=$I87,AD372&gt;$J87),Tarification!$D$8,IF(AND(AD372&lt;=$J87,AD372&gt;$K87),Tarification!$D$9,IF(AND(AD372&lt;=$K87,AD372&gt;0),Tarification!$D$10,0)))</f>
        <v>0</v>
      </c>
      <c r="AE662" s="37">
        <f>IF(AND(AE372&lt;=$I87,AE372&gt;$J87),Tarification!$D$8,IF(AND(AE372&lt;=$J87,AE372&gt;$K87),Tarification!$D$9,IF(AND(AE372&lt;=$K87,AE372&gt;0),Tarification!$D$10,0)))</f>
        <v>50000</v>
      </c>
      <c r="AF662" s="37">
        <f>IF(AND(AF372&lt;=$I87,AF372&gt;$J87),Tarification!$D$8,IF(AND(AF372&lt;=$J87,AF372&gt;$K87),Tarification!$D$9,IF(AND(AF372&lt;=$K87,AF372&gt;0),Tarification!$D$10,0)))</f>
        <v>0</v>
      </c>
      <c r="AG662" s="37">
        <f>IF(AND(AG372&lt;=$I87,AG372&gt;$J87),Tarification!$D$8,IF(AND(AG372&lt;=$J87,AG372&gt;$K87),Tarification!$D$9,IF(AND(AG372&lt;=$K87,AG372&gt;0),Tarification!$D$10,0)))</f>
        <v>0</v>
      </c>
      <c r="AH662" s="37">
        <f>IF(AND(AH372&lt;=$I87,AH372&gt;$J87),Tarification!$D$8,IF(AND(AH372&lt;=$J87,AH372&gt;$K87),Tarification!$D$9,IF(AND(AH372&lt;=$K87,AH372&gt;0),Tarification!$D$10,0)))</f>
        <v>0</v>
      </c>
      <c r="AI662" s="37">
        <f>IF(AND(AI372&lt;=$I87,AI372&gt;$J87),Tarification!$D$8,IF(AND(AI372&lt;=$J87,AI372&gt;$K87),Tarification!$D$9,IF(AND(AI372&lt;=$K87,AI372&gt;0),Tarification!$D$10,0)))</f>
        <v>0</v>
      </c>
      <c r="AJ662" s="37">
        <f>IF(AND(AJ372&lt;=$I87,AJ372&gt;$J87),Tarification!$D$8,IF(AND(AJ372&lt;=$J87,AJ372&gt;$K87),Tarification!$D$9,IF(AND(AJ372&lt;=$K87,AJ372&gt;0),Tarification!$D$10,0)))</f>
        <v>0</v>
      </c>
      <c r="AK662" s="37">
        <f>IF(AND(AK372&lt;=$I87,AK372&gt;$J87),Tarification!$D$8,IF(AND(AK372&lt;=$J87,AK372&gt;$K87),Tarification!$D$9,IF(AND(AK372&lt;=$K87,AK372&gt;0),Tarification!$D$10,0)))</f>
        <v>0</v>
      </c>
      <c r="AL662" s="37">
        <f>IF(AND(AL372&lt;=$I87,AL372&gt;$J87),Tarification!$D$8,IF(AND(AL372&lt;=$J87,AL372&gt;$K87),Tarification!$D$9,IF(AND(AL372&lt;=$K87,AL372&gt;0),Tarification!$D$10,0)))</f>
        <v>0</v>
      </c>
      <c r="AM662" s="37">
        <f>IF(AND(AM372&lt;=$I87,AM372&gt;$J87),Tarification!$D$8,IF(AND(AM372&lt;=$J87,AM372&gt;$K87),Tarification!$D$9,IF(AND(AM372&lt;=$K87,AM372&gt;0),Tarification!$D$10,0)))</f>
        <v>0</v>
      </c>
      <c r="AN662" s="37">
        <f>IF(AND(AN372&lt;=$I87,AN372&gt;$J87),Tarification!$D$8,IF(AND(AN372&lt;=$J87,AN372&gt;$K87),Tarification!$D$9,IF(AND(AN372&lt;=$K87,AN372&gt;0),Tarification!$D$10,0)))</f>
        <v>50000</v>
      </c>
      <c r="AQ662" s="101">
        <f t="shared" si="149"/>
        <v>7894.7368421052633</v>
      </c>
    </row>
    <row r="663" spans="14:43" ht="15.6">
      <c r="N663" s="39" t="s">
        <v>26</v>
      </c>
      <c r="O663" s="39" t="s">
        <v>221</v>
      </c>
      <c r="P663" t="s">
        <v>697</v>
      </c>
      <c r="Q663" s="39"/>
      <c r="V663" s="37">
        <f>IF(AND(V373&lt;=$I88,V373&gt;$J88),Tarification!$D$8,IF(AND(V373&lt;=$J88,V373&gt;$K88),Tarification!$D$9,IF(AND(V373&lt;=$K88,V373&gt;0),Tarification!$D$10,0)))</f>
        <v>0</v>
      </c>
      <c r="W663" s="37">
        <f>IF(AND(W373&lt;=$I88,W373&gt;$J88),Tarification!$D$8,IF(AND(W373&lt;=$J88,W373&gt;$K88),Tarification!$D$9,IF(AND(W373&lt;=$K88,W373&gt;0),Tarification!$D$10,0)))</f>
        <v>50000</v>
      </c>
      <c r="X663" s="37">
        <f>IF(AND(X373&lt;=$I88,X373&gt;$J88),Tarification!$D$8,IF(AND(X373&lt;=$J88,X373&gt;$K88),Tarification!$D$9,IF(AND(X373&lt;=$K88,X373&gt;0),Tarification!$D$10,0)))</f>
        <v>0</v>
      </c>
      <c r="Y663" s="37">
        <f>IF(AND(Y373&lt;=$I88,Y373&gt;$J88),Tarification!$D$8,IF(AND(Y373&lt;=$J88,Y373&gt;$K88),Tarification!$D$9,IF(AND(Y373&lt;=$K88,Y373&gt;0),Tarification!$D$10,0)))</f>
        <v>0</v>
      </c>
      <c r="Z663" s="37">
        <f>IF(AND(Z373&lt;=$I88,Z373&gt;$J88),Tarification!$D$8,IF(AND(Z373&lt;=$J88,Z373&gt;$K88),Tarification!$D$9,IF(AND(Z373&lt;=$K88,Z373&gt;0),Tarification!$D$10,0)))</f>
        <v>0</v>
      </c>
      <c r="AA663" s="37">
        <f>IF(AND(AA373&lt;=$I88,AA373&gt;$J88),Tarification!$D$8,IF(AND(AA373&lt;=$J88,AA373&gt;$K88),Tarification!$D$9,IF(AND(AA373&lt;=$K88,AA373&gt;0),Tarification!$D$10,0)))</f>
        <v>0</v>
      </c>
      <c r="AB663" s="37">
        <f>IF(AND(AB373&lt;=$I88,AB373&gt;$J88),Tarification!$D$8,IF(AND(AB373&lt;=$J88,AB373&gt;$K88),Tarification!$D$9,IF(AND(AB373&lt;=$K88,AB373&gt;0),Tarification!$D$10,0)))</f>
        <v>0</v>
      </c>
      <c r="AC663" s="37">
        <f>IF(AND(AC373&lt;=$I88,AC373&gt;$J88),Tarification!$D$8,IF(AND(AC373&lt;=$J88,AC373&gt;$K88),Tarification!$D$9,IF(AND(AC373&lt;=$K88,AC373&gt;0),Tarification!$D$10,0)))</f>
        <v>0</v>
      </c>
      <c r="AD663" s="37">
        <f>IF(AND(AD373&lt;=$I88,AD373&gt;$J88),Tarification!$D$8,IF(AND(AD373&lt;=$J88,AD373&gt;$K88),Tarification!$D$9,IF(AND(AD373&lt;=$K88,AD373&gt;0),Tarification!$D$10,0)))</f>
        <v>0</v>
      </c>
      <c r="AE663" s="37">
        <f>IF(AND(AE373&lt;=$I88,AE373&gt;$J88),Tarification!$D$8,IF(AND(AE373&lt;=$J88,AE373&gt;$K88),Tarification!$D$9,IF(AND(AE373&lt;=$K88,AE373&gt;0),Tarification!$D$10,0)))</f>
        <v>50000</v>
      </c>
      <c r="AF663" s="37">
        <f>IF(AND(AF373&lt;=$I88,AF373&gt;$J88),Tarification!$D$8,IF(AND(AF373&lt;=$J88,AF373&gt;$K88),Tarification!$D$9,IF(AND(AF373&lt;=$K88,AF373&gt;0),Tarification!$D$10,0)))</f>
        <v>0</v>
      </c>
      <c r="AG663" s="37">
        <f>IF(AND(AG373&lt;=$I88,AG373&gt;$J88),Tarification!$D$8,IF(AND(AG373&lt;=$J88,AG373&gt;$K88),Tarification!$D$9,IF(AND(AG373&lt;=$K88,AG373&gt;0),Tarification!$D$10,0)))</f>
        <v>0</v>
      </c>
      <c r="AH663" s="37">
        <f>IF(AND(AH373&lt;=$I88,AH373&gt;$J88),Tarification!$D$8,IF(AND(AH373&lt;=$J88,AH373&gt;$K88),Tarification!$D$9,IF(AND(AH373&lt;=$K88,AH373&gt;0),Tarification!$D$10,0)))</f>
        <v>0</v>
      </c>
      <c r="AI663" s="37">
        <f>IF(AND(AI373&lt;=$I88,AI373&gt;$J88),Tarification!$D$8,IF(AND(AI373&lt;=$J88,AI373&gt;$K88),Tarification!$D$9,IF(AND(AI373&lt;=$K88,AI373&gt;0),Tarification!$D$10,0)))</f>
        <v>0</v>
      </c>
      <c r="AJ663" s="37">
        <f>IF(AND(AJ373&lt;=$I88,AJ373&gt;$J88),Tarification!$D$8,IF(AND(AJ373&lt;=$J88,AJ373&gt;$K88),Tarification!$D$9,IF(AND(AJ373&lt;=$K88,AJ373&gt;0),Tarification!$D$10,0)))</f>
        <v>0</v>
      </c>
      <c r="AK663" s="37">
        <f>IF(AND(AK373&lt;=$I88,AK373&gt;$J88),Tarification!$D$8,IF(AND(AK373&lt;=$J88,AK373&gt;$K88),Tarification!$D$9,IF(AND(AK373&lt;=$K88,AK373&gt;0),Tarification!$D$10,0)))</f>
        <v>0</v>
      </c>
      <c r="AL663" s="37">
        <f>IF(AND(AL373&lt;=$I88,AL373&gt;$J88),Tarification!$D$8,IF(AND(AL373&lt;=$J88,AL373&gt;$K88),Tarification!$D$9,IF(AND(AL373&lt;=$K88,AL373&gt;0),Tarification!$D$10,0)))</f>
        <v>0</v>
      </c>
      <c r="AM663" s="37">
        <f>IF(AND(AM373&lt;=$I88,AM373&gt;$J88),Tarification!$D$8,IF(AND(AM373&lt;=$J88,AM373&gt;$K88),Tarification!$D$9,IF(AND(AM373&lt;=$K88,AM373&gt;0),Tarification!$D$10,0)))</f>
        <v>0</v>
      </c>
      <c r="AN663" s="37">
        <f>IF(AND(AN373&lt;=$I88,AN373&gt;$J88),Tarification!$D$8,IF(AND(AN373&lt;=$J88,AN373&gt;$K88),Tarification!$D$9,IF(AND(AN373&lt;=$K88,AN373&gt;0),Tarification!$D$10,0)))</f>
        <v>0</v>
      </c>
      <c r="AQ663" s="101">
        <f t="shared" si="149"/>
        <v>5263.1578947368425</v>
      </c>
    </row>
    <row r="664" spans="14:43" ht="15.6">
      <c r="N664" s="39" t="s">
        <v>26</v>
      </c>
      <c r="O664" s="39" t="s">
        <v>475</v>
      </c>
      <c r="P664" s="89" t="s">
        <v>477</v>
      </c>
      <c r="Q664" s="39"/>
      <c r="V664" s="37">
        <f>IF(AND(V374&lt;=$I89,V374&gt;$J89),Tarification!$D$8,IF(AND(V374&lt;=$J89,V374&gt;$K89),Tarification!$D$9,IF(AND(V374&lt;=$K89,V374&gt;0),Tarification!$D$10,0)))</f>
        <v>0</v>
      </c>
      <c r="W664" s="37">
        <f>IF(AND(W374&lt;=$I89,W374&gt;$J89),Tarification!$D$8,IF(AND(W374&lt;=$J89,W374&gt;$K89),Tarification!$D$9,IF(AND(W374&lt;=$K89,W374&gt;0),Tarification!$D$10,0)))</f>
        <v>0</v>
      </c>
      <c r="X664" s="37">
        <f>IF(AND(X374&lt;=$I89,X374&gt;$J89),Tarification!$D$8,IF(AND(X374&lt;=$J89,X374&gt;$K89),Tarification!$D$9,IF(AND(X374&lt;=$K89,X374&gt;0),Tarification!$D$10,0)))</f>
        <v>0</v>
      </c>
      <c r="Y664" s="37">
        <f>IF(AND(Y374&lt;=$I89,Y374&gt;$J89),Tarification!$D$8,IF(AND(Y374&lt;=$J89,Y374&gt;$K89),Tarification!$D$9,IF(AND(Y374&lt;=$K89,Y374&gt;0),Tarification!$D$10,0)))</f>
        <v>0</v>
      </c>
      <c r="Z664" s="37">
        <f>IF(AND(Z374&lt;=$I89,Z374&gt;$J89),Tarification!$D$8,IF(AND(Z374&lt;=$J89,Z374&gt;$K89),Tarification!$D$9,IF(AND(Z374&lt;=$K89,Z374&gt;0),Tarification!$D$10,0)))</f>
        <v>0</v>
      </c>
      <c r="AA664" s="37">
        <f>IF(AND(AA374&lt;=$I89,AA374&gt;$J89),Tarification!$D$8,IF(AND(AA374&lt;=$J89,AA374&gt;$K89),Tarification!$D$9,IF(AND(AA374&lt;=$K89,AA374&gt;0),Tarification!$D$10,0)))</f>
        <v>0</v>
      </c>
      <c r="AB664" s="37">
        <f>IF(AND(AB374&lt;=$I89,AB374&gt;$J89),Tarification!$D$8,IF(AND(AB374&lt;=$J89,AB374&gt;$K89),Tarification!$D$9,IF(AND(AB374&lt;=$K89,AB374&gt;0),Tarification!$D$10,0)))</f>
        <v>0</v>
      </c>
      <c r="AC664" s="37">
        <f>IF(AND(AC374&lt;=$I89,AC374&gt;$J89),Tarification!$D$8,IF(AND(AC374&lt;=$J89,AC374&gt;$K89),Tarification!$D$9,IF(AND(AC374&lt;=$K89,AC374&gt;0),Tarification!$D$10,0)))</f>
        <v>0</v>
      </c>
      <c r="AD664" s="37">
        <f>IF(AND(AD374&lt;=$I89,AD374&gt;$J89),Tarification!$D$8,IF(AND(AD374&lt;=$J89,AD374&gt;$K89),Tarification!$D$9,IF(AND(AD374&lt;=$K89,AD374&gt;0),Tarification!$D$10,0)))</f>
        <v>0</v>
      </c>
      <c r="AE664" s="37">
        <f>IF(AND(AE374&lt;=$I89,AE374&gt;$J89),Tarification!$D$8,IF(AND(AE374&lt;=$J89,AE374&gt;$K89),Tarification!$D$9,IF(AND(AE374&lt;=$K89,AE374&gt;0),Tarification!$D$10,0)))</f>
        <v>50000</v>
      </c>
      <c r="AF664" s="37">
        <f>IF(AND(AF374&lt;=$I89,AF374&gt;$J89),Tarification!$D$8,IF(AND(AF374&lt;=$J89,AF374&gt;$K89),Tarification!$D$9,IF(AND(AF374&lt;=$K89,AF374&gt;0),Tarification!$D$10,0)))</f>
        <v>0</v>
      </c>
      <c r="AG664" s="37">
        <f>IF(AND(AG374&lt;=$I89,AG374&gt;$J89),Tarification!$D$8,IF(AND(AG374&lt;=$J89,AG374&gt;$K89),Tarification!$D$9,IF(AND(AG374&lt;=$K89,AG374&gt;0),Tarification!$D$10,0)))</f>
        <v>0</v>
      </c>
      <c r="AH664" s="37">
        <f>IF(AND(AH374&lt;=$I89,AH374&gt;$J89),Tarification!$D$8,IF(AND(AH374&lt;=$J89,AH374&gt;$K89),Tarification!$D$9,IF(AND(AH374&lt;=$K89,AH374&gt;0),Tarification!$D$10,0)))</f>
        <v>0</v>
      </c>
      <c r="AI664" s="37">
        <f>IF(AND(AI374&lt;=$I89,AI374&gt;$J89),Tarification!$D$8,IF(AND(AI374&lt;=$J89,AI374&gt;$K89),Tarification!$D$9,IF(AND(AI374&lt;=$K89,AI374&gt;0),Tarification!$D$10,0)))</f>
        <v>0</v>
      </c>
      <c r="AJ664" s="37">
        <f>IF(AND(AJ374&lt;=$I89,AJ374&gt;$J89),Tarification!$D$8,IF(AND(AJ374&lt;=$J89,AJ374&gt;$K89),Tarification!$D$9,IF(AND(AJ374&lt;=$K89,AJ374&gt;0),Tarification!$D$10,0)))</f>
        <v>0</v>
      </c>
      <c r="AK664" s="37">
        <f>IF(AND(AK374&lt;=$I89,AK374&gt;$J89),Tarification!$D$8,IF(AND(AK374&lt;=$J89,AK374&gt;$K89),Tarification!$D$9,IF(AND(AK374&lt;=$K89,AK374&gt;0),Tarification!$D$10,0)))</f>
        <v>0</v>
      </c>
      <c r="AL664" s="37">
        <f>IF(AND(AL374&lt;=$I89,AL374&gt;$J89),Tarification!$D$8,IF(AND(AL374&lt;=$J89,AL374&gt;$K89),Tarification!$D$9,IF(AND(AL374&lt;=$K89,AL374&gt;0),Tarification!$D$10,0)))</f>
        <v>0</v>
      </c>
      <c r="AM664" s="37">
        <f>IF(AND(AM374&lt;=$I89,AM374&gt;$J89),Tarification!$D$8,IF(AND(AM374&lt;=$J89,AM374&gt;$K89),Tarification!$D$9,IF(AND(AM374&lt;=$K89,AM374&gt;0),Tarification!$D$10,0)))</f>
        <v>0</v>
      </c>
      <c r="AN664" s="37">
        <f>IF(AND(AN374&lt;=$I89,AN374&gt;$J89),Tarification!$D$8,IF(AND(AN374&lt;=$J89,AN374&gt;$K89),Tarification!$D$9,IF(AND(AN374&lt;=$K89,AN374&gt;0),Tarification!$D$10,0)))</f>
        <v>50000</v>
      </c>
      <c r="AQ664" s="101">
        <f t="shared" si="149"/>
        <v>5263.1578947368425</v>
      </c>
    </row>
    <row r="665" spans="14:43" ht="15.6">
      <c r="N665" s="39" t="s">
        <v>26</v>
      </c>
      <c r="O665" s="39" t="s">
        <v>429</v>
      </c>
      <c r="P665" t="s">
        <v>698</v>
      </c>
      <c r="Q665" s="39"/>
      <c r="V665" s="37">
        <f>IF(AND(V375&lt;=$I90,V375&gt;$J90),Tarification!$D$8,IF(AND(V375&lt;=$J90,V375&gt;$K90),Tarification!$D$9,IF(AND(V375&lt;=$K90,V375&gt;0),Tarification!$D$10,0)))</f>
        <v>0</v>
      </c>
      <c r="W665" s="37">
        <f>IF(AND(W375&lt;=$I90,W375&gt;$J90),Tarification!$D$8,IF(AND(W375&lt;=$J90,W375&gt;$K90),Tarification!$D$9,IF(AND(W375&lt;=$K90,W375&gt;0),Tarification!$D$10,0)))</f>
        <v>0</v>
      </c>
      <c r="X665" s="37">
        <f>IF(AND(X375&lt;=$I90,X375&gt;$J90),Tarification!$D$8,IF(AND(X375&lt;=$J90,X375&gt;$K90),Tarification!$D$9,IF(AND(X375&lt;=$K90,X375&gt;0),Tarification!$D$10,0)))</f>
        <v>0</v>
      </c>
      <c r="Y665" s="37">
        <f>IF(AND(Y375&lt;=$I90,Y375&gt;$J90),Tarification!$D$8,IF(AND(Y375&lt;=$J90,Y375&gt;$K90),Tarification!$D$9,IF(AND(Y375&lt;=$K90,Y375&gt;0),Tarification!$D$10,0)))</f>
        <v>0</v>
      </c>
      <c r="Z665" s="37">
        <f>IF(AND(Z375&lt;=$I90,Z375&gt;$J90),Tarification!$D$8,IF(AND(Z375&lt;=$J90,Z375&gt;$K90),Tarification!$D$9,IF(AND(Z375&lt;=$K90,Z375&gt;0),Tarification!$D$10,0)))</f>
        <v>0</v>
      </c>
      <c r="AA665" s="37">
        <f>IF(AND(AA375&lt;=$I90,AA375&gt;$J90),Tarification!$D$8,IF(AND(AA375&lt;=$J90,AA375&gt;$K90),Tarification!$D$9,IF(AND(AA375&lt;=$K90,AA375&gt;0),Tarification!$D$10,0)))</f>
        <v>0</v>
      </c>
      <c r="AB665" s="37">
        <f>IF(AND(AB375&lt;=$I90,AB375&gt;$J90),Tarification!$D$8,IF(AND(AB375&lt;=$J90,AB375&gt;$K90),Tarification!$D$9,IF(AND(AB375&lt;=$K90,AB375&gt;0),Tarification!$D$10,0)))</f>
        <v>0</v>
      </c>
      <c r="AC665" s="37">
        <f>IF(AND(AC375&lt;=$I90,AC375&gt;$J90),Tarification!$D$8,IF(AND(AC375&lt;=$J90,AC375&gt;$K90),Tarification!$D$9,IF(AND(AC375&lt;=$K90,AC375&gt;0),Tarification!$D$10,0)))</f>
        <v>0</v>
      </c>
      <c r="AD665" s="37">
        <f>IF(AND(AD375&lt;=$I90,AD375&gt;$J90),Tarification!$D$8,IF(AND(AD375&lt;=$J90,AD375&gt;$K90),Tarification!$D$9,IF(AND(AD375&lt;=$K90,AD375&gt;0),Tarification!$D$10,0)))</f>
        <v>0</v>
      </c>
      <c r="AE665" s="37">
        <f>IF(AND(AE375&lt;=$I90,AE375&gt;$J90),Tarification!$D$8,IF(AND(AE375&lt;=$J90,AE375&gt;$K90),Tarification!$D$9,IF(AND(AE375&lt;=$K90,AE375&gt;0),Tarification!$D$10,0)))</f>
        <v>0</v>
      </c>
      <c r="AF665" s="37">
        <f>IF(AND(AF375&lt;=$I90,AF375&gt;$J90),Tarification!$D$8,IF(AND(AF375&lt;=$J90,AF375&gt;$K90),Tarification!$D$9,IF(AND(AF375&lt;=$K90,AF375&gt;0),Tarification!$D$10,0)))</f>
        <v>0</v>
      </c>
      <c r="AG665" s="37">
        <f>IF(AND(AG375&lt;=$I90,AG375&gt;$J90),Tarification!$D$8,IF(AND(AG375&lt;=$J90,AG375&gt;$K90),Tarification!$D$9,IF(AND(AG375&lt;=$K90,AG375&gt;0),Tarification!$D$10,0)))</f>
        <v>0</v>
      </c>
      <c r="AH665" s="37">
        <f>IF(AND(AH375&lt;=$I90,AH375&gt;$J90),Tarification!$D$8,IF(AND(AH375&lt;=$J90,AH375&gt;$K90),Tarification!$D$9,IF(AND(AH375&lt;=$K90,AH375&gt;0),Tarification!$D$10,0)))</f>
        <v>0</v>
      </c>
      <c r="AI665" s="37">
        <f>IF(AND(AI375&lt;=$I90,AI375&gt;$J90),Tarification!$D$8,IF(AND(AI375&lt;=$J90,AI375&gt;$K90),Tarification!$D$9,IF(AND(AI375&lt;=$K90,AI375&gt;0),Tarification!$D$10,0)))</f>
        <v>0</v>
      </c>
      <c r="AJ665" s="37">
        <f>IF(AND(AJ375&lt;=$I90,AJ375&gt;$J90),Tarification!$D$8,IF(AND(AJ375&lt;=$J90,AJ375&gt;$K90),Tarification!$D$9,IF(AND(AJ375&lt;=$K90,AJ375&gt;0),Tarification!$D$10,0)))</f>
        <v>0</v>
      </c>
      <c r="AK665" s="37">
        <f>IF(AND(AK375&lt;=$I90,AK375&gt;$J90),Tarification!$D$8,IF(AND(AK375&lt;=$J90,AK375&gt;$K90),Tarification!$D$9,IF(AND(AK375&lt;=$K90,AK375&gt;0),Tarification!$D$10,0)))</f>
        <v>0</v>
      </c>
      <c r="AL665" s="37">
        <f>IF(AND(AL375&lt;=$I90,AL375&gt;$J90),Tarification!$D$8,IF(AND(AL375&lt;=$J90,AL375&gt;$K90),Tarification!$D$9,IF(AND(AL375&lt;=$K90,AL375&gt;0),Tarification!$D$10,0)))</f>
        <v>0</v>
      </c>
      <c r="AM665" s="37">
        <f>IF(AND(AM375&lt;=$I90,AM375&gt;$J90),Tarification!$D$8,IF(AND(AM375&lt;=$J90,AM375&gt;$K90),Tarification!$D$9,IF(AND(AM375&lt;=$K90,AM375&gt;0),Tarification!$D$10,0)))</f>
        <v>0</v>
      </c>
      <c r="AN665" s="37">
        <f>IF(AND(AN375&lt;=$I90,AN375&gt;$J90),Tarification!$D$8,IF(AND(AN375&lt;=$J90,AN375&gt;$K90),Tarification!$D$9,IF(AND(AN375&lt;=$K90,AN375&gt;0),Tarification!$D$10,0)))</f>
        <v>0</v>
      </c>
      <c r="AQ665" s="101">
        <f t="shared" si="149"/>
        <v>0</v>
      </c>
    </row>
    <row r="666" spans="14:43" ht="15.6">
      <c r="N666" s="39" t="s">
        <v>26</v>
      </c>
      <c r="O666" s="39" t="s">
        <v>240</v>
      </c>
      <c r="P666" t="s">
        <v>699</v>
      </c>
      <c r="Q666" s="39"/>
      <c r="V666" s="37">
        <f>IF(AND(V376&lt;=$I91,V376&gt;$J91),Tarification!$D$8,IF(AND(V376&lt;=$J91,V376&gt;$K91),Tarification!$D$9,IF(AND(V376&lt;=$K91,V376&gt;0),Tarification!$D$10,0)))</f>
        <v>0</v>
      </c>
      <c r="W666" s="37">
        <f>IF(AND(W376&lt;=$I91,W376&gt;$J91),Tarification!$D$8,IF(AND(W376&lt;=$J91,W376&gt;$K91),Tarification!$D$9,IF(AND(W376&lt;=$K91,W376&gt;0),Tarification!$D$10,0)))</f>
        <v>0</v>
      </c>
      <c r="X666" s="37">
        <f>IF(AND(X376&lt;=$I91,X376&gt;$J91),Tarification!$D$8,IF(AND(X376&lt;=$J91,X376&gt;$K91),Tarification!$D$9,IF(AND(X376&lt;=$K91,X376&gt;0),Tarification!$D$10,0)))</f>
        <v>0</v>
      </c>
      <c r="Y666" s="37">
        <f>IF(AND(Y376&lt;=$I91,Y376&gt;$J91),Tarification!$D$8,IF(AND(Y376&lt;=$J91,Y376&gt;$K91),Tarification!$D$9,IF(AND(Y376&lt;=$K91,Y376&gt;0),Tarification!$D$10,0)))</f>
        <v>0</v>
      </c>
      <c r="Z666" s="37">
        <f>IF(AND(Z376&lt;=$I91,Z376&gt;$J91),Tarification!$D$8,IF(AND(Z376&lt;=$J91,Z376&gt;$K91),Tarification!$D$9,IF(AND(Z376&lt;=$K91,Z376&gt;0),Tarification!$D$10,0)))</f>
        <v>0</v>
      </c>
      <c r="AA666" s="37">
        <f>IF(AND(AA376&lt;=$I91,AA376&gt;$J91),Tarification!$D$8,IF(AND(AA376&lt;=$J91,AA376&gt;$K91),Tarification!$D$9,IF(AND(AA376&lt;=$K91,AA376&gt;0),Tarification!$D$10,0)))</f>
        <v>0</v>
      </c>
      <c r="AB666" s="37">
        <f>IF(AND(AB376&lt;=$I91,AB376&gt;$J91),Tarification!$D$8,IF(AND(AB376&lt;=$J91,AB376&gt;$K91),Tarification!$D$9,IF(AND(AB376&lt;=$K91,AB376&gt;0),Tarification!$D$10,0)))</f>
        <v>0</v>
      </c>
      <c r="AC666" s="37">
        <f>IF(AND(AC376&lt;=$I91,AC376&gt;$J91),Tarification!$D$8,IF(AND(AC376&lt;=$J91,AC376&gt;$K91),Tarification!$D$9,IF(AND(AC376&lt;=$K91,AC376&gt;0),Tarification!$D$10,0)))</f>
        <v>0</v>
      </c>
      <c r="AD666" s="37">
        <f>IF(AND(AD376&lt;=$I91,AD376&gt;$J91),Tarification!$D$8,IF(AND(AD376&lt;=$J91,AD376&gt;$K91),Tarification!$D$9,IF(AND(AD376&lt;=$K91,AD376&gt;0),Tarification!$D$10,0)))</f>
        <v>0</v>
      </c>
      <c r="AE666" s="37">
        <f>IF(AND(AE376&lt;=$I91,AE376&gt;$J91),Tarification!$D$8,IF(AND(AE376&lt;=$J91,AE376&gt;$K91),Tarification!$D$9,IF(AND(AE376&lt;=$K91,AE376&gt;0),Tarification!$D$10,0)))</f>
        <v>0</v>
      </c>
      <c r="AF666" s="37">
        <f>IF(AND(AF376&lt;=$I91,AF376&gt;$J91),Tarification!$D$8,IF(AND(AF376&lt;=$J91,AF376&gt;$K91),Tarification!$D$9,IF(AND(AF376&lt;=$K91,AF376&gt;0),Tarification!$D$10,0)))</f>
        <v>0</v>
      </c>
      <c r="AG666" s="37">
        <f>IF(AND(AG376&lt;=$I91,AG376&gt;$J91),Tarification!$D$8,IF(AND(AG376&lt;=$J91,AG376&gt;$K91),Tarification!$D$9,IF(AND(AG376&lt;=$K91,AG376&gt;0),Tarification!$D$10,0)))</f>
        <v>0</v>
      </c>
      <c r="AH666" s="37">
        <f>IF(AND(AH376&lt;=$I91,AH376&gt;$J91),Tarification!$D$8,IF(AND(AH376&lt;=$J91,AH376&gt;$K91),Tarification!$D$9,IF(AND(AH376&lt;=$K91,AH376&gt;0),Tarification!$D$10,0)))</f>
        <v>0</v>
      </c>
      <c r="AI666" s="37">
        <f>IF(AND(AI376&lt;=$I91,AI376&gt;$J91),Tarification!$D$8,IF(AND(AI376&lt;=$J91,AI376&gt;$K91),Tarification!$D$9,IF(AND(AI376&lt;=$K91,AI376&gt;0),Tarification!$D$10,0)))</f>
        <v>0</v>
      </c>
      <c r="AJ666" s="37">
        <f>IF(AND(AJ376&lt;=$I91,AJ376&gt;$J91),Tarification!$D$8,IF(AND(AJ376&lt;=$J91,AJ376&gt;$K91),Tarification!$D$9,IF(AND(AJ376&lt;=$K91,AJ376&gt;0),Tarification!$D$10,0)))</f>
        <v>0</v>
      </c>
      <c r="AK666" s="37">
        <f>IF(AND(AK376&lt;=$I91,AK376&gt;$J91),Tarification!$D$8,IF(AND(AK376&lt;=$J91,AK376&gt;$K91),Tarification!$D$9,IF(AND(AK376&lt;=$K91,AK376&gt;0),Tarification!$D$10,0)))</f>
        <v>0</v>
      </c>
      <c r="AL666" s="37">
        <f>IF(AND(AL376&lt;=$I91,AL376&gt;$J91),Tarification!$D$8,IF(AND(AL376&lt;=$J91,AL376&gt;$K91),Tarification!$D$9,IF(AND(AL376&lt;=$K91,AL376&gt;0),Tarification!$D$10,0)))</f>
        <v>0</v>
      </c>
      <c r="AM666" s="37">
        <f>IF(AND(AM376&lt;=$I91,AM376&gt;$J91),Tarification!$D$8,IF(AND(AM376&lt;=$J91,AM376&gt;$K91),Tarification!$D$9,IF(AND(AM376&lt;=$K91,AM376&gt;0),Tarification!$D$10,0)))</f>
        <v>0</v>
      </c>
      <c r="AN666" s="37">
        <f>IF(AND(AN376&lt;=$I91,AN376&gt;$J91),Tarification!$D$8,IF(AND(AN376&lt;=$J91,AN376&gt;$K91),Tarification!$D$9,IF(AND(AN376&lt;=$K91,AN376&gt;0),Tarification!$D$10,0)))</f>
        <v>0</v>
      </c>
      <c r="AQ666" s="101">
        <f t="shared" si="149"/>
        <v>0</v>
      </c>
    </row>
    <row r="667" spans="14:43" ht="15.6">
      <c r="N667" s="39" t="s">
        <v>26</v>
      </c>
      <c r="O667" s="39" t="s">
        <v>273</v>
      </c>
      <c r="P667" s="89" t="s">
        <v>277</v>
      </c>
      <c r="Q667" s="39"/>
      <c r="V667" s="37">
        <f>IF(AND(V377&lt;=$I92,V377&gt;$J92),Tarification!$D$8,IF(AND(V377&lt;=$J92,V377&gt;$K92),Tarification!$D$9,IF(AND(V377&lt;=$K92,V377&gt;0),Tarification!$D$10,0)))</f>
        <v>0</v>
      </c>
      <c r="W667" s="37">
        <f>IF(AND(W377&lt;=$I92,W377&gt;$J92),Tarification!$D$8,IF(AND(W377&lt;=$J92,W377&gt;$K92),Tarification!$D$9,IF(AND(W377&lt;=$K92,W377&gt;0),Tarification!$D$10,0)))</f>
        <v>125000</v>
      </c>
      <c r="X667" s="37">
        <f>IF(AND(X377&lt;=$I92,X377&gt;$J92),Tarification!$D$8,IF(AND(X377&lt;=$J92,X377&gt;$K92),Tarification!$D$9,IF(AND(X377&lt;=$K92,X377&gt;0),Tarification!$D$10,0)))</f>
        <v>0</v>
      </c>
      <c r="Y667" s="37">
        <f>IF(AND(Y377&lt;=$I92,Y377&gt;$J92),Tarification!$D$8,IF(AND(Y377&lt;=$J92,Y377&gt;$K92),Tarification!$D$9,IF(AND(Y377&lt;=$K92,Y377&gt;0),Tarification!$D$10,0)))</f>
        <v>0</v>
      </c>
      <c r="Z667" s="37">
        <f>IF(AND(Z377&lt;=$I92,Z377&gt;$J92),Tarification!$D$8,IF(AND(Z377&lt;=$J92,Z377&gt;$K92),Tarification!$D$9,IF(AND(Z377&lt;=$K92,Z377&gt;0),Tarification!$D$10,0)))</f>
        <v>0</v>
      </c>
      <c r="AA667" s="37">
        <f>IF(AND(AA377&lt;=$I92,AA377&gt;$J92),Tarification!$D$8,IF(AND(AA377&lt;=$J92,AA377&gt;$K92),Tarification!$D$9,IF(AND(AA377&lt;=$K92,AA377&gt;0),Tarification!$D$10,0)))</f>
        <v>0</v>
      </c>
      <c r="AB667" s="37">
        <f>IF(AND(AB377&lt;=$I92,AB377&gt;$J92),Tarification!$D$8,IF(AND(AB377&lt;=$J92,AB377&gt;$K92),Tarification!$D$9,IF(AND(AB377&lt;=$K92,AB377&gt;0),Tarification!$D$10,0)))</f>
        <v>0</v>
      </c>
      <c r="AC667" s="37">
        <f>IF(AND(AC377&lt;=$I92,AC377&gt;$J92),Tarification!$D$8,IF(AND(AC377&lt;=$J92,AC377&gt;$K92),Tarification!$D$9,IF(AND(AC377&lt;=$K92,AC377&gt;0),Tarification!$D$10,0)))</f>
        <v>0</v>
      </c>
      <c r="AD667" s="37">
        <f>IF(AND(AD377&lt;=$I92,AD377&gt;$J92),Tarification!$D$8,IF(AND(AD377&lt;=$J92,AD377&gt;$K92),Tarification!$D$9,IF(AND(AD377&lt;=$K92,AD377&gt;0),Tarification!$D$10,0)))</f>
        <v>0</v>
      </c>
      <c r="AE667" s="37">
        <f>IF(AND(AE377&lt;=$I92,AE377&gt;$J92),Tarification!$D$8,IF(AND(AE377&lt;=$J92,AE377&gt;$K92),Tarification!$D$9,IF(AND(AE377&lt;=$K92,AE377&gt;0),Tarification!$D$10,0)))</f>
        <v>125000</v>
      </c>
      <c r="AF667" s="37">
        <f>IF(AND(AF377&lt;=$I92,AF377&gt;$J92),Tarification!$D$8,IF(AND(AF377&lt;=$J92,AF377&gt;$K92),Tarification!$D$9,IF(AND(AF377&lt;=$K92,AF377&gt;0),Tarification!$D$10,0)))</f>
        <v>50000</v>
      </c>
      <c r="AG667" s="37">
        <f>IF(AND(AG377&lt;=$I92,AG377&gt;$J92),Tarification!$D$8,IF(AND(AG377&lt;=$J92,AG377&gt;$K92),Tarification!$D$9,IF(AND(AG377&lt;=$K92,AG377&gt;0),Tarification!$D$10,0)))</f>
        <v>0</v>
      </c>
      <c r="AH667" s="37">
        <f>IF(AND(AH377&lt;=$I92,AH377&gt;$J92),Tarification!$D$8,IF(AND(AH377&lt;=$J92,AH377&gt;$K92),Tarification!$D$9,IF(AND(AH377&lt;=$K92,AH377&gt;0),Tarification!$D$10,0)))</f>
        <v>0</v>
      </c>
      <c r="AI667" s="37">
        <f>IF(AND(AI377&lt;=$I92,AI377&gt;$J92),Tarification!$D$8,IF(AND(AI377&lt;=$J92,AI377&gt;$K92),Tarification!$D$9,IF(AND(AI377&lt;=$K92,AI377&gt;0),Tarification!$D$10,0)))</f>
        <v>125000</v>
      </c>
      <c r="AJ667" s="37">
        <f>IF(AND(AJ377&lt;=$I92,AJ377&gt;$J92),Tarification!$D$8,IF(AND(AJ377&lt;=$J92,AJ377&gt;$K92),Tarification!$D$9,IF(AND(AJ377&lt;=$K92,AJ377&gt;0),Tarification!$D$10,0)))</f>
        <v>0</v>
      </c>
      <c r="AK667" s="37">
        <f>IF(AND(AK377&lt;=$I92,AK377&gt;$J92),Tarification!$D$8,IF(AND(AK377&lt;=$J92,AK377&gt;$K92),Tarification!$D$9,IF(AND(AK377&lt;=$K92,AK377&gt;0),Tarification!$D$10,0)))</f>
        <v>0</v>
      </c>
      <c r="AL667" s="37">
        <f>IF(AND(AL377&lt;=$I92,AL377&gt;$J92),Tarification!$D$8,IF(AND(AL377&lt;=$J92,AL377&gt;$K92),Tarification!$D$9,IF(AND(AL377&lt;=$K92,AL377&gt;0),Tarification!$D$10,0)))</f>
        <v>0</v>
      </c>
      <c r="AM667" s="37">
        <f>IF(AND(AM377&lt;=$I92,AM377&gt;$J92),Tarification!$D$8,IF(AND(AM377&lt;=$J92,AM377&gt;$K92),Tarification!$D$9,IF(AND(AM377&lt;=$K92,AM377&gt;0),Tarification!$D$10,0)))</f>
        <v>0</v>
      </c>
      <c r="AN667" s="37">
        <f>IF(AND(AN377&lt;=$I92,AN377&gt;$J92),Tarification!$D$8,IF(AND(AN377&lt;=$J92,AN377&gt;$K92),Tarification!$D$9,IF(AND(AN377&lt;=$K92,AN377&gt;0),Tarification!$D$10,0)))</f>
        <v>0</v>
      </c>
      <c r="AQ667" s="101">
        <f t="shared" si="149"/>
        <v>22368.42105263158</v>
      </c>
    </row>
    <row r="668" spans="14:43" ht="15.6">
      <c r="N668" s="39" t="s">
        <v>26</v>
      </c>
      <c r="O668" s="39" t="s">
        <v>498</v>
      </c>
      <c r="P668" s="90" t="s">
        <v>504</v>
      </c>
      <c r="Q668" s="39"/>
      <c r="V668" s="37">
        <f>IF(AND(V378&lt;=$I93,V378&gt;$J93),Tarification!$D$8,IF(AND(V378&lt;=$J93,V378&gt;$K93),Tarification!$D$9,IF(AND(V378&lt;=$K93,V378&gt;0),Tarification!$D$10,0)))</f>
        <v>0</v>
      </c>
      <c r="W668" s="37">
        <f>IF(AND(W378&lt;=$I93,W378&gt;$J93),Tarification!$D$8,IF(AND(W378&lt;=$J93,W378&gt;$K93),Tarification!$D$9,IF(AND(W378&lt;=$K93,W378&gt;0),Tarification!$D$10,0)))</f>
        <v>0</v>
      </c>
      <c r="X668" s="37">
        <f>IF(AND(X378&lt;=$I93,X378&gt;$J93),Tarification!$D$8,IF(AND(X378&lt;=$J93,X378&gt;$K93),Tarification!$D$9,IF(AND(X378&lt;=$K93,X378&gt;0),Tarification!$D$10,0)))</f>
        <v>0</v>
      </c>
      <c r="Y668" s="37">
        <f>IF(AND(Y378&lt;=$I93,Y378&gt;$J93),Tarification!$D$8,IF(AND(Y378&lt;=$J93,Y378&gt;$K93),Tarification!$D$9,IF(AND(Y378&lt;=$K93,Y378&gt;0),Tarification!$D$10,0)))</f>
        <v>0</v>
      </c>
      <c r="Z668" s="37">
        <f>IF(AND(Z378&lt;=$I93,Z378&gt;$J93),Tarification!$D$8,IF(AND(Z378&lt;=$J93,Z378&gt;$K93),Tarification!$D$9,IF(AND(Z378&lt;=$K93,Z378&gt;0),Tarification!$D$10,0)))</f>
        <v>0</v>
      </c>
      <c r="AA668" s="37">
        <f>IF(AND(AA378&lt;=$I93,AA378&gt;$J93),Tarification!$D$8,IF(AND(AA378&lt;=$J93,AA378&gt;$K93),Tarification!$D$9,IF(AND(AA378&lt;=$K93,AA378&gt;0),Tarification!$D$10,0)))</f>
        <v>0</v>
      </c>
      <c r="AB668" s="37">
        <f>IF(AND(AB378&lt;=$I93,AB378&gt;$J93),Tarification!$D$8,IF(AND(AB378&lt;=$J93,AB378&gt;$K93),Tarification!$D$9,IF(AND(AB378&lt;=$K93,AB378&gt;0),Tarification!$D$10,0)))</f>
        <v>0</v>
      </c>
      <c r="AC668" s="37">
        <f>IF(AND(AC378&lt;=$I93,AC378&gt;$J93),Tarification!$D$8,IF(AND(AC378&lt;=$J93,AC378&gt;$K93),Tarification!$D$9,IF(AND(AC378&lt;=$K93,AC378&gt;0),Tarification!$D$10,0)))</f>
        <v>0</v>
      </c>
      <c r="AD668" s="37">
        <f>IF(AND(AD378&lt;=$I93,AD378&gt;$J93),Tarification!$D$8,IF(AND(AD378&lt;=$J93,AD378&gt;$K93),Tarification!$D$9,IF(AND(AD378&lt;=$K93,AD378&gt;0),Tarification!$D$10,0)))</f>
        <v>0</v>
      </c>
      <c r="AE668" s="37">
        <f>IF(AND(AE378&lt;=$I93,AE378&gt;$J93),Tarification!$D$8,IF(AND(AE378&lt;=$J93,AE378&gt;$K93),Tarification!$D$9,IF(AND(AE378&lt;=$K93,AE378&gt;0),Tarification!$D$10,0)))</f>
        <v>0</v>
      </c>
      <c r="AF668" s="37">
        <f>IF(AND(AF378&lt;=$I93,AF378&gt;$J93),Tarification!$D$8,IF(AND(AF378&lt;=$J93,AF378&gt;$K93),Tarification!$D$9,IF(AND(AF378&lt;=$K93,AF378&gt;0),Tarification!$D$10,0)))</f>
        <v>0</v>
      </c>
      <c r="AG668" s="37">
        <f>IF(AND(AG378&lt;=$I93,AG378&gt;$J93),Tarification!$D$8,IF(AND(AG378&lt;=$J93,AG378&gt;$K93),Tarification!$D$9,IF(AND(AG378&lt;=$K93,AG378&gt;0),Tarification!$D$10,0)))</f>
        <v>0</v>
      </c>
      <c r="AH668" s="37">
        <f>IF(AND(AH378&lt;=$I93,AH378&gt;$J93),Tarification!$D$8,IF(AND(AH378&lt;=$J93,AH378&gt;$K93),Tarification!$D$9,IF(AND(AH378&lt;=$K93,AH378&gt;0),Tarification!$D$10,0)))</f>
        <v>0</v>
      </c>
      <c r="AI668" s="37">
        <f>IF(AND(AI378&lt;=$I93,AI378&gt;$J93),Tarification!$D$8,IF(AND(AI378&lt;=$J93,AI378&gt;$K93),Tarification!$D$9,IF(AND(AI378&lt;=$K93,AI378&gt;0),Tarification!$D$10,0)))</f>
        <v>0</v>
      </c>
      <c r="AJ668" s="37">
        <f>IF(AND(AJ378&lt;=$I93,AJ378&gt;$J93),Tarification!$D$8,IF(AND(AJ378&lt;=$J93,AJ378&gt;$K93),Tarification!$D$9,IF(AND(AJ378&lt;=$K93,AJ378&gt;0),Tarification!$D$10,0)))</f>
        <v>0</v>
      </c>
      <c r="AK668" s="37">
        <f>IF(AND(AK378&lt;=$I93,AK378&gt;$J93),Tarification!$D$8,IF(AND(AK378&lt;=$J93,AK378&gt;$K93),Tarification!$D$9,IF(AND(AK378&lt;=$K93,AK378&gt;0),Tarification!$D$10,0)))</f>
        <v>0</v>
      </c>
      <c r="AL668" s="37">
        <f>IF(AND(AL378&lt;=$I93,AL378&gt;$J93),Tarification!$D$8,IF(AND(AL378&lt;=$J93,AL378&gt;$K93),Tarification!$D$9,IF(AND(AL378&lt;=$K93,AL378&gt;0),Tarification!$D$10,0)))</f>
        <v>0</v>
      </c>
      <c r="AM668" s="37">
        <f>IF(AND(AM378&lt;=$I93,AM378&gt;$J93),Tarification!$D$8,IF(AND(AM378&lt;=$J93,AM378&gt;$K93),Tarification!$D$9,IF(AND(AM378&lt;=$K93,AM378&gt;0),Tarification!$D$10,0)))</f>
        <v>0</v>
      </c>
      <c r="AN668" s="37">
        <f>IF(AND(AN378&lt;=$I93,AN378&gt;$J93),Tarification!$D$8,IF(AND(AN378&lt;=$J93,AN378&gt;$K93),Tarification!$D$9,IF(AND(AN378&lt;=$K93,AN378&gt;0),Tarification!$D$10,0)))</f>
        <v>0</v>
      </c>
      <c r="AQ668" s="101">
        <f t="shared" si="149"/>
        <v>0</v>
      </c>
    </row>
    <row r="669" spans="14:43" ht="15.6">
      <c r="N669" s="39" t="s">
        <v>26</v>
      </c>
      <c r="O669" s="39" t="s">
        <v>262</v>
      </c>
      <c r="P669" t="s">
        <v>700</v>
      </c>
      <c r="Q669" s="39"/>
      <c r="V669" s="37">
        <f>IF(AND(V379&lt;=$I94,V379&gt;$J94),Tarification!$D$8,IF(AND(V379&lt;=$J94,V379&gt;$K94),Tarification!$D$9,IF(AND(V379&lt;=$K94,V379&gt;0),Tarification!$D$10,0)))</f>
        <v>0</v>
      </c>
      <c r="W669" s="37">
        <f>IF(AND(W379&lt;=$I94,W379&gt;$J94),Tarification!$D$8,IF(AND(W379&lt;=$J94,W379&gt;$K94),Tarification!$D$9,IF(AND(W379&lt;=$K94,W379&gt;0),Tarification!$D$10,0)))</f>
        <v>0</v>
      </c>
      <c r="X669" s="37">
        <f>IF(AND(X379&lt;=$I94,X379&gt;$J94),Tarification!$D$8,IF(AND(X379&lt;=$J94,X379&gt;$K94),Tarification!$D$9,IF(AND(X379&lt;=$K94,X379&gt;0),Tarification!$D$10,0)))</f>
        <v>0</v>
      </c>
      <c r="Y669" s="37">
        <f>IF(AND(Y379&lt;=$I94,Y379&gt;$J94),Tarification!$D$8,IF(AND(Y379&lt;=$J94,Y379&gt;$K94),Tarification!$D$9,IF(AND(Y379&lt;=$K94,Y379&gt;0),Tarification!$D$10,0)))</f>
        <v>0</v>
      </c>
      <c r="Z669" s="37">
        <f>IF(AND(Z379&lt;=$I94,Z379&gt;$J94),Tarification!$D$8,IF(AND(Z379&lt;=$J94,Z379&gt;$K94),Tarification!$D$9,IF(AND(Z379&lt;=$K94,Z379&gt;0),Tarification!$D$10,0)))</f>
        <v>0</v>
      </c>
      <c r="AA669" s="37">
        <f>IF(AND(AA379&lt;=$I94,AA379&gt;$J94),Tarification!$D$8,IF(AND(AA379&lt;=$J94,AA379&gt;$K94),Tarification!$D$9,IF(AND(AA379&lt;=$K94,AA379&gt;0),Tarification!$D$10,0)))</f>
        <v>0</v>
      </c>
      <c r="AB669" s="37">
        <f>IF(AND(AB379&lt;=$I94,AB379&gt;$J94),Tarification!$D$8,IF(AND(AB379&lt;=$J94,AB379&gt;$K94),Tarification!$D$9,IF(AND(AB379&lt;=$K94,AB379&gt;0),Tarification!$D$10,0)))</f>
        <v>0</v>
      </c>
      <c r="AC669" s="37">
        <f>IF(AND(AC379&lt;=$I94,AC379&gt;$J94),Tarification!$D$8,IF(AND(AC379&lt;=$J94,AC379&gt;$K94),Tarification!$D$9,IF(AND(AC379&lt;=$K94,AC379&gt;0),Tarification!$D$10,0)))</f>
        <v>0</v>
      </c>
      <c r="AD669" s="37">
        <f>IF(AND(AD379&lt;=$I94,AD379&gt;$J94),Tarification!$D$8,IF(AND(AD379&lt;=$J94,AD379&gt;$K94),Tarification!$D$9,IF(AND(AD379&lt;=$K94,AD379&gt;0),Tarification!$D$10,0)))</f>
        <v>0</v>
      </c>
      <c r="AE669" s="37">
        <f>IF(AND(AE379&lt;=$I94,AE379&gt;$J94),Tarification!$D$8,IF(AND(AE379&lt;=$J94,AE379&gt;$K94),Tarification!$D$9,IF(AND(AE379&lt;=$K94,AE379&gt;0),Tarification!$D$10,0)))</f>
        <v>0</v>
      </c>
      <c r="AF669" s="37">
        <f>IF(AND(AF379&lt;=$I94,AF379&gt;$J94),Tarification!$D$8,IF(AND(AF379&lt;=$J94,AF379&gt;$K94),Tarification!$D$9,IF(AND(AF379&lt;=$K94,AF379&gt;0),Tarification!$D$10,0)))</f>
        <v>0</v>
      </c>
      <c r="AG669" s="37">
        <f>IF(AND(AG379&lt;=$I94,AG379&gt;$J94),Tarification!$D$8,IF(AND(AG379&lt;=$J94,AG379&gt;$K94),Tarification!$D$9,IF(AND(AG379&lt;=$K94,AG379&gt;0),Tarification!$D$10,0)))</f>
        <v>0</v>
      </c>
      <c r="AH669" s="37">
        <f>IF(AND(AH379&lt;=$I94,AH379&gt;$J94),Tarification!$D$8,IF(AND(AH379&lt;=$J94,AH379&gt;$K94),Tarification!$D$9,IF(AND(AH379&lt;=$K94,AH379&gt;0),Tarification!$D$10,0)))</f>
        <v>0</v>
      </c>
      <c r="AI669" s="37">
        <f>IF(AND(AI379&lt;=$I94,AI379&gt;$J94),Tarification!$D$8,IF(AND(AI379&lt;=$J94,AI379&gt;$K94),Tarification!$D$9,IF(AND(AI379&lt;=$K94,AI379&gt;0),Tarification!$D$10,0)))</f>
        <v>0</v>
      </c>
      <c r="AJ669" s="37">
        <f>IF(AND(AJ379&lt;=$I94,AJ379&gt;$J94),Tarification!$D$8,IF(AND(AJ379&lt;=$J94,AJ379&gt;$K94),Tarification!$D$9,IF(AND(AJ379&lt;=$K94,AJ379&gt;0),Tarification!$D$10,0)))</f>
        <v>0</v>
      </c>
      <c r="AK669" s="37">
        <f>IF(AND(AK379&lt;=$I94,AK379&gt;$J94),Tarification!$D$8,IF(AND(AK379&lt;=$J94,AK379&gt;$K94),Tarification!$D$9,IF(AND(AK379&lt;=$K94,AK379&gt;0),Tarification!$D$10,0)))</f>
        <v>0</v>
      </c>
      <c r="AL669" s="37">
        <f>IF(AND(AL379&lt;=$I94,AL379&gt;$J94),Tarification!$D$8,IF(AND(AL379&lt;=$J94,AL379&gt;$K94),Tarification!$D$9,IF(AND(AL379&lt;=$K94,AL379&gt;0),Tarification!$D$10,0)))</f>
        <v>0</v>
      </c>
      <c r="AM669" s="37">
        <f>IF(AND(AM379&lt;=$I94,AM379&gt;$J94),Tarification!$D$8,IF(AND(AM379&lt;=$J94,AM379&gt;$K94),Tarification!$D$9,IF(AND(AM379&lt;=$K94,AM379&gt;0),Tarification!$D$10,0)))</f>
        <v>0</v>
      </c>
      <c r="AN669" s="37">
        <f>IF(AND(AN379&lt;=$I94,AN379&gt;$J94),Tarification!$D$8,IF(AND(AN379&lt;=$J94,AN379&gt;$K94),Tarification!$D$9,IF(AND(AN379&lt;=$K94,AN379&gt;0),Tarification!$D$10,0)))</f>
        <v>0</v>
      </c>
      <c r="AQ669" s="101">
        <f t="shared" si="149"/>
        <v>0</v>
      </c>
    </row>
    <row r="670" spans="14:43" ht="15.6">
      <c r="N670" s="39" t="s">
        <v>26</v>
      </c>
      <c r="O670" s="39" t="s">
        <v>257</v>
      </c>
      <c r="P670" t="s">
        <v>261</v>
      </c>
      <c r="Q670" s="39"/>
      <c r="V670" s="37">
        <f>IF(AND(V380&lt;=$I95,V380&gt;$J95),Tarification!$D$8,IF(AND(V380&lt;=$J95,V380&gt;$K95),Tarification!$D$9,IF(AND(V380&lt;=$K95,V380&gt;0),Tarification!$D$10,0)))</f>
        <v>0</v>
      </c>
      <c r="W670" s="37">
        <f>IF(AND(W380&lt;=$I95,W380&gt;$J95),Tarification!$D$8,IF(AND(W380&lt;=$J95,W380&gt;$K95),Tarification!$D$9,IF(AND(W380&lt;=$K95,W380&gt;0),Tarification!$D$10,0)))</f>
        <v>0</v>
      </c>
      <c r="X670" s="37">
        <f>IF(AND(X380&lt;=$I95,X380&gt;$J95),Tarification!$D$8,IF(AND(X380&lt;=$J95,X380&gt;$K95),Tarification!$D$9,IF(AND(X380&lt;=$K95,X380&gt;0),Tarification!$D$10,0)))</f>
        <v>0</v>
      </c>
      <c r="Y670" s="37">
        <f>IF(AND(Y380&lt;=$I95,Y380&gt;$J95),Tarification!$D$8,IF(AND(Y380&lt;=$J95,Y380&gt;$K95),Tarification!$D$9,IF(AND(Y380&lt;=$K95,Y380&gt;0),Tarification!$D$10,0)))</f>
        <v>0</v>
      </c>
      <c r="Z670" s="37">
        <f>IF(AND(Z380&lt;=$I95,Z380&gt;$J95),Tarification!$D$8,IF(AND(Z380&lt;=$J95,Z380&gt;$K95),Tarification!$D$9,IF(AND(Z380&lt;=$K95,Z380&gt;0),Tarification!$D$10,0)))</f>
        <v>0</v>
      </c>
      <c r="AA670" s="37">
        <f>IF(AND(AA380&lt;=$I95,AA380&gt;$J95),Tarification!$D$8,IF(AND(AA380&lt;=$J95,AA380&gt;$K95),Tarification!$D$9,IF(AND(AA380&lt;=$K95,AA380&gt;0),Tarification!$D$10,0)))</f>
        <v>0</v>
      </c>
      <c r="AB670" s="37">
        <f>IF(AND(AB380&lt;=$I95,AB380&gt;$J95),Tarification!$D$8,IF(AND(AB380&lt;=$J95,AB380&gt;$K95),Tarification!$D$9,IF(AND(AB380&lt;=$K95,AB380&gt;0),Tarification!$D$10,0)))</f>
        <v>0</v>
      </c>
      <c r="AC670" s="37">
        <f>IF(AND(AC380&lt;=$I95,AC380&gt;$J95),Tarification!$D$8,IF(AND(AC380&lt;=$J95,AC380&gt;$K95),Tarification!$D$9,IF(AND(AC380&lt;=$K95,AC380&gt;0),Tarification!$D$10,0)))</f>
        <v>0</v>
      </c>
      <c r="AD670" s="37">
        <f>IF(AND(AD380&lt;=$I95,AD380&gt;$J95),Tarification!$D$8,IF(AND(AD380&lt;=$J95,AD380&gt;$K95),Tarification!$D$9,IF(AND(AD380&lt;=$K95,AD380&gt;0),Tarification!$D$10,0)))</f>
        <v>0</v>
      </c>
      <c r="AE670" s="37">
        <f>IF(AND(AE380&lt;=$I95,AE380&gt;$J95),Tarification!$D$8,IF(AND(AE380&lt;=$J95,AE380&gt;$K95),Tarification!$D$9,IF(AND(AE380&lt;=$K95,AE380&gt;0),Tarification!$D$10,0)))</f>
        <v>0</v>
      </c>
      <c r="AF670" s="37">
        <f>IF(AND(AF380&lt;=$I95,AF380&gt;$J95),Tarification!$D$8,IF(AND(AF380&lt;=$J95,AF380&gt;$K95),Tarification!$D$9,IF(AND(AF380&lt;=$K95,AF380&gt;0),Tarification!$D$10,0)))</f>
        <v>0</v>
      </c>
      <c r="AG670" s="37">
        <f>IF(AND(AG380&lt;=$I95,AG380&gt;$J95),Tarification!$D$8,IF(AND(AG380&lt;=$J95,AG380&gt;$K95),Tarification!$D$9,IF(AND(AG380&lt;=$K95,AG380&gt;0),Tarification!$D$10,0)))</f>
        <v>0</v>
      </c>
      <c r="AH670" s="37">
        <f>IF(AND(AH380&lt;=$I95,AH380&gt;$J95),Tarification!$D$8,IF(AND(AH380&lt;=$J95,AH380&gt;$K95),Tarification!$D$9,IF(AND(AH380&lt;=$K95,AH380&gt;0),Tarification!$D$10,0)))</f>
        <v>0</v>
      </c>
      <c r="AI670" s="37">
        <f>IF(AND(AI380&lt;=$I95,AI380&gt;$J95),Tarification!$D$8,IF(AND(AI380&lt;=$J95,AI380&gt;$K95),Tarification!$D$9,IF(AND(AI380&lt;=$K95,AI380&gt;0),Tarification!$D$10,0)))</f>
        <v>0</v>
      </c>
      <c r="AJ670" s="37">
        <f>IF(AND(AJ380&lt;=$I95,AJ380&gt;$J95),Tarification!$D$8,IF(AND(AJ380&lt;=$J95,AJ380&gt;$K95),Tarification!$D$9,IF(AND(AJ380&lt;=$K95,AJ380&gt;0),Tarification!$D$10,0)))</f>
        <v>0</v>
      </c>
      <c r="AK670" s="37">
        <f>IF(AND(AK380&lt;=$I95,AK380&gt;$J95),Tarification!$D$8,IF(AND(AK380&lt;=$J95,AK380&gt;$K95),Tarification!$D$9,IF(AND(AK380&lt;=$K95,AK380&gt;0),Tarification!$D$10,0)))</f>
        <v>0</v>
      </c>
      <c r="AL670" s="37">
        <f>IF(AND(AL380&lt;=$I95,AL380&gt;$J95),Tarification!$D$8,IF(AND(AL380&lt;=$J95,AL380&gt;$K95),Tarification!$D$9,IF(AND(AL380&lt;=$K95,AL380&gt;0),Tarification!$D$10,0)))</f>
        <v>0</v>
      </c>
      <c r="AM670" s="37">
        <f>IF(AND(AM380&lt;=$I95,AM380&gt;$J95),Tarification!$D$8,IF(AND(AM380&lt;=$J95,AM380&gt;$K95),Tarification!$D$9,IF(AND(AM380&lt;=$K95,AM380&gt;0),Tarification!$D$10,0)))</f>
        <v>0</v>
      </c>
      <c r="AN670" s="37">
        <f>IF(AND(AN380&lt;=$I95,AN380&gt;$J95),Tarification!$D$8,IF(AND(AN380&lt;=$J95,AN380&gt;$K95),Tarification!$D$9,IF(AND(AN380&lt;=$K95,AN380&gt;0),Tarification!$D$10,0)))</f>
        <v>0</v>
      </c>
      <c r="AQ670" s="101">
        <f t="shared" si="149"/>
        <v>0</v>
      </c>
    </row>
    <row r="671" spans="14:43" ht="15.6">
      <c r="N671" s="39" t="s">
        <v>26</v>
      </c>
      <c r="O671" s="39" t="s">
        <v>248</v>
      </c>
      <c r="P671" t="s">
        <v>701</v>
      </c>
      <c r="Q671" s="39"/>
      <c r="V671" s="37">
        <f>IF(AND(V381&lt;=$I96,V381&gt;$J96),Tarification!$D$8,IF(AND(V381&lt;=$J96,V381&gt;$K96),Tarification!$D$9,IF(AND(V381&lt;=$K96,V381&gt;0),Tarification!$D$10,0)))</f>
        <v>0</v>
      </c>
      <c r="W671" s="37">
        <f>IF(AND(W381&lt;=$I96,W381&gt;$J96),Tarification!$D$8,IF(AND(W381&lt;=$J96,W381&gt;$K96),Tarification!$D$9,IF(AND(W381&lt;=$K96,W381&gt;0),Tarification!$D$10,0)))</f>
        <v>50000</v>
      </c>
      <c r="X671" s="37">
        <f>IF(AND(X381&lt;=$I96,X381&gt;$J96),Tarification!$D$8,IF(AND(X381&lt;=$J96,X381&gt;$K96),Tarification!$D$9,IF(AND(X381&lt;=$K96,X381&gt;0),Tarification!$D$10,0)))</f>
        <v>0</v>
      </c>
      <c r="Y671" s="37">
        <f>IF(AND(Y381&lt;=$I96,Y381&gt;$J96),Tarification!$D$8,IF(AND(Y381&lt;=$J96,Y381&gt;$K96),Tarification!$D$9,IF(AND(Y381&lt;=$K96,Y381&gt;0),Tarification!$D$10,0)))</f>
        <v>0</v>
      </c>
      <c r="Z671" s="37">
        <f>IF(AND(Z381&lt;=$I96,Z381&gt;$J96),Tarification!$D$8,IF(AND(Z381&lt;=$J96,Z381&gt;$K96),Tarification!$D$9,IF(AND(Z381&lt;=$K96,Z381&gt;0),Tarification!$D$10,0)))</f>
        <v>0</v>
      </c>
      <c r="AA671" s="37">
        <f>IF(AND(AA381&lt;=$I96,AA381&gt;$J96),Tarification!$D$8,IF(AND(AA381&lt;=$J96,AA381&gt;$K96),Tarification!$D$9,IF(AND(AA381&lt;=$K96,AA381&gt;0),Tarification!$D$10,0)))</f>
        <v>0</v>
      </c>
      <c r="AB671" s="37">
        <f>IF(AND(AB381&lt;=$I96,AB381&gt;$J96),Tarification!$D$8,IF(AND(AB381&lt;=$J96,AB381&gt;$K96),Tarification!$D$9,IF(AND(AB381&lt;=$K96,AB381&gt;0),Tarification!$D$10,0)))</f>
        <v>0</v>
      </c>
      <c r="AC671" s="37">
        <f>IF(AND(AC381&lt;=$I96,AC381&gt;$J96),Tarification!$D$8,IF(AND(AC381&lt;=$J96,AC381&gt;$K96),Tarification!$D$9,IF(AND(AC381&lt;=$K96,AC381&gt;0),Tarification!$D$10,0)))</f>
        <v>0</v>
      </c>
      <c r="AD671" s="37">
        <f>IF(AND(AD381&lt;=$I96,AD381&gt;$J96),Tarification!$D$8,IF(AND(AD381&lt;=$J96,AD381&gt;$K96),Tarification!$D$9,IF(AND(AD381&lt;=$K96,AD381&gt;0),Tarification!$D$10,0)))</f>
        <v>0</v>
      </c>
      <c r="AE671" s="37">
        <f>IF(AND(AE381&lt;=$I96,AE381&gt;$J96),Tarification!$D$8,IF(AND(AE381&lt;=$J96,AE381&gt;$K96),Tarification!$D$9,IF(AND(AE381&lt;=$K96,AE381&gt;0),Tarification!$D$10,0)))</f>
        <v>50000</v>
      </c>
      <c r="AF671" s="37">
        <f>IF(AND(AF381&lt;=$I96,AF381&gt;$J96),Tarification!$D$8,IF(AND(AF381&lt;=$J96,AF381&gt;$K96),Tarification!$D$9,IF(AND(AF381&lt;=$K96,AF381&gt;0),Tarification!$D$10,0)))</f>
        <v>0</v>
      </c>
      <c r="AG671" s="37">
        <f>IF(AND(AG381&lt;=$I96,AG381&gt;$J96),Tarification!$D$8,IF(AND(AG381&lt;=$J96,AG381&gt;$K96),Tarification!$D$9,IF(AND(AG381&lt;=$K96,AG381&gt;0),Tarification!$D$10,0)))</f>
        <v>0</v>
      </c>
      <c r="AH671" s="37">
        <f>IF(AND(AH381&lt;=$I96,AH381&gt;$J96),Tarification!$D$8,IF(AND(AH381&lt;=$J96,AH381&gt;$K96),Tarification!$D$9,IF(AND(AH381&lt;=$K96,AH381&gt;0),Tarification!$D$10,0)))</f>
        <v>0</v>
      </c>
      <c r="AI671" s="37">
        <f>IF(AND(AI381&lt;=$I96,AI381&gt;$J96),Tarification!$D$8,IF(AND(AI381&lt;=$J96,AI381&gt;$K96),Tarification!$D$9,IF(AND(AI381&lt;=$K96,AI381&gt;0),Tarification!$D$10,0)))</f>
        <v>0</v>
      </c>
      <c r="AJ671" s="37">
        <f>IF(AND(AJ381&lt;=$I96,AJ381&gt;$J96),Tarification!$D$8,IF(AND(AJ381&lt;=$J96,AJ381&gt;$K96),Tarification!$D$9,IF(AND(AJ381&lt;=$K96,AJ381&gt;0),Tarification!$D$10,0)))</f>
        <v>0</v>
      </c>
      <c r="AK671" s="37">
        <f>IF(AND(AK381&lt;=$I96,AK381&gt;$J96),Tarification!$D$8,IF(AND(AK381&lt;=$J96,AK381&gt;$K96),Tarification!$D$9,IF(AND(AK381&lt;=$K96,AK381&gt;0),Tarification!$D$10,0)))</f>
        <v>0</v>
      </c>
      <c r="AL671" s="37">
        <f>IF(AND(AL381&lt;=$I96,AL381&gt;$J96),Tarification!$D$8,IF(AND(AL381&lt;=$J96,AL381&gt;$K96),Tarification!$D$9,IF(AND(AL381&lt;=$K96,AL381&gt;0),Tarification!$D$10,0)))</f>
        <v>0</v>
      </c>
      <c r="AM671" s="37">
        <f>IF(AND(AM381&lt;=$I96,AM381&gt;$J96),Tarification!$D$8,IF(AND(AM381&lt;=$J96,AM381&gt;$K96),Tarification!$D$9,IF(AND(AM381&lt;=$K96,AM381&gt;0),Tarification!$D$10,0)))</f>
        <v>0</v>
      </c>
      <c r="AN671" s="37">
        <f>IF(AND(AN381&lt;=$I96,AN381&gt;$J96),Tarification!$D$8,IF(AND(AN381&lt;=$J96,AN381&gt;$K96),Tarification!$D$9,IF(AND(AN381&lt;=$K96,AN381&gt;0),Tarification!$D$10,0)))</f>
        <v>0</v>
      </c>
      <c r="AQ671" s="101">
        <f t="shared" si="149"/>
        <v>5263.1578947368425</v>
      </c>
    </row>
    <row r="672" spans="14:43" ht="15.6">
      <c r="N672" s="39" t="s">
        <v>26</v>
      </c>
      <c r="O672" s="39" t="s">
        <v>429</v>
      </c>
      <c r="P672" t="s">
        <v>702</v>
      </c>
      <c r="Q672" s="39"/>
      <c r="V672" s="37">
        <f>IF(AND(V382&lt;=$I97,V382&gt;$J97),Tarification!$D$8,IF(AND(V382&lt;=$J97,V382&gt;$K97),Tarification!$D$9,IF(AND(V382&lt;=$K97,V382&gt;0),Tarification!$D$10,0)))</f>
        <v>0</v>
      </c>
      <c r="W672" s="37">
        <f>IF(AND(W382&lt;=$I97,W382&gt;$J97),Tarification!$D$8,IF(AND(W382&lt;=$J97,W382&gt;$K97),Tarification!$D$9,IF(AND(W382&lt;=$K97,W382&gt;0),Tarification!$D$10,0)))</f>
        <v>0</v>
      </c>
      <c r="X672" s="37">
        <f>IF(AND(X382&lt;=$I97,X382&gt;$J97),Tarification!$D$8,IF(AND(X382&lt;=$J97,X382&gt;$K97),Tarification!$D$9,IF(AND(X382&lt;=$K97,X382&gt;0),Tarification!$D$10,0)))</f>
        <v>0</v>
      </c>
      <c r="Y672" s="37">
        <f>IF(AND(Y382&lt;=$I97,Y382&gt;$J97),Tarification!$D$8,IF(AND(Y382&lt;=$J97,Y382&gt;$K97),Tarification!$D$9,IF(AND(Y382&lt;=$K97,Y382&gt;0),Tarification!$D$10,0)))</f>
        <v>0</v>
      </c>
      <c r="Z672" s="37">
        <f>IF(AND(Z382&lt;=$I97,Z382&gt;$J97),Tarification!$D$8,IF(AND(Z382&lt;=$J97,Z382&gt;$K97),Tarification!$D$9,IF(AND(Z382&lt;=$K97,Z382&gt;0),Tarification!$D$10,0)))</f>
        <v>0</v>
      </c>
      <c r="AA672" s="37">
        <f>IF(AND(AA382&lt;=$I97,AA382&gt;$J97),Tarification!$D$8,IF(AND(AA382&lt;=$J97,AA382&gt;$K97),Tarification!$D$9,IF(AND(AA382&lt;=$K97,AA382&gt;0),Tarification!$D$10,0)))</f>
        <v>0</v>
      </c>
      <c r="AB672" s="37">
        <f>IF(AND(AB382&lt;=$I97,AB382&gt;$J97),Tarification!$D$8,IF(AND(AB382&lt;=$J97,AB382&gt;$K97),Tarification!$D$9,IF(AND(AB382&lt;=$K97,AB382&gt;0),Tarification!$D$10,0)))</f>
        <v>0</v>
      </c>
      <c r="AC672" s="37">
        <f>IF(AND(AC382&lt;=$I97,AC382&gt;$J97),Tarification!$D$8,IF(AND(AC382&lt;=$J97,AC382&gt;$K97),Tarification!$D$9,IF(AND(AC382&lt;=$K97,AC382&gt;0),Tarification!$D$10,0)))</f>
        <v>0</v>
      </c>
      <c r="AD672" s="37">
        <f>IF(AND(AD382&lt;=$I97,AD382&gt;$J97),Tarification!$D$8,IF(AND(AD382&lt;=$J97,AD382&gt;$K97),Tarification!$D$9,IF(AND(AD382&lt;=$K97,AD382&gt;0),Tarification!$D$10,0)))</f>
        <v>0</v>
      </c>
      <c r="AE672" s="37">
        <f>IF(AND(AE382&lt;=$I97,AE382&gt;$J97),Tarification!$D$8,IF(AND(AE382&lt;=$J97,AE382&gt;$K97),Tarification!$D$9,IF(AND(AE382&lt;=$K97,AE382&gt;0),Tarification!$D$10,0)))</f>
        <v>0</v>
      </c>
      <c r="AF672" s="37">
        <f>IF(AND(AF382&lt;=$I97,AF382&gt;$J97),Tarification!$D$8,IF(AND(AF382&lt;=$J97,AF382&gt;$K97),Tarification!$D$9,IF(AND(AF382&lt;=$K97,AF382&gt;0),Tarification!$D$10,0)))</f>
        <v>0</v>
      </c>
      <c r="AG672" s="37">
        <f>IF(AND(AG382&lt;=$I97,AG382&gt;$J97),Tarification!$D$8,IF(AND(AG382&lt;=$J97,AG382&gt;$K97),Tarification!$D$9,IF(AND(AG382&lt;=$K97,AG382&gt;0),Tarification!$D$10,0)))</f>
        <v>0</v>
      </c>
      <c r="AH672" s="37">
        <f>IF(AND(AH382&lt;=$I97,AH382&gt;$J97),Tarification!$D$8,IF(AND(AH382&lt;=$J97,AH382&gt;$K97),Tarification!$D$9,IF(AND(AH382&lt;=$K97,AH382&gt;0),Tarification!$D$10,0)))</f>
        <v>0</v>
      </c>
      <c r="AI672" s="37">
        <f>IF(AND(AI382&lt;=$I97,AI382&gt;$J97),Tarification!$D$8,IF(AND(AI382&lt;=$J97,AI382&gt;$K97),Tarification!$D$9,IF(AND(AI382&lt;=$K97,AI382&gt;0),Tarification!$D$10,0)))</f>
        <v>0</v>
      </c>
      <c r="AJ672" s="37">
        <f>IF(AND(AJ382&lt;=$I97,AJ382&gt;$J97),Tarification!$D$8,IF(AND(AJ382&lt;=$J97,AJ382&gt;$K97),Tarification!$D$9,IF(AND(AJ382&lt;=$K97,AJ382&gt;0),Tarification!$D$10,0)))</f>
        <v>0</v>
      </c>
      <c r="AK672" s="37">
        <f>IF(AND(AK382&lt;=$I97,AK382&gt;$J97),Tarification!$D$8,IF(AND(AK382&lt;=$J97,AK382&gt;$K97),Tarification!$D$9,IF(AND(AK382&lt;=$K97,AK382&gt;0),Tarification!$D$10,0)))</f>
        <v>0</v>
      </c>
      <c r="AL672" s="37">
        <f>IF(AND(AL382&lt;=$I97,AL382&gt;$J97),Tarification!$D$8,IF(AND(AL382&lt;=$J97,AL382&gt;$K97),Tarification!$D$9,IF(AND(AL382&lt;=$K97,AL382&gt;0),Tarification!$D$10,0)))</f>
        <v>0</v>
      </c>
      <c r="AM672" s="37">
        <f>IF(AND(AM382&lt;=$I97,AM382&gt;$J97),Tarification!$D$8,IF(AND(AM382&lt;=$J97,AM382&gt;$K97),Tarification!$D$9,IF(AND(AM382&lt;=$K97,AM382&gt;0),Tarification!$D$10,0)))</f>
        <v>0</v>
      </c>
      <c r="AN672" s="37">
        <f>IF(AND(AN382&lt;=$I97,AN382&gt;$J97),Tarification!$D$8,IF(AND(AN382&lt;=$J97,AN382&gt;$K97),Tarification!$D$9,IF(AND(AN382&lt;=$K97,AN382&gt;0),Tarification!$D$10,0)))</f>
        <v>0</v>
      </c>
      <c r="AQ672" s="101">
        <f t="shared" si="149"/>
        <v>0</v>
      </c>
    </row>
    <row r="673" spans="14:43" ht="15.6">
      <c r="N673" s="39" t="s">
        <v>26</v>
      </c>
      <c r="O673" s="39" t="s">
        <v>576</v>
      </c>
      <c r="P673" t="s">
        <v>703</v>
      </c>
      <c r="Q673" s="39"/>
      <c r="V673" s="37">
        <f>IF(AND(V383&lt;=$I98,V383&gt;$J98),Tarification!$D$8,IF(AND(V383&lt;=$J98,V383&gt;$K98),Tarification!$D$9,IF(AND(V383&lt;=$K98,V383&gt;0),Tarification!$D$10,0)))</f>
        <v>0</v>
      </c>
      <c r="W673" s="37">
        <f>IF(AND(W383&lt;=$I98,W383&gt;$J98),Tarification!$D$8,IF(AND(W383&lt;=$J98,W383&gt;$K98),Tarification!$D$9,IF(AND(W383&lt;=$K98,W383&gt;0),Tarification!$D$10,0)))</f>
        <v>0</v>
      </c>
      <c r="X673" s="37">
        <f>IF(AND(X383&lt;=$I98,X383&gt;$J98),Tarification!$D$8,IF(AND(X383&lt;=$J98,X383&gt;$K98),Tarification!$D$9,IF(AND(X383&lt;=$K98,X383&gt;0),Tarification!$D$10,0)))</f>
        <v>0</v>
      </c>
      <c r="Y673" s="37">
        <f>IF(AND(Y383&lt;=$I98,Y383&gt;$J98),Tarification!$D$8,IF(AND(Y383&lt;=$J98,Y383&gt;$K98),Tarification!$D$9,IF(AND(Y383&lt;=$K98,Y383&gt;0),Tarification!$D$10,0)))</f>
        <v>0</v>
      </c>
      <c r="Z673" s="37">
        <f>IF(AND(Z383&lt;=$I98,Z383&gt;$J98),Tarification!$D$8,IF(AND(Z383&lt;=$J98,Z383&gt;$K98),Tarification!$D$9,IF(AND(Z383&lt;=$K98,Z383&gt;0),Tarification!$D$10,0)))</f>
        <v>0</v>
      </c>
      <c r="AA673" s="37">
        <f>IF(AND(AA383&lt;=$I98,AA383&gt;$J98),Tarification!$D$8,IF(AND(AA383&lt;=$J98,AA383&gt;$K98),Tarification!$D$9,IF(AND(AA383&lt;=$K98,AA383&gt;0),Tarification!$D$10,0)))</f>
        <v>0</v>
      </c>
      <c r="AB673" s="37">
        <f>IF(AND(AB383&lt;=$I98,AB383&gt;$J98),Tarification!$D$8,IF(AND(AB383&lt;=$J98,AB383&gt;$K98),Tarification!$D$9,IF(AND(AB383&lt;=$K98,AB383&gt;0),Tarification!$D$10,0)))</f>
        <v>0</v>
      </c>
      <c r="AC673" s="37">
        <f>IF(AND(AC383&lt;=$I98,AC383&gt;$J98),Tarification!$D$8,IF(AND(AC383&lt;=$J98,AC383&gt;$K98),Tarification!$D$9,IF(AND(AC383&lt;=$K98,AC383&gt;0),Tarification!$D$10,0)))</f>
        <v>0</v>
      </c>
      <c r="AD673" s="37">
        <f>IF(AND(AD383&lt;=$I98,AD383&gt;$J98),Tarification!$D$8,IF(AND(AD383&lt;=$J98,AD383&gt;$K98),Tarification!$D$9,IF(AND(AD383&lt;=$K98,AD383&gt;0),Tarification!$D$10,0)))</f>
        <v>0</v>
      </c>
      <c r="AE673" s="37">
        <f>IF(AND(AE383&lt;=$I98,AE383&gt;$J98),Tarification!$D$8,IF(AND(AE383&lt;=$J98,AE383&gt;$K98),Tarification!$D$9,IF(AND(AE383&lt;=$K98,AE383&gt;0),Tarification!$D$10,0)))</f>
        <v>50000</v>
      </c>
      <c r="AF673" s="37">
        <f>IF(AND(AF383&lt;=$I98,AF383&gt;$J98),Tarification!$D$8,IF(AND(AF383&lt;=$J98,AF383&gt;$K98),Tarification!$D$9,IF(AND(AF383&lt;=$K98,AF383&gt;0),Tarification!$D$10,0)))</f>
        <v>0</v>
      </c>
      <c r="AG673" s="37">
        <f>IF(AND(AG383&lt;=$I98,AG383&gt;$J98),Tarification!$D$8,IF(AND(AG383&lt;=$J98,AG383&gt;$K98),Tarification!$D$9,IF(AND(AG383&lt;=$K98,AG383&gt;0),Tarification!$D$10,0)))</f>
        <v>0</v>
      </c>
      <c r="AH673" s="37">
        <f>IF(AND(AH383&lt;=$I98,AH383&gt;$J98),Tarification!$D$8,IF(AND(AH383&lt;=$J98,AH383&gt;$K98),Tarification!$D$9,IF(AND(AH383&lt;=$K98,AH383&gt;0),Tarification!$D$10,0)))</f>
        <v>0</v>
      </c>
      <c r="AI673" s="37">
        <f>IF(AND(AI383&lt;=$I98,AI383&gt;$J98),Tarification!$D$8,IF(AND(AI383&lt;=$J98,AI383&gt;$K98),Tarification!$D$9,IF(AND(AI383&lt;=$K98,AI383&gt;0),Tarification!$D$10,0)))</f>
        <v>0</v>
      </c>
      <c r="AJ673" s="37">
        <f>IF(AND(AJ383&lt;=$I98,AJ383&gt;$J98),Tarification!$D$8,IF(AND(AJ383&lt;=$J98,AJ383&gt;$K98),Tarification!$D$9,IF(AND(AJ383&lt;=$K98,AJ383&gt;0),Tarification!$D$10,0)))</f>
        <v>0</v>
      </c>
      <c r="AK673" s="37">
        <f>IF(AND(AK383&lt;=$I98,AK383&gt;$J98),Tarification!$D$8,IF(AND(AK383&lt;=$J98,AK383&gt;$K98),Tarification!$D$9,IF(AND(AK383&lt;=$K98,AK383&gt;0),Tarification!$D$10,0)))</f>
        <v>0</v>
      </c>
      <c r="AL673" s="37">
        <f>IF(AND(AL383&lt;=$I98,AL383&gt;$J98),Tarification!$D$8,IF(AND(AL383&lt;=$J98,AL383&gt;$K98),Tarification!$D$9,IF(AND(AL383&lt;=$K98,AL383&gt;0),Tarification!$D$10,0)))</f>
        <v>0</v>
      </c>
      <c r="AM673" s="37">
        <f>IF(AND(AM383&lt;=$I98,AM383&gt;$J98),Tarification!$D$8,IF(AND(AM383&lt;=$J98,AM383&gt;$K98),Tarification!$D$9,IF(AND(AM383&lt;=$K98,AM383&gt;0),Tarification!$D$10,0)))</f>
        <v>0</v>
      </c>
      <c r="AN673" s="37">
        <f>IF(AND(AN383&lt;=$I98,AN383&gt;$J98),Tarification!$D$8,IF(AND(AN383&lt;=$J98,AN383&gt;$K98),Tarification!$D$9,IF(AND(AN383&lt;=$K98,AN383&gt;0),Tarification!$D$10,0)))</f>
        <v>0</v>
      </c>
      <c r="AQ673" s="101">
        <f t="shared" si="149"/>
        <v>2631.5789473684213</v>
      </c>
    </row>
    <row r="674" spans="14:43" ht="15.6">
      <c r="N674" s="39" t="s">
        <v>26</v>
      </c>
      <c r="O674" s="39" t="s">
        <v>251</v>
      </c>
      <c r="P674" t="s">
        <v>704</v>
      </c>
      <c r="Q674" s="39"/>
      <c r="V674" s="37">
        <f>IF(AND(V384&lt;=$I99,V384&gt;$J99),Tarification!$D$8,IF(AND(V384&lt;=$J99,V384&gt;$K99),Tarification!$D$9,IF(AND(V384&lt;=$K99,V384&gt;0),Tarification!$D$10,0)))</f>
        <v>0</v>
      </c>
      <c r="W674" s="37">
        <f>IF(AND(W384&lt;=$I99,W384&gt;$J99),Tarification!$D$8,IF(AND(W384&lt;=$J99,W384&gt;$K99),Tarification!$D$9,IF(AND(W384&lt;=$K99,W384&gt;0),Tarification!$D$10,0)))</f>
        <v>50000</v>
      </c>
      <c r="X674" s="37">
        <f>IF(AND(X384&lt;=$I99,X384&gt;$J99),Tarification!$D$8,IF(AND(X384&lt;=$J99,X384&gt;$K99),Tarification!$D$9,IF(AND(X384&lt;=$K99,X384&gt;0),Tarification!$D$10,0)))</f>
        <v>0</v>
      </c>
      <c r="Y674" s="37">
        <f>IF(AND(Y384&lt;=$I99,Y384&gt;$J99),Tarification!$D$8,IF(AND(Y384&lt;=$J99,Y384&gt;$K99),Tarification!$D$9,IF(AND(Y384&lt;=$K99,Y384&gt;0),Tarification!$D$10,0)))</f>
        <v>0</v>
      </c>
      <c r="Z674" s="37">
        <f>IF(AND(Z384&lt;=$I99,Z384&gt;$J99),Tarification!$D$8,IF(AND(Z384&lt;=$J99,Z384&gt;$K99),Tarification!$D$9,IF(AND(Z384&lt;=$K99,Z384&gt;0),Tarification!$D$10,0)))</f>
        <v>0</v>
      </c>
      <c r="AA674" s="37">
        <f>IF(AND(AA384&lt;=$I99,AA384&gt;$J99),Tarification!$D$8,IF(AND(AA384&lt;=$J99,AA384&gt;$K99),Tarification!$D$9,IF(AND(AA384&lt;=$K99,AA384&gt;0),Tarification!$D$10,0)))</f>
        <v>0</v>
      </c>
      <c r="AB674" s="37">
        <f>IF(AND(AB384&lt;=$I99,AB384&gt;$J99),Tarification!$D$8,IF(AND(AB384&lt;=$J99,AB384&gt;$K99),Tarification!$D$9,IF(AND(AB384&lt;=$K99,AB384&gt;0),Tarification!$D$10,0)))</f>
        <v>0</v>
      </c>
      <c r="AC674" s="37">
        <f>IF(AND(AC384&lt;=$I99,AC384&gt;$J99),Tarification!$D$8,IF(AND(AC384&lt;=$J99,AC384&gt;$K99),Tarification!$D$9,IF(AND(AC384&lt;=$K99,AC384&gt;0),Tarification!$D$10,0)))</f>
        <v>0</v>
      </c>
      <c r="AD674" s="37">
        <f>IF(AND(AD384&lt;=$I99,AD384&gt;$J99),Tarification!$D$8,IF(AND(AD384&lt;=$J99,AD384&gt;$K99),Tarification!$D$9,IF(AND(AD384&lt;=$K99,AD384&gt;0),Tarification!$D$10,0)))</f>
        <v>0</v>
      </c>
      <c r="AE674" s="37">
        <f>IF(AND(AE384&lt;=$I99,AE384&gt;$J99),Tarification!$D$8,IF(AND(AE384&lt;=$J99,AE384&gt;$K99),Tarification!$D$9,IF(AND(AE384&lt;=$K99,AE384&gt;0),Tarification!$D$10,0)))</f>
        <v>125000</v>
      </c>
      <c r="AF674" s="37">
        <f>IF(AND(AF384&lt;=$I99,AF384&gt;$J99),Tarification!$D$8,IF(AND(AF384&lt;=$J99,AF384&gt;$K99),Tarification!$D$9,IF(AND(AF384&lt;=$K99,AF384&gt;0),Tarification!$D$10,0)))</f>
        <v>50000</v>
      </c>
      <c r="AG674" s="37">
        <f>IF(AND(AG384&lt;=$I99,AG384&gt;$J99),Tarification!$D$8,IF(AND(AG384&lt;=$J99,AG384&gt;$K99),Tarification!$D$9,IF(AND(AG384&lt;=$K99,AG384&gt;0),Tarification!$D$10,0)))</f>
        <v>0</v>
      </c>
      <c r="AH674" s="37">
        <f>IF(AND(AH384&lt;=$I99,AH384&gt;$J99),Tarification!$D$8,IF(AND(AH384&lt;=$J99,AH384&gt;$K99),Tarification!$D$9,IF(AND(AH384&lt;=$K99,AH384&gt;0),Tarification!$D$10,0)))</f>
        <v>0</v>
      </c>
      <c r="AI674" s="37">
        <f>IF(AND(AI384&lt;=$I99,AI384&gt;$J99),Tarification!$D$8,IF(AND(AI384&lt;=$J99,AI384&gt;$K99),Tarification!$D$9,IF(AND(AI384&lt;=$K99,AI384&gt;0),Tarification!$D$10,0)))</f>
        <v>0</v>
      </c>
      <c r="AJ674" s="37">
        <f>IF(AND(AJ384&lt;=$I99,AJ384&gt;$J99),Tarification!$D$8,IF(AND(AJ384&lt;=$J99,AJ384&gt;$K99),Tarification!$D$9,IF(AND(AJ384&lt;=$K99,AJ384&gt;0),Tarification!$D$10,0)))</f>
        <v>0</v>
      </c>
      <c r="AK674" s="37">
        <f>IF(AND(AK384&lt;=$I99,AK384&gt;$J99),Tarification!$D$8,IF(AND(AK384&lt;=$J99,AK384&gt;$K99),Tarification!$D$9,IF(AND(AK384&lt;=$K99,AK384&gt;0),Tarification!$D$10,0)))</f>
        <v>0</v>
      </c>
      <c r="AL674" s="37">
        <f>IF(AND(AL384&lt;=$I99,AL384&gt;$J99),Tarification!$D$8,IF(AND(AL384&lt;=$J99,AL384&gt;$K99),Tarification!$D$9,IF(AND(AL384&lt;=$K99,AL384&gt;0),Tarification!$D$10,0)))</f>
        <v>0</v>
      </c>
      <c r="AM674" s="37">
        <f>IF(AND(AM384&lt;=$I99,AM384&gt;$J99),Tarification!$D$8,IF(AND(AM384&lt;=$J99,AM384&gt;$K99),Tarification!$D$9,IF(AND(AM384&lt;=$K99,AM384&gt;0),Tarification!$D$10,0)))</f>
        <v>0</v>
      </c>
      <c r="AN674" s="37">
        <f>IF(AND(AN384&lt;=$I99,AN384&gt;$J99),Tarification!$D$8,IF(AND(AN384&lt;=$J99,AN384&gt;$K99),Tarification!$D$9,IF(AND(AN384&lt;=$K99,AN384&gt;0),Tarification!$D$10,0)))</f>
        <v>125000</v>
      </c>
      <c r="AQ674" s="101">
        <f t="shared" si="149"/>
        <v>18421.052631578947</v>
      </c>
    </row>
    <row r="675" spans="14:43" ht="15.6">
      <c r="N675" s="39" t="s">
        <v>26</v>
      </c>
      <c r="O675" s="39" t="s">
        <v>221</v>
      </c>
      <c r="P675" t="s">
        <v>705</v>
      </c>
      <c r="Q675" s="39"/>
      <c r="V675" s="37">
        <f>IF(AND(V385&lt;=$I100,V385&gt;$J100),Tarification!$D$8,IF(AND(V385&lt;=$J100,V385&gt;$K100),Tarification!$D$9,IF(AND(V385&lt;=$K100,V385&gt;0),Tarification!$D$10,0)))</f>
        <v>0</v>
      </c>
      <c r="W675" s="37">
        <f>IF(AND(W385&lt;=$I100,W385&gt;$J100),Tarification!$D$8,IF(AND(W385&lt;=$J100,W385&gt;$K100),Tarification!$D$9,IF(AND(W385&lt;=$K100,W385&gt;0),Tarification!$D$10,0)))</f>
        <v>50000</v>
      </c>
      <c r="X675" s="37">
        <f>IF(AND(X385&lt;=$I100,X385&gt;$J100),Tarification!$D$8,IF(AND(X385&lt;=$J100,X385&gt;$K100),Tarification!$D$9,IF(AND(X385&lt;=$K100,X385&gt;0),Tarification!$D$10,0)))</f>
        <v>0</v>
      </c>
      <c r="Y675" s="37">
        <f>IF(AND(Y385&lt;=$I100,Y385&gt;$J100),Tarification!$D$8,IF(AND(Y385&lt;=$J100,Y385&gt;$K100),Tarification!$D$9,IF(AND(Y385&lt;=$K100,Y385&gt;0),Tarification!$D$10,0)))</f>
        <v>0</v>
      </c>
      <c r="Z675" s="37">
        <f>IF(AND(Z385&lt;=$I100,Z385&gt;$J100),Tarification!$D$8,IF(AND(Z385&lt;=$J100,Z385&gt;$K100),Tarification!$D$9,IF(AND(Z385&lt;=$K100,Z385&gt;0),Tarification!$D$10,0)))</f>
        <v>0</v>
      </c>
      <c r="AA675" s="37">
        <f>IF(AND(AA385&lt;=$I100,AA385&gt;$J100),Tarification!$D$8,IF(AND(AA385&lt;=$J100,AA385&gt;$K100),Tarification!$D$9,IF(AND(AA385&lt;=$K100,AA385&gt;0),Tarification!$D$10,0)))</f>
        <v>0</v>
      </c>
      <c r="AB675" s="37">
        <f>IF(AND(AB385&lt;=$I100,AB385&gt;$J100),Tarification!$D$8,IF(AND(AB385&lt;=$J100,AB385&gt;$K100),Tarification!$D$9,IF(AND(AB385&lt;=$K100,AB385&gt;0),Tarification!$D$10,0)))</f>
        <v>0</v>
      </c>
      <c r="AC675" s="37">
        <f>IF(AND(AC385&lt;=$I100,AC385&gt;$J100),Tarification!$D$8,IF(AND(AC385&lt;=$J100,AC385&gt;$K100),Tarification!$D$9,IF(AND(AC385&lt;=$K100,AC385&gt;0),Tarification!$D$10,0)))</f>
        <v>0</v>
      </c>
      <c r="AD675" s="37">
        <f>IF(AND(AD385&lt;=$I100,AD385&gt;$J100),Tarification!$D$8,IF(AND(AD385&lt;=$J100,AD385&gt;$K100),Tarification!$D$9,IF(AND(AD385&lt;=$K100,AD385&gt;0),Tarification!$D$10,0)))</f>
        <v>0</v>
      </c>
      <c r="AE675" s="37">
        <f>IF(AND(AE385&lt;=$I100,AE385&gt;$J100),Tarification!$D$8,IF(AND(AE385&lt;=$J100,AE385&gt;$K100),Tarification!$D$9,IF(AND(AE385&lt;=$K100,AE385&gt;0),Tarification!$D$10,0)))</f>
        <v>50000</v>
      </c>
      <c r="AF675" s="37">
        <f>IF(AND(AF385&lt;=$I100,AF385&gt;$J100),Tarification!$D$8,IF(AND(AF385&lt;=$J100,AF385&gt;$K100),Tarification!$D$9,IF(AND(AF385&lt;=$K100,AF385&gt;0),Tarification!$D$10,0)))</f>
        <v>0</v>
      </c>
      <c r="AG675" s="37">
        <f>IF(AND(AG385&lt;=$I100,AG385&gt;$J100),Tarification!$D$8,IF(AND(AG385&lt;=$J100,AG385&gt;$K100),Tarification!$D$9,IF(AND(AG385&lt;=$K100,AG385&gt;0),Tarification!$D$10,0)))</f>
        <v>0</v>
      </c>
      <c r="AH675" s="37">
        <f>IF(AND(AH385&lt;=$I100,AH385&gt;$J100),Tarification!$D$8,IF(AND(AH385&lt;=$J100,AH385&gt;$K100),Tarification!$D$9,IF(AND(AH385&lt;=$K100,AH385&gt;0),Tarification!$D$10,0)))</f>
        <v>0</v>
      </c>
      <c r="AI675" s="37">
        <f>IF(AND(AI385&lt;=$I100,AI385&gt;$J100),Tarification!$D$8,IF(AND(AI385&lt;=$J100,AI385&gt;$K100),Tarification!$D$9,IF(AND(AI385&lt;=$K100,AI385&gt;0),Tarification!$D$10,0)))</f>
        <v>0</v>
      </c>
      <c r="AJ675" s="37">
        <f>IF(AND(AJ385&lt;=$I100,AJ385&gt;$J100),Tarification!$D$8,IF(AND(AJ385&lt;=$J100,AJ385&gt;$K100),Tarification!$D$9,IF(AND(AJ385&lt;=$K100,AJ385&gt;0),Tarification!$D$10,0)))</f>
        <v>0</v>
      </c>
      <c r="AK675" s="37">
        <f>IF(AND(AK385&lt;=$I100,AK385&gt;$J100),Tarification!$D$8,IF(AND(AK385&lt;=$J100,AK385&gt;$K100),Tarification!$D$9,IF(AND(AK385&lt;=$K100,AK385&gt;0),Tarification!$D$10,0)))</f>
        <v>0</v>
      </c>
      <c r="AL675" s="37">
        <f>IF(AND(AL385&lt;=$I100,AL385&gt;$J100),Tarification!$D$8,IF(AND(AL385&lt;=$J100,AL385&gt;$K100),Tarification!$D$9,IF(AND(AL385&lt;=$K100,AL385&gt;0),Tarification!$D$10,0)))</f>
        <v>0</v>
      </c>
      <c r="AM675" s="37">
        <f>IF(AND(AM385&lt;=$I100,AM385&gt;$J100),Tarification!$D$8,IF(AND(AM385&lt;=$J100,AM385&gt;$K100),Tarification!$D$9,IF(AND(AM385&lt;=$K100,AM385&gt;0),Tarification!$D$10,0)))</f>
        <v>0</v>
      </c>
      <c r="AN675" s="37">
        <f>IF(AND(AN385&lt;=$I100,AN385&gt;$J100),Tarification!$D$8,IF(AND(AN385&lt;=$J100,AN385&gt;$K100),Tarification!$D$9,IF(AND(AN385&lt;=$K100,AN385&gt;0),Tarification!$D$10,0)))</f>
        <v>0</v>
      </c>
      <c r="AQ675" s="101">
        <f t="shared" si="149"/>
        <v>5263.1578947368425</v>
      </c>
    </row>
    <row r="676" spans="14:43" ht="15.6">
      <c r="N676" s="39" t="s">
        <v>26</v>
      </c>
      <c r="O676" s="39" t="s">
        <v>513</v>
      </c>
      <c r="P676" t="s">
        <v>706</v>
      </c>
      <c r="Q676" s="39"/>
      <c r="V676" s="37">
        <f>IF(AND(V386&lt;=$I101,V386&gt;$J101),Tarification!$D$8,IF(AND(V386&lt;=$J101,V386&gt;$K101),Tarification!$D$9,IF(AND(V386&lt;=$K101,V386&gt;0),Tarification!$D$10,0)))</f>
        <v>0</v>
      </c>
      <c r="W676" s="37">
        <f>IF(AND(W386&lt;=$I101,W386&gt;$J101),Tarification!$D$8,IF(AND(W386&lt;=$J101,W386&gt;$K101),Tarification!$D$9,IF(AND(W386&lt;=$K101,W386&gt;0),Tarification!$D$10,0)))</f>
        <v>50000</v>
      </c>
      <c r="X676" s="37">
        <f>IF(AND(X386&lt;=$I101,X386&gt;$J101),Tarification!$D$8,IF(AND(X386&lt;=$J101,X386&gt;$K101),Tarification!$D$9,IF(AND(X386&lt;=$K101,X386&gt;0),Tarification!$D$10,0)))</f>
        <v>0</v>
      </c>
      <c r="Y676" s="37">
        <f>IF(AND(Y386&lt;=$I101,Y386&gt;$J101),Tarification!$D$8,IF(AND(Y386&lt;=$J101,Y386&gt;$K101),Tarification!$D$9,IF(AND(Y386&lt;=$K101,Y386&gt;0),Tarification!$D$10,0)))</f>
        <v>0</v>
      </c>
      <c r="Z676" s="37">
        <f>IF(AND(Z386&lt;=$I101,Z386&gt;$J101),Tarification!$D$8,IF(AND(Z386&lt;=$J101,Z386&gt;$K101),Tarification!$D$9,IF(AND(Z386&lt;=$K101,Z386&gt;0),Tarification!$D$10,0)))</f>
        <v>0</v>
      </c>
      <c r="AA676" s="37">
        <f>IF(AND(AA386&lt;=$I101,AA386&gt;$J101),Tarification!$D$8,IF(AND(AA386&lt;=$J101,AA386&gt;$K101),Tarification!$D$9,IF(AND(AA386&lt;=$K101,AA386&gt;0),Tarification!$D$10,0)))</f>
        <v>0</v>
      </c>
      <c r="AB676" s="37">
        <f>IF(AND(AB386&lt;=$I101,AB386&gt;$J101),Tarification!$D$8,IF(AND(AB386&lt;=$J101,AB386&gt;$K101),Tarification!$D$9,IF(AND(AB386&lt;=$K101,AB386&gt;0),Tarification!$D$10,0)))</f>
        <v>0</v>
      </c>
      <c r="AC676" s="37">
        <f>IF(AND(AC386&lt;=$I101,AC386&gt;$J101),Tarification!$D$8,IF(AND(AC386&lt;=$J101,AC386&gt;$K101),Tarification!$D$9,IF(AND(AC386&lt;=$K101,AC386&gt;0),Tarification!$D$10,0)))</f>
        <v>0</v>
      </c>
      <c r="AD676" s="37">
        <f>IF(AND(AD386&lt;=$I101,AD386&gt;$J101),Tarification!$D$8,IF(AND(AD386&lt;=$J101,AD386&gt;$K101),Tarification!$D$9,IF(AND(AD386&lt;=$K101,AD386&gt;0),Tarification!$D$10,0)))</f>
        <v>0</v>
      </c>
      <c r="AE676" s="37">
        <f>IF(AND(AE386&lt;=$I101,AE386&gt;$J101),Tarification!$D$8,IF(AND(AE386&lt;=$J101,AE386&gt;$K101),Tarification!$D$9,IF(AND(AE386&lt;=$K101,AE386&gt;0),Tarification!$D$10,0)))</f>
        <v>50000</v>
      </c>
      <c r="AF676" s="37">
        <f>IF(AND(AF386&lt;=$I101,AF386&gt;$J101),Tarification!$D$8,IF(AND(AF386&lt;=$J101,AF386&gt;$K101),Tarification!$D$9,IF(AND(AF386&lt;=$K101,AF386&gt;0),Tarification!$D$10,0)))</f>
        <v>0</v>
      </c>
      <c r="AG676" s="37">
        <f>IF(AND(AG386&lt;=$I101,AG386&gt;$J101),Tarification!$D$8,IF(AND(AG386&lt;=$J101,AG386&gt;$K101),Tarification!$D$9,IF(AND(AG386&lt;=$K101,AG386&gt;0),Tarification!$D$10,0)))</f>
        <v>0</v>
      </c>
      <c r="AH676" s="37">
        <f>IF(AND(AH386&lt;=$I101,AH386&gt;$J101),Tarification!$D$8,IF(AND(AH386&lt;=$J101,AH386&gt;$K101),Tarification!$D$9,IF(AND(AH386&lt;=$K101,AH386&gt;0),Tarification!$D$10,0)))</f>
        <v>0</v>
      </c>
      <c r="AI676" s="37">
        <f>IF(AND(AI386&lt;=$I101,AI386&gt;$J101),Tarification!$D$8,IF(AND(AI386&lt;=$J101,AI386&gt;$K101),Tarification!$D$9,IF(AND(AI386&lt;=$K101,AI386&gt;0),Tarification!$D$10,0)))</f>
        <v>0</v>
      </c>
      <c r="AJ676" s="37">
        <f>IF(AND(AJ386&lt;=$I101,AJ386&gt;$J101),Tarification!$D$8,IF(AND(AJ386&lt;=$J101,AJ386&gt;$K101),Tarification!$D$9,IF(AND(AJ386&lt;=$K101,AJ386&gt;0),Tarification!$D$10,0)))</f>
        <v>0</v>
      </c>
      <c r="AK676" s="37">
        <f>IF(AND(AK386&lt;=$I101,AK386&gt;$J101),Tarification!$D$8,IF(AND(AK386&lt;=$J101,AK386&gt;$K101),Tarification!$D$9,IF(AND(AK386&lt;=$K101,AK386&gt;0),Tarification!$D$10,0)))</f>
        <v>0</v>
      </c>
      <c r="AL676" s="37">
        <f>IF(AND(AL386&lt;=$I101,AL386&gt;$J101),Tarification!$D$8,IF(AND(AL386&lt;=$J101,AL386&gt;$K101),Tarification!$D$9,IF(AND(AL386&lt;=$K101,AL386&gt;0),Tarification!$D$10,0)))</f>
        <v>0</v>
      </c>
      <c r="AM676" s="37">
        <f>IF(AND(AM386&lt;=$I101,AM386&gt;$J101),Tarification!$D$8,IF(AND(AM386&lt;=$J101,AM386&gt;$K101),Tarification!$D$9,IF(AND(AM386&lt;=$K101,AM386&gt;0),Tarification!$D$10,0)))</f>
        <v>0</v>
      </c>
      <c r="AN676" s="37">
        <f>IF(AND(AN386&lt;=$I101,AN386&gt;$J101),Tarification!$D$8,IF(AND(AN386&lt;=$J101,AN386&gt;$K101),Tarification!$D$9,IF(AND(AN386&lt;=$K101,AN386&gt;0),Tarification!$D$10,0)))</f>
        <v>0</v>
      </c>
      <c r="AQ676" s="101">
        <f t="shared" si="149"/>
        <v>5263.1578947368425</v>
      </c>
    </row>
    <row r="677" spans="14:43" ht="15.6">
      <c r="N677" s="39" t="s">
        <v>26</v>
      </c>
      <c r="O677" s="39" t="s">
        <v>240</v>
      </c>
      <c r="P677" t="s">
        <v>707</v>
      </c>
      <c r="Q677" s="39"/>
      <c r="V677" s="37">
        <f>IF(AND(V387&lt;=$I102,V387&gt;$J102),Tarification!$D$8,IF(AND(V387&lt;=$J102,V387&gt;$K102),Tarification!$D$9,IF(AND(V387&lt;=$K102,V387&gt;0),Tarification!$D$10,0)))</f>
        <v>0</v>
      </c>
      <c r="W677" s="37">
        <f>IF(AND(W387&lt;=$I102,W387&gt;$J102),Tarification!$D$8,IF(AND(W387&lt;=$J102,W387&gt;$K102),Tarification!$D$9,IF(AND(W387&lt;=$K102,W387&gt;0),Tarification!$D$10,0)))</f>
        <v>0</v>
      </c>
      <c r="X677" s="37">
        <f>IF(AND(X387&lt;=$I102,X387&gt;$J102),Tarification!$D$8,IF(AND(X387&lt;=$J102,X387&gt;$K102),Tarification!$D$9,IF(AND(X387&lt;=$K102,X387&gt;0),Tarification!$D$10,0)))</f>
        <v>0</v>
      </c>
      <c r="Y677" s="37">
        <f>IF(AND(Y387&lt;=$I102,Y387&gt;$J102),Tarification!$D$8,IF(AND(Y387&lt;=$J102,Y387&gt;$K102),Tarification!$D$9,IF(AND(Y387&lt;=$K102,Y387&gt;0),Tarification!$D$10,0)))</f>
        <v>0</v>
      </c>
      <c r="Z677" s="37">
        <f>IF(AND(Z387&lt;=$I102,Z387&gt;$J102),Tarification!$D$8,IF(AND(Z387&lt;=$J102,Z387&gt;$K102),Tarification!$D$9,IF(AND(Z387&lt;=$K102,Z387&gt;0),Tarification!$D$10,0)))</f>
        <v>0</v>
      </c>
      <c r="AA677" s="37">
        <f>IF(AND(AA387&lt;=$I102,AA387&gt;$J102),Tarification!$D$8,IF(AND(AA387&lt;=$J102,AA387&gt;$K102),Tarification!$D$9,IF(AND(AA387&lt;=$K102,AA387&gt;0),Tarification!$D$10,0)))</f>
        <v>0</v>
      </c>
      <c r="AB677" s="37">
        <f>IF(AND(AB387&lt;=$I102,AB387&gt;$J102),Tarification!$D$8,IF(AND(AB387&lt;=$J102,AB387&gt;$K102),Tarification!$D$9,IF(AND(AB387&lt;=$K102,AB387&gt;0),Tarification!$D$10,0)))</f>
        <v>0</v>
      </c>
      <c r="AC677" s="37">
        <f>IF(AND(AC387&lt;=$I102,AC387&gt;$J102),Tarification!$D$8,IF(AND(AC387&lt;=$J102,AC387&gt;$K102),Tarification!$D$9,IF(AND(AC387&lt;=$K102,AC387&gt;0),Tarification!$D$10,0)))</f>
        <v>0</v>
      </c>
      <c r="AD677" s="37">
        <f>IF(AND(AD387&lt;=$I102,AD387&gt;$J102),Tarification!$D$8,IF(AND(AD387&lt;=$J102,AD387&gt;$K102),Tarification!$D$9,IF(AND(AD387&lt;=$K102,AD387&gt;0),Tarification!$D$10,0)))</f>
        <v>0</v>
      </c>
      <c r="AE677" s="37">
        <f>IF(AND(AE387&lt;=$I102,AE387&gt;$J102),Tarification!$D$8,IF(AND(AE387&lt;=$J102,AE387&gt;$K102),Tarification!$D$9,IF(AND(AE387&lt;=$K102,AE387&gt;0),Tarification!$D$10,0)))</f>
        <v>50000</v>
      </c>
      <c r="AF677" s="37">
        <f>IF(AND(AF387&lt;=$I102,AF387&gt;$J102),Tarification!$D$8,IF(AND(AF387&lt;=$J102,AF387&gt;$K102),Tarification!$D$9,IF(AND(AF387&lt;=$K102,AF387&gt;0),Tarification!$D$10,0)))</f>
        <v>0</v>
      </c>
      <c r="AG677" s="37">
        <f>IF(AND(AG387&lt;=$I102,AG387&gt;$J102),Tarification!$D$8,IF(AND(AG387&lt;=$J102,AG387&gt;$K102),Tarification!$D$9,IF(AND(AG387&lt;=$K102,AG387&gt;0),Tarification!$D$10,0)))</f>
        <v>0</v>
      </c>
      <c r="AH677" s="37">
        <f>IF(AND(AH387&lt;=$I102,AH387&gt;$J102),Tarification!$D$8,IF(AND(AH387&lt;=$J102,AH387&gt;$K102),Tarification!$D$9,IF(AND(AH387&lt;=$K102,AH387&gt;0),Tarification!$D$10,0)))</f>
        <v>0</v>
      </c>
      <c r="AI677" s="37">
        <f>IF(AND(AI387&lt;=$I102,AI387&gt;$J102),Tarification!$D$8,IF(AND(AI387&lt;=$J102,AI387&gt;$K102),Tarification!$D$9,IF(AND(AI387&lt;=$K102,AI387&gt;0),Tarification!$D$10,0)))</f>
        <v>0</v>
      </c>
      <c r="AJ677" s="37">
        <f>IF(AND(AJ387&lt;=$I102,AJ387&gt;$J102),Tarification!$D$8,IF(AND(AJ387&lt;=$J102,AJ387&gt;$K102),Tarification!$D$9,IF(AND(AJ387&lt;=$K102,AJ387&gt;0),Tarification!$D$10,0)))</f>
        <v>0</v>
      </c>
      <c r="AK677" s="37">
        <f>IF(AND(AK387&lt;=$I102,AK387&gt;$J102),Tarification!$D$8,IF(AND(AK387&lt;=$J102,AK387&gt;$K102),Tarification!$D$9,IF(AND(AK387&lt;=$K102,AK387&gt;0),Tarification!$D$10,0)))</f>
        <v>0</v>
      </c>
      <c r="AL677" s="37">
        <f>IF(AND(AL387&lt;=$I102,AL387&gt;$J102),Tarification!$D$8,IF(AND(AL387&lt;=$J102,AL387&gt;$K102),Tarification!$D$9,IF(AND(AL387&lt;=$K102,AL387&gt;0),Tarification!$D$10,0)))</f>
        <v>0</v>
      </c>
      <c r="AM677" s="37">
        <f>IF(AND(AM387&lt;=$I102,AM387&gt;$J102),Tarification!$D$8,IF(AND(AM387&lt;=$J102,AM387&gt;$K102),Tarification!$D$9,IF(AND(AM387&lt;=$K102,AM387&gt;0),Tarification!$D$10,0)))</f>
        <v>0</v>
      </c>
      <c r="AN677" s="37">
        <f>IF(AND(AN387&lt;=$I102,AN387&gt;$J102),Tarification!$D$8,IF(AND(AN387&lt;=$J102,AN387&gt;$K102),Tarification!$D$9,IF(AND(AN387&lt;=$K102,AN387&gt;0),Tarification!$D$10,0)))</f>
        <v>0</v>
      </c>
      <c r="AQ677" s="101">
        <f t="shared" si="149"/>
        <v>2631.5789473684213</v>
      </c>
    </row>
    <row r="678" spans="14:43" ht="15.6">
      <c r="N678" s="39" t="s">
        <v>26</v>
      </c>
      <c r="O678" s="39" t="s">
        <v>594</v>
      </c>
      <c r="P678" t="s">
        <v>708</v>
      </c>
      <c r="Q678" s="39"/>
      <c r="V678" s="37">
        <f>IF(AND(V388&lt;=$I103,V388&gt;$J103),Tarification!$D$8,IF(AND(V388&lt;=$J103,V388&gt;$K103),Tarification!$D$9,IF(AND(V388&lt;=$K103,V388&gt;0),Tarification!$D$10,0)))</f>
        <v>0</v>
      </c>
      <c r="W678" s="37">
        <f>IF(AND(W388&lt;=$I103,W388&gt;$J103),Tarification!$D$8,IF(AND(W388&lt;=$J103,W388&gt;$K103),Tarification!$D$9,IF(AND(W388&lt;=$K103,W388&gt;0),Tarification!$D$10,0)))</f>
        <v>50000</v>
      </c>
      <c r="X678" s="37">
        <f>IF(AND(X388&lt;=$I103,X388&gt;$J103),Tarification!$D$8,IF(AND(X388&lt;=$J103,X388&gt;$K103),Tarification!$D$9,IF(AND(X388&lt;=$K103,X388&gt;0),Tarification!$D$10,0)))</f>
        <v>0</v>
      </c>
      <c r="Y678" s="37">
        <f>IF(AND(Y388&lt;=$I103,Y388&gt;$J103),Tarification!$D$8,IF(AND(Y388&lt;=$J103,Y388&gt;$K103),Tarification!$D$9,IF(AND(Y388&lt;=$K103,Y388&gt;0),Tarification!$D$10,0)))</f>
        <v>0</v>
      </c>
      <c r="Z678" s="37">
        <f>IF(AND(Z388&lt;=$I103,Z388&gt;$J103),Tarification!$D$8,IF(AND(Z388&lt;=$J103,Z388&gt;$K103),Tarification!$D$9,IF(AND(Z388&lt;=$K103,Z388&gt;0),Tarification!$D$10,0)))</f>
        <v>0</v>
      </c>
      <c r="AA678" s="37">
        <f>IF(AND(AA388&lt;=$I103,AA388&gt;$J103),Tarification!$D$8,IF(AND(AA388&lt;=$J103,AA388&gt;$K103),Tarification!$D$9,IF(AND(AA388&lt;=$K103,AA388&gt;0),Tarification!$D$10,0)))</f>
        <v>0</v>
      </c>
      <c r="AB678" s="37">
        <f>IF(AND(AB388&lt;=$I103,AB388&gt;$J103),Tarification!$D$8,IF(AND(AB388&lt;=$J103,AB388&gt;$K103),Tarification!$D$9,IF(AND(AB388&lt;=$K103,AB388&gt;0),Tarification!$D$10,0)))</f>
        <v>0</v>
      </c>
      <c r="AC678" s="37">
        <f>IF(AND(AC388&lt;=$I103,AC388&gt;$J103),Tarification!$D$8,IF(AND(AC388&lt;=$J103,AC388&gt;$K103),Tarification!$D$9,IF(AND(AC388&lt;=$K103,AC388&gt;0),Tarification!$D$10,0)))</f>
        <v>125000</v>
      </c>
      <c r="AD678" s="37">
        <f>IF(AND(AD388&lt;=$I103,AD388&gt;$J103),Tarification!$D$8,IF(AND(AD388&lt;=$J103,AD388&gt;$K103),Tarification!$D$9,IF(AND(AD388&lt;=$K103,AD388&gt;0),Tarification!$D$10,0)))</f>
        <v>0</v>
      </c>
      <c r="AE678" s="37">
        <f>IF(AND(AE388&lt;=$I103,AE388&gt;$J103),Tarification!$D$8,IF(AND(AE388&lt;=$J103,AE388&gt;$K103),Tarification!$D$9,IF(AND(AE388&lt;=$K103,AE388&gt;0),Tarification!$D$10,0)))</f>
        <v>250000</v>
      </c>
      <c r="AF678" s="37">
        <f>IF(AND(AF388&lt;=$I103,AF388&gt;$J103),Tarification!$D$8,IF(AND(AF388&lt;=$J103,AF388&gt;$K103),Tarification!$D$9,IF(AND(AF388&lt;=$K103,AF388&gt;0),Tarification!$D$10,0)))</f>
        <v>50000</v>
      </c>
      <c r="AG678" s="37">
        <f>IF(AND(AG388&lt;=$I103,AG388&gt;$J103),Tarification!$D$8,IF(AND(AG388&lt;=$J103,AG388&gt;$K103),Tarification!$D$9,IF(AND(AG388&lt;=$K103,AG388&gt;0),Tarification!$D$10,0)))</f>
        <v>0</v>
      </c>
      <c r="AH678" s="37">
        <f>IF(AND(AH388&lt;=$I103,AH388&gt;$J103),Tarification!$D$8,IF(AND(AH388&lt;=$J103,AH388&gt;$K103),Tarification!$D$9,IF(AND(AH388&lt;=$K103,AH388&gt;0),Tarification!$D$10,0)))</f>
        <v>0</v>
      </c>
      <c r="AI678" s="37">
        <f>IF(AND(AI388&lt;=$I103,AI388&gt;$J103),Tarification!$D$8,IF(AND(AI388&lt;=$J103,AI388&gt;$K103),Tarification!$D$9,IF(AND(AI388&lt;=$K103,AI388&gt;0),Tarification!$D$10,0)))</f>
        <v>0</v>
      </c>
      <c r="AJ678" s="37">
        <f>IF(AND(AJ388&lt;=$I103,AJ388&gt;$J103),Tarification!$D$8,IF(AND(AJ388&lt;=$J103,AJ388&gt;$K103),Tarification!$D$9,IF(AND(AJ388&lt;=$K103,AJ388&gt;0),Tarification!$D$10,0)))</f>
        <v>0</v>
      </c>
      <c r="AK678" s="37">
        <f>IF(AND(AK388&lt;=$I103,AK388&gt;$J103),Tarification!$D$8,IF(AND(AK388&lt;=$J103,AK388&gt;$K103),Tarification!$D$9,IF(AND(AK388&lt;=$K103,AK388&gt;0),Tarification!$D$10,0)))</f>
        <v>0</v>
      </c>
      <c r="AL678" s="37">
        <f>IF(AND(AL388&lt;=$I103,AL388&gt;$J103),Tarification!$D$8,IF(AND(AL388&lt;=$J103,AL388&gt;$K103),Tarification!$D$9,IF(AND(AL388&lt;=$K103,AL388&gt;0),Tarification!$D$10,0)))</f>
        <v>0</v>
      </c>
      <c r="AM678" s="37">
        <f>IF(AND(AM388&lt;=$I103,AM388&gt;$J103),Tarification!$D$8,IF(AND(AM388&lt;=$J103,AM388&gt;$K103),Tarification!$D$9,IF(AND(AM388&lt;=$K103,AM388&gt;0),Tarification!$D$10,0)))</f>
        <v>0</v>
      </c>
      <c r="AN678" s="37">
        <f>IF(AND(AN388&lt;=$I103,AN388&gt;$J103),Tarification!$D$8,IF(AND(AN388&lt;=$J103,AN388&gt;$K103),Tarification!$D$9,IF(AND(AN388&lt;=$K103,AN388&gt;0),Tarification!$D$10,0)))</f>
        <v>50000</v>
      </c>
      <c r="AQ678" s="101">
        <f t="shared" si="149"/>
        <v>27631.57894736842</v>
      </c>
    </row>
    <row r="679" spans="14:43" ht="15.6">
      <c r="N679" s="39" t="s">
        <v>26</v>
      </c>
      <c r="O679" s="39" t="s">
        <v>576</v>
      </c>
      <c r="P679" t="s">
        <v>709</v>
      </c>
      <c r="Q679" s="39"/>
      <c r="V679" s="37">
        <f>IF(AND(V389&lt;=$I104,V389&gt;$J104),Tarification!$D$8,IF(AND(V389&lt;=$J104,V389&gt;$K104),Tarification!$D$9,IF(AND(V389&lt;=$K104,V389&gt;0),Tarification!$D$10,0)))</f>
        <v>0</v>
      </c>
      <c r="W679" s="37">
        <f>IF(AND(W389&lt;=$I104,W389&gt;$J104),Tarification!$D$8,IF(AND(W389&lt;=$J104,W389&gt;$K104),Tarification!$D$9,IF(AND(W389&lt;=$K104,W389&gt;0),Tarification!$D$10,0)))</f>
        <v>0</v>
      </c>
      <c r="X679" s="37">
        <f>IF(AND(X389&lt;=$I104,X389&gt;$J104),Tarification!$D$8,IF(AND(X389&lt;=$J104,X389&gt;$K104),Tarification!$D$9,IF(AND(X389&lt;=$K104,X389&gt;0),Tarification!$D$10,0)))</f>
        <v>0</v>
      </c>
      <c r="Y679" s="37">
        <f>IF(AND(Y389&lt;=$I104,Y389&gt;$J104),Tarification!$D$8,IF(AND(Y389&lt;=$J104,Y389&gt;$K104),Tarification!$D$9,IF(AND(Y389&lt;=$K104,Y389&gt;0),Tarification!$D$10,0)))</f>
        <v>0</v>
      </c>
      <c r="Z679" s="37">
        <f>IF(AND(Z389&lt;=$I104,Z389&gt;$J104),Tarification!$D$8,IF(AND(Z389&lt;=$J104,Z389&gt;$K104),Tarification!$D$9,IF(AND(Z389&lt;=$K104,Z389&gt;0),Tarification!$D$10,0)))</f>
        <v>0</v>
      </c>
      <c r="AA679" s="37">
        <f>IF(AND(AA389&lt;=$I104,AA389&gt;$J104),Tarification!$D$8,IF(AND(AA389&lt;=$J104,AA389&gt;$K104),Tarification!$D$9,IF(AND(AA389&lt;=$K104,AA389&gt;0),Tarification!$D$10,0)))</f>
        <v>0</v>
      </c>
      <c r="AB679" s="37">
        <f>IF(AND(AB389&lt;=$I104,AB389&gt;$J104),Tarification!$D$8,IF(AND(AB389&lt;=$J104,AB389&gt;$K104),Tarification!$D$9,IF(AND(AB389&lt;=$K104,AB389&gt;0),Tarification!$D$10,0)))</f>
        <v>0</v>
      </c>
      <c r="AC679" s="37">
        <f>IF(AND(AC389&lt;=$I104,AC389&gt;$J104),Tarification!$D$8,IF(AND(AC389&lt;=$J104,AC389&gt;$K104),Tarification!$D$9,IF(AND(AC389&lt;=$K104,AC389&gt;0),Tarification!$D$10,0)))</f>
        <v>125000</v>
      </c>
      <c r="AD679" s="37">
        <f>IF(AND(AD389&lt;=$I104,AD389&gt;$J104),Tarification!$D$8,IF(AND(AD389&lt;=$J104,AD389&gt;$K104),Tarification!$D$9,IF(AND(AD389&lt;=$K104,AD389&gt;0),Tarification!$D$10,0)))</f>
        <v>0</v>
      </c>
      <c r="AE679" s="37">
        <f>IF(AND(AE389&lt;=$I104,AE389&gt;$J104),Tarification!$D$8,IF(AND(AE389&lt;=$J104,AE389&gt;$K104),Tarification!$D$9,IF(AND(AE389&lt;=$K104,AE389&gt;0),Tarification!$D$10,0)))</f>
        <v>250000</v>
      </c>
      <c r="AF679" s="37">
        <f>IF(AND(AF389&lt;=$I104,AF389&gt;$J104),Tarification!$D$8,IF(AND(AF389&lt;=$J104,AF389&gt;$K104),Tarification!$D$9,IF(AND(AF389&lt;=$K104,AF389&gt;0),Tarification!$D$10,0)))</f>
        <v>0</v>
      </c>
      <c r="AG679" s="37">
        <f>IF(AND(AG389&lt;=$I104,AG389&gt;$J104),Tarification!$D$8,IF(AND(AG389&lt;=$J104,AG389&gt;$K104),Tarification!$D$9,IF(AND(AG389&lt;=$K104,AG389&gt;0),Tarification!$D$10,0)))</f>
        <v>0</v>
      </c>
      <c r="AH679" s="37">
        <f>IF(AND(AH389&lt;=$I104,AH389&gt;$J104),Tarification!$D$8,IF(AND(AH389&lt;=$J104,AH389&gt;$K104),Tarification!$D$9,IF(AND(AH389&lt;=$K104,AH389&gt;0),Tarification!$D$10,0)))</f>
        <v>0</v>
      </c>
      <c r="AI679" s="37">
        <f>IF(AND(AI389&lt;=$I104,AI389&gt;$J104),Tarification!$D$8,IF(AND(AI389&lt;=$J104,AI389&gt;$K104),Tarification!$D$9,IF(AND(AI389&lt;=$K104,AI389&gt;0),Tarification!$D$10,0)))</f>
        <v>0</v>
      </c>
      <c r="AJ679" s="37">
        <f>IF(AND(AJ389&lt;=$I104,AJ389&gt;$J104),Tarification!$D$8,IF(AND(AJ389&lt;=$J104,AJ389&gt;$K104),Tarification!$D$9,IF(AND(AJ389&lt;=$K104,AJ389&gt;0),Tarification!$D$10,0)))</f>
        <v>0</v>
      </c>
      <c r="AK679" s="37">
        <f>IF(AND(AK389&lt;=$I104,AK389&gt;$J104),Tarification!$D$8,IF(AND(AK389&lt;=$J104,AK389&gt;$K104),Tarification!$D$9,IF(AND(AK389&lt;=$K104,AK389&gt;0),Tarification!$D$10,0)))</f>
        <v>0</v>
      </c>
      <c r="AL679" s="37">
        <f>IF(AND(AL389&lt;=$I104,AL389&gt;$J104),Tarification!$D$8,IF(AND(AL389&lt;=$J104,AL389&gt;$K104),Tarification!$D$9,IF(AND(AL389&lt;=$K104,AL389&gt;0),Tarification!$D$10,0)))</f>
        <v>0</v>
      </c>
      <c r="AM679" s="37">
        <f>IF(AND(AM389&lt;=$I104,AM389&gt;$J104),Tarification!$D$8,IF(AND(AM389&lt;=$J104,AM389&gt;$K104),Tarification!$D$9,IF(AND(AM389&lt;=$K104,AM389&gt;0),Tarification!$D$10,0)))</f>
        <v>0</v>
      </c>
      <c r="AN679" s="37">
        <f>IF(AND(AN389&lt;=$I104,AN389&gt;$J104),Tarification!$D$8,IF(AND(AN389&lt;=$J104,AN389&gt;$K104),Tarification!$D$9,IF(AND(AN389&lt;=$K104,AN389&gt;0),Tarification!$D$10,0)))</f>
        <v>0</v>
      </c>
      <c r="AQ679" s="101">
        <f t="shared" si="149"/>
        <v>19736.842105263157</v>
      </c>
    </row>
    <row r="680" spans="14:43" ht="15.6">
      <c r="N680" s="39" t="s">
        <v>26</v>
      </c>
      <c r="O680" s="39" t="s">
        <v>576</v>
      </c>
      <c r="P680" t="s">
        <v>710</v>
      </c>
      <c r="Q680" s="39"/>
      <c r="V680" s="37">
        <f>IF(AND(V390&lt;=$I105,V390&gt;$J105),Tarification!$D$8,IF(AND(V390&lt;=$J105,V390&gt;$K105),Tarification!$D$9,IF(AND(V390&lt;=$K105,V390&gt;0),Tarification!$D$10,0)))</f>
        <v>0</v>
      </c>
      <c r="W680" s="37">
        <f>IF(AND(W390&lt;=$I105,W390&gt;$J105),Tarification!$D$8,IF(AND(W390&lt;=$J105,W390&gt;$K105),Tarification!$D$9,IF(AND(W390&lt;=$K105,W390&gt;0),Tarification!$D$10,0)))</f>
        <v>0</v>
      </c>
      <c r="X680" s="37">
        <f>IF(AND(X390&lt;=$I105,X390&gt;$J105),Tarification!$D$8,IF(AND(X390&lt;=$J105,X390&gt;$K105),Tarification!$D$9,IF(AND(X390&lt;=$K105,X390&gt;0),Tarification!$D$10,0)))</f>
        <v>0</v>
      </c>
      <c r="Y680" s="37">
        <f>IF(AND(Y390&lt;=$I105,Y390&gt;$J105),Tarification!$D$8,IF(AND(Y390&lt;=$J105,Y390&gt;$K105),Tarification!$D$9,IF(AND(Y390&lt;=$K105,Y390&gt;0),Tarification!$D$10,0)))</f>
        <v>0</v>
      </c>
      <c r="Z680" s="37">
        <f>IF(AND(Z390&lt;=$I105,Z390&gt;$J105),Tarification!$D$8,IF(AND(Z390&lt;=$J105,Z390&gt;$K105),Tarification!$D$9,IF(AND(Z390&lt;=$K105,Z390&gt;0),Tarification!$D$10,0)))</f>
        <v>0</v>
      </c>
      <c r="AA680" s="37">
        <f>IF(AND(AA390&lt;=$I105,AA390&gt;$J105),Tarification!$D$8,IF(AND(AA390&lt;=$J105,AA390&gt;$K105),Tarification!$D$9,IF(AND(AA390&lt;=$K105,AA390&gt;0),Tarification!$D$10,0)))</f>
        <v>0</v>
      </c>
      <c r="AB680" s="37">
        <f>IF(AND(AB390&lt;=$I105,AB390&gt;$J105),Tarification!$D$8,IF(AND(AB390&lt;=$J105,AB390&gt;$K105),Tarification!$D$9,IF(AND(AB390&lt;=$K105,AB390&gt;0),Tarification!$D$10,0)))</f>
        <v>0</v>
      </c>
      <c r="AC680" s="37">
        <f>IF(AND(AC390&lt;=$I105,AC390&gt;$J105),Tarification!$D$8,IF(AND(AC390&lt;=$J105,AC390&gt;$K105),Tarification!$D$9,IF(AND(AC390&lt;=$K105,AC390&gt;0),Tarification!$D$10,0)))</f>
        <v>50000</v>
      </c>
      <c r="AD680" s="37">
        <f>IF(AND(AD390&lt;=$I105,AD390&gt;$J105),Tarification!$D$8,IF(AND(AD390&lt;=$J105,AD390&gt;$K105),Tarification!$D$9,IF(AND(AD390&lt;=$K105,AD390&gt;0),Tarification!$D$10,0)))</f>
        <v>0</v>
      </c>
      <c r="AE680" s="37">
        <f>IF(AND(AE390&lt;=$I105,AE390&gt;$J105),Tarification!$D$8,IF(AND(AE390&lt;=$J105,AE390&gt;$K105),Tarification!$D$9,IF(AND(AE390&lt;=$K105,AE390&gt;0),Tarification!$D$10,0)))</f>
        <v>250000</v>
      </c>
      <c r="AF680" s="37">
        <f>IF(AND(AF390&lt;=$I105,AF390&gt;$J105),Tarification!$D$8,IF(AND(AF390&lt;=$J105,AF390&gt;$K105),Tarification!$D$9,IF(AND(AF390&lt;=$K105,AF390&gt;0),Tarification!$D$10,0)))</f>
        <v>0</v>
      </c>
      <c r="AG680" s="37">
        <f>IF(AND(AG390&lt;=$I105,AG390&gt;$J105),Tarification!$D$8,IF(AND(AG390&lt;=$J105,AG390&gt;$K105),Tarification!$D$9,IF(AND(AG390&lt;=$K105,AG390&gt;0),Tarification!$D$10,0)))</f>
        <v>0</v>
      </c>
      <c r="AH680" s="37">
        <f>IF(AND(AH390&lt;=$I105,AH390&gt;$J105),Tarification!$D$8,IF(AND(AH390&lt;=$J105,AH390&gt;$K105),Tarification!$D$9,IF(AND(AH390&lt;=$K105,AH390&gt;0),Tarification!$D$10,0)))</f>
        <v>0</v>
      </c>
      <c r="AI680" s="37">
        <f>IF(AND(AI390&lt;=$I105,AI390&gt;$J105),Tarification!$D$8,IF(AND(AI390&lt;=$J105,AI390&gt;$K105),Tarification!$D$9,IF(AND(AI390&lt;=$K105,AI390&gt;0),Tarification!$D$10,0)))</f>
        <v>0</v>
      </c>
      <c r="AJ680" s="37">
        <f>IF(AND(AJ390&lt;=$I105,AJ390&gt;$J105),Tarification!$D$8,IF(AND(AJ390&lt;=$J105,AJ390&gt;$K105),Tarification!$D$9,IF(AND(AJ390&lt;=$K105,AJ390&gt;0),Tarification!$D$10,0)))</f>
        <v>0</v>
      </c>
      <c r="AK680" s="37">
        <f>IF(AND(AK390&lt;=$I105,AK390&gt;$J105),Tarification!$D$8,IF(AND(AK390&lt;=$J105,AK390&gt;$K105),Tarification!$D$9,IF(AND(AK390&lt;=$K105,AK390&gt;0),Tarification!$D$10,0)))</f>
        <v>0</v>
      </c>
      <c r="AL680" s="37">
        <f>IF(AND(AL390&lt;=$I105,AL390&gt;$J105),Tarification!$D$8,IF(AND(AL390&lt;=$J105,AL390&gt;$K105),Tarification!$D$9,IF(AND(AL390&lt;=$K105,AL390&gt;0),Tarification!$D$10,0)))</f>
        <v>0</v>
      </c>
      <c r="AM680" s="37">
        <f>IF(AND(AM390&lt;=$I105,AM390&gt;$J105),Tarification!$D$8,IF(AND(AM390&lt;=$J105,AM390&gt;$K105),Tarification!$D$9,IF(AND(AM390&lt;=$K105,AM390&gt;0),Tarification!$D$10,0)))</f>
        <v>0</v>
      </c>
      <c r="AN680" s="37">
        <f>IF(AND(AN390&lt;=$I105,AN390&gt;$J105),Tarification!$D$8,IF(AND(AN390&lt;=$J105,AN390&gt;$K105),Tarification!$D$9,IF(AND(AN390&lt;=$K105,AN390&gt;0),Tarification!$D$10,0)))</f>
        <v>0</v>
      </c>
      <c r="AQ680" s="101">
        <f t="shared" si="149"/>
        <v>15789.473684210527</v>
      </c>
    </row>
    <row r="681" spans="14:43" ht="15.6">
      <c r="N681" s="39" t="s">
        <v>26</v>
      </c>
      <c r="O681" s="39" t="s">
        <v>576</v>
      </c>
      <c r="P681" t="s">
        <v>711</v>
      </c>
      <c r="Q681" s="39"/>
      <c r="V681" s="37">
        <f>IF(AND(V391&lt;=$I106,V391&gt;$J106),Tarification!$D$8,IF(AND(V391&lt;=$J106,V391&gt;$K106),Tarification!$D$9,IF(AND(V391&lt;=$K106,V391&gt;0),Tarification!$D$10,0)))</f>
        <v>0</v>
      </c>
      <c r="W681" s="37">
        <f>IF(AND(W391&lt;=$I106,W391&gt;$J106),Tarification!$D$8,IF(AND(W391&lt;=$J106,W391&gt;$K106),Tarification!$D$9,IF(AND(W391&lt;=$K106,W391&gt;0),Tarification!$D$10,0)))</f>
        <v>0</v>
      </c>
      <c r="X681" s="37">
        <f>IF(AND(X391&lt;=$I106,X391&gt;$J106),Tarification!$D$8,IF(AND(X391&lt;=$J106,X391&gt;$K106),Tarification!$D$9,IF(AND(X391&lt;=$K106,X391&gt;0),Tarification!$D$10,0)))</f>
        <v>0</v>
      </c>
      <c r="Y681" s="37">
        <f>IF(AND(Y391&lt;=$I106,Y391&gt;$J106),Tarification!$D$8,IF(AND(Y391&lt;=$J106,Y391&gt;$K106),Tarification!$D$9,IF(AND(Y391&lt;=$K106,Y391&gt;0),Tarification!$D$10,0)))</f>
        <v>0</v>
      </c>
      <c r="Z681" s="37">
        <f>IF(AND(Z391&lt;=$I106,Z391&gt;$J106),Tarification!$D$8,IF(AND(Z391&lt;=$J106,Z391&gt;$K106),Tarification!$D$9,IF(AND(Z391&lt;=$K106,Z391&gt;0),Tarification!$D$10,0)))</f>
        <v>0</v>
      </c>
      <c r="AA681" s="37">
        <f>IF(AND(AA391&lt;=$I106,AA391&gt;$J106),Tarification!$D$8,IF(AND(AA391&lt;=$J106,AA391&gt;$K106),Tarification!$D$9,IF(AND(AA391&lt;=$K106,AA391&gt;0),Tarification!$D$10,0)))</f>
        <v>0</v>
      </c>
      <c r="AB681" s="37">
        <f>IF(AND(AB391&lt;=$I106,AB391&gt;$J106),Tarification!$D$8,IF(AND(AB391&lt;=$J106,AB391&gt;$K106),Tarification!$D$9,IF(AND(AB391&lt;=$K106,AB391&gt;0),Tarification!$D$10,0)))</f>
        <v>0</v>
      </c>
      <c r="AC681" s="37">
        <f>IF(AND(AC391&lt;=$I106,AC391&gt;$J106),Tarification!$D$8,IF(AND(AC391&lt;=$J106,AC391&gt;$K106),Tarification!$D$9,IF(AND(AC391&lt;=$K106,AC391&gt;0),Tarification!$D$10,0)))</f>
        <v>50000</v>
      </c>
      <c r="AD681" s="37">
        <f>IF(AND(AD391&lt;=$I106,AD391&gt;$J106),Tarification!$D$8,IF(AND(AD391&lt;=$J106,AD391&gt;$K106),Tarification!$D$9,IF(AND(AD391&lt;=$K106,AD391&gt;0),Tarification!$D$10,0)))</f>
        <v>0</v>
      </c>
      <c r="AE681" s="37">
        <f>IF(AND(AE391&lt;=$I106,AE391&gt;$J106),Tarification!$D$8,IF(AND(AE391&lt;=$J106,AE391&gt;$K106),Tarification!$D$9,IF(AND(AE391&lt;=$K106,AE391&gt;0),Tarification!$D$10,0)))</f>
        <v>250000</v>
      </c>
      <c r="AF681" s="37">
        <f>IF(AND(AF391&lt;=$I106,AF391&gt;$J106),Tarification!$D$8,IF(AND(AF391&lt;=$J106,AF391&gt;$K106),Tarification!$D$9,IF(AND(AF391&lt;=$K106,AF391&gt;0),Tarification!$D$10,0)))</f>
        <v>0</v>
      </c>
      <c r="AG681" s="37">
        <f>IF(AND(AG391&lt;=$I106,AG391&gt;$J106),Tarification!$D$8,IF(AND(AG391&lt;=$J106,AG391&gt;$K106),Tarification!$D$9,IF(AND(AG391&lt;=$K106,AG391&gt;0),Tarification!$D$10,0)))</f>
        <v>0</v>
      </c>
      <c r="AH681" s="37">
        <f>IF(AND(AH391&lt;=$I106,AH391&gt;$J106),Tarification!$D$8,IF(AND(AH391&lt;=$J106,AH391&gt;$K106),Tarification!$D$9,IF(AND(AH391&lt;=$K106,AH391&gt;0),Tarification!$D$10,0)))</f>
        <v>0</v>
      </c>
      <c r="AI681" s="37">
        <f>IF(AND(AI391&lt;=$I106,AI391&gt;$J106),Tarification!$D$8,IF(AND(AI391&lt;=$J106,AI391&gt;$K106),Tarification!$D$9,IF(AND(AI391&lt;=$K106,AI391&gt;0),Tarification!$D$10,0)))</f>
        <v>0</v>
      </c>
      <c r="AJ681" s="37">
        <f>IF(AND(AJ391&lt;=$I106,AJ391&gt;$J106),Tarification!$D$8,IF(AND(AJ391&lt;=$J106,AJ391&gt;$K106),Tarification!$D$9,IF(AND(AJ391&lt;=$K106,AJ391&gt;0),Tarification!$D$10,0)))</f>
        <v>0</v>
      </c>
      <c r="AK681" s="37">
        <f>IF(AND(AK391&lt;=$I106,AK391&gt;$J106),Tarification!$D$8,IF(AND(AK391&lt;=$J106,AK391&gt;$K106),Tarification!$D$9,IF(AND(AK391&lt;=$K106,AK391&gt;0),Tarification!$D$10,0)))</f>
        <v>0</v>
      </c>
      <c r="AL681" s="37">
        <f>IF(AND(AL391&lt;=$I106,AL391&gt;$J106),Tarification!$D$8,IF(AND(AL391&lt;=$J106,AL391&gt;$K106),Tarification!$D$9,IF(AND(AL391&lt;=$K106,AL391&gt;0),Tarification!$D$10,0)))</f>
        <v>0</v>
      </c>
      <c r="AM681" s="37">
        <f>IF(AND(AM391&lt;=$I106,AM391&gt;$J106),Tarification!$D$8,IF(AND(AM391&lt;=$J106,AM391&gt;$K106),Tarification!$D$9,IF(AND(AM391&lt;=$K106,AM391&gt;0),Tarification!$D$10,0)))</f>
        <v>0</v>
      </c>
      <c r="AN681" s="37">
        <f>IF(AND(AN391&lt;=$I106,AN391&gt;$J106),Tarification!$D$8,IF(AND(AN391&lt;=$J106,AN391&gt;$K106),Tarification!$D$9,IF(AND(AN391&lt;=$K106,AN391&gt;0),Tarification!$D$10,0)))</f>
        <v>0</v>
      </c>
      <c r="AQ681" s="101">
        <f t="shared" si="149"/>
        <v>15789.473684210527</v>
      </c>
    </row>
    <row r="682" spans="14:43" ht="15.6">
      <c r="N682" s="39" t="s">
        <v>26</v>
      </c>
      <c r="O682" s="39" t="s">
        <v>576</v>
      </c>
      <c r="P682" t="s">
        <v>712</v>
      </c>
      <c r="Q682" s="39"/>
      <c r="V682" s="37">
        <f>IF(AND(V392&lt;=$I107,V392&gt;$J107),Tarification!$D$8,IF(AND(V392&lt;=$J107,V392&gt;$K107),Tarification!$D$9,IF(AND(V392&lt;=$K107,V392&gt;0),Tarification!$D$10,0)))</f>
        <v>0</v>
      </c>
      <c r="W682" s="37">
        <f>IF(AND(W392&lt;=$I107,W392&gt;$J107),Tarification!$D$8,IF(AND(W392&lt;=$J107,W392&gt;$K107),Tarification!$D$9,IF(AND(W392&lt;=$K107,W392&gt;0),Tarification!$D$10,0)))</f>
        <v>50000</v>
      </c>
      <c r="X682" s="37">
        <f>IF(AND(X392&lt;=$I107,X392&gt;$J107),Tarification!$D$8,IF(AND(X392&lt;=$J107,X392&gt;$K107),Tarification!$D$9,IF(AND(X392&lt;=$K107,X392&gt;0),Tarification!$D$10,0)))</f>
        <v>0</v>
      </c>
      <c r="Y682" s="37">
        <f>IF(AND(Y392&lt;=$I107,Y392&gt;$J107),Tarification!$D$8,IF(AND(Y392&lt;=$J107,Y392&gt;$K107),Tarification!$D$9,IF(AND(Y392&lt;=$K107,Y392&gt;0),Tarification!$D$10,0)))</f>
        <v>0</v>
      </c>
      <c r="Z682" s="37">
        <f>IF(AND(Z392&lt;=$I107,Z392&gt;$J107),Tarification!$D$8,IF(AND(Z392&lt;=$J107,Z392&gt;$K107),Tarification!$D$9,IF(AND(Z392&lt;=$K107,Z392&gt;0),Tarification!$D$10,0)))</f>
        <v>0</v>
      </c>
      <c r="AA682" s="37">
        <f>IF(AND(AA392&lt;=$I107,AA392&gt;$J107),Tarification!$D$8,IF(AND(AA392&lt;=$J107,AA392&gt;$K107),Tarification!$D$9,IF(AND(AA392&lt;=$K107,AA392&gt;0),Tarification!$D$10,0)))</f>
        <v>0</v>
      </c>
      <c r="AB682" s="37">
        <f>IF(AND(AB392&lt;=$I107,AB392&gt;$J107),Tarification!$D$8,IF(AND(AB392&lt;=$J107,AB392&gt;$K107),Tarification!$D$9,IF(AND(AB392&lt;=$K107,AB392&gt;0),Tarification!$D$10,0)))</f>
        <v>50000</v>
      </c>
      <c r="AC682" s="37">
        <f>IF(AND(AC392&lt;=$I107,AC392&gt;$J107),Tarification!$D$8,IF(AND(AC392&lt;=$J107,AC392&gt;$K107),Tarification!$D$9,IF(AND(AC392&lt;=$K107,AC392&gt;0),Tarification!$D$10,0)))</f>
        <v>250000</v>
      </c>
      <c r="AD682" s="37">
        <f>IF(AND(AD392&lt;=$I107,AD392&gt;$J107),Tarification!$D$8,IF(AND(AD392&lt;=$J107,AD392&gt;$K107),Tarification!$D$9,IF(AND(AD392&lt;=$K107,AD392&gt;0),Tarification!$D$10,0)))</f>
        <v>0</v>
      </c>
      <c r="AE682" s="37">
        <f>IF(AND(AE392&lt;=$I107,AE392&gt;$J107),Tarification!$D$8,IF(AND(AE392&lt;=$J107,AE392&gt;$K107),Tarification!$D$9,IF(AND(AE392&lt;=$K107,AE392&gt;0),Tarification!$D$10,0)))</f>
        <v>125000</v>
      </c>
      <c r="AF682" s="37">
        <f>IF(AND(AF392&lt;=$I107,AF392&gt;$J107),Tarification!$D$8,IF(AND(AF392&lt;=$J107,AF392&gt;$K107),Tarification!$D$9,IF(AND(AF392&lt;=$K107,AF392&gt;0),Tarification!$D$10,0)))</f>
        <v>0</v>
      </c>
      <c r="AG682" s="37">
        <f>IF(AND(AG392&lt;=$I107,AG392&gt;$J107),Tarification!$D$8,IF(AND(AG392&lt;=$J107,AG392&gt;$K107),Tarification!$D$9,IF(AND(AG392&lt;=$K107,AG392&gt;0),Tarification!$D$10,0)))</f>
        <v>0</v>
      </c>
      <c r="AH682" s="37">
        <f>IF(AND(AH392&lt;=$I107,AH392&gt;$J107),Tarification!$D$8,IF(AND(AH392&lt;=$J107,AH392&gt;$K107),Tarification!$D$9,IF(AND(AH392&lt;=$K107,AH392&gt;0),Tarification!$D$10,0)))</f>
        <v>0</v>
      </c>
      <c r="AI682" s="37">
        <f>IF(AND(AI392&lt;=$I107,AI392&gt;$J107),Tarification!$D$8,IF(AND(AI392&lt;=$J107,AI392&gt;$K107),Tarification!$D$9,IF(AND(AI392&lt;=$K107,AI392&gt;0),Tarification!$D$10,0)))</f>
        <v>0</v>
      </c>
      <c r="AJ682" s="37">
        <f>IF(AND(AJ392&lt;=$I107,AJ392&gt;$J107),Tarification!$D$8,IF(AND(AJ392&lt;=$J107,AJ392&gt;$K107),Tarification!$D$9,IF(AND(AJ392&lt;=$K107,AJ392&gt;0),Tarification!$D$10,0)))</f>
        <v>0</v>
      </c>
      <c r="AK682" s="37">
        <f>IF(AND(AK392&lt;=$I107,AK392&gt;$J107),Tarification!$D$8,IF(AND(AK392&lt;=$J107,AK392&gt;$K107),Tarification!$D$9,IF(AND(AK392&lt;=$K107,AK392&gt;0),Tarification!$D$10,0)))</f>
        <v>0</v>
      </c>
      <c r="AL682" s="37">
        <f>IF(AND(AL392&lt;=$I107,AL392&gt;$J107),Tarification!$D$8,IF(AND(AL392&lt;=$J107,AL392&gt;$K107),Tarification!$D$9,IF(AND(AL392&lt;=$K107,AL392&gt;0),Tarification!$D$10,0)))</f>
        <v>0</v>
      </c>
      <c r="AM682" s="37">
        <f>IF(AND(AM392&lt;=$I107,AM392&gt;$J107),Tarification!$D$8,IF(AND(AM392&lt;=$J107,AM392&gt;$K107),Tarification!$D$9,IF(AND(AM392&lt;=$K107,AM392&gt;0),Tarification!$D$10,0)))</f>
        <v>0</v>
      </c>
      <c r="AN682" s="37">
        <f>IF(AND(AN392&lt;=$I107,AN392&gt;$J107),Tarification!$D$8,IF(AND(AN392&lt;=$J107,AN392&gt;$K107),Tarification!$D$9,IF(AND(AN392&lt;=$K107,AN392&gt;0),Tarification!$D$10,0)))</f>
        <v>50000</v>
      </c>
      <c r="AQ682" s="101">
        <f t="shared" si="149"/>
        <v>27631.57894736842</v>
      </c>
    </row>
    <row r="683" spans="14:43" ht="15.6">
      <c r="N683" s="39" t="s">
        <v>26</v>
      </c>
      <c r="O683" s="39" t="s">
        <v>601</v>
      </c>
      <c r="P683" t="s">
        <v>713</v>
      </c>
      <c r="Q683" s="39"/>
      <c r="V683" s="37">
        <f>IF(AND(V393&lt;=$I108,V393&gt;$J108),Tarification!$D$8,IF(AND(V393&lt;=$J108,V393&gt;$K108),Tarification!$D$9,IF(AND(V393&lt;=$K108,V393&gt;0),Tarification!$D$10,0)))</f>
        <v>0</v>
      </c>
      <c r="W683" s="37">
        <f>IF(AND(W393&lt;=$I108,W393&gt;$J108),Tarification!$D$8,IF(AND(W393&lt;=$J108,W393&gt;$K108),Tarification!$D$9,IF(AND(W393&lt;=$K108,W393&gt;0),Tarification!$D$10,0)))</f>
        <v>0</v>
      </c>
      <c r="X683" s="37">
        <f>IF(AND(X393&lt;=$I108,X393&gt;$J108),Tarification!$D$8,IF(AND(X393&lt;=$J108,X393&gt;$K108),Tarification!$D$9,IF(AND(X393&lt;=$K108,X393&gt;0),Tarification!$D$10,0)))</f>
        <v>0</v>
      </c>
      <c r="Y683" s="37">
        <f>IF(AND(Y393&lt;=$I108,Y393&gt;$J108),Tarification!$D$8,IF(AND(Y393&lt;=$J108,Y393&gt;$K108),Tarification!$D$9,IF(AND(Y393&lt;=$K108,Y393&gt;0),Tarification!$D$10,0)))</f>
        <v>0</v>
      </c>
      <c r="Z683" s="37">
        <f>IF(AND(Z393&lt;=$I108,Z393&gt;$J108),Tarification!$D$8,IF(AND(Z393&lt;=$J108,Z393&gt;$K108),Tarification!$D$9,IF(AND(Z393&lt;=$K108,Z393&gt;0),Tarification!$D$10,0)))</f>
        <v>0</v>
      </c>
      <c r="AA683" s="37">
        <f>IF(AND(AA393&lt;=$I108,AA393&gt;$J108),Tarification!$D$8,IF(AND(AA393&lt;=$J108,AA393&gt;$K108),Tarification!$D$9,IF(AND(AA393&lt;=$K108,AA393&gt;0),Tarification!$D$10,0)))</f>
        <v>0</v>
      </c>
      <c r="AB683" s="37">
        <f>IF(AND(AB393&lt;=$I108,AB393&gt;$J108),Tarification!$D$8,IF(AND(AB393&lt;=$J108,AB393&gt;$K108),Tarification!$D$9,IF(AND(AB393&lt;=$K108,AB393&gt;0),Tarification!$D$10,0)))</f>
        <v>0</v>
      </c>
      <c r="AC683" s="37">
        <f>IF(AND(AC393&lt;=$I108,AC393&gt;$J108),Tarification!$D$8,IF(AND(AC393&lt;=$J108,AC393&gt;$K108),Tarification!$D$9,IF(AND(AC393&lt;=$K108,AC393&gt;0),Tarification!$D$10,0)))</f>
        <v>50000</v>
      </c>
      <c r="AD683" s="37">
        <f>IF(AND(AD393&lt;=$I108,AD393&gt;$J108),Tarification!$D$8,IF(AND(AD393&lt;=$J108,AD393&gt;$K108),Tarification!$D$9,IF(AND(AD393&lt;=$K108,AD393&gt;0),Tarification!$D$10,0)))</f>
        <v>0</v>
      </c>
      <c r="AE683" s="37">
        <f>IF(AND(AE393&lt;=$I108,AE393&gt;$J108),Tarification!$D$8,IF(AND(AE393&lt;=$J108,AE393&gt;$K108),Tarification!$D$9,IF(AND(AE393&lt;=$K108,AE393&gt;0),Tarification!$D$10,0)))</f>
        <v>125000</v>
      </c>
      <c r="AF683" s="37">
        <f>IF(AND(AF393&lt;=$I108,AF393&gt;$J108),Tarification!$D$8,IF(AND(AF393&lt;=$J108,AF393&gt;$K108),Tarification!$D$9,IF(AND(AF393&lt;=$K108,AF393&gt;0),Tarification!$D$10,0)))</f>
        <v>0</v>
      </c>
      <c r="AG683" s="37">
        <f>IF(AND(AG393&lt;=$I108,AG393&gt;$J108),Tarification!$D$8,IF(AND(AG393&lt;=$J108,AG393&gt;$K108),Tarification!$D$9,IF(AND(AG393&lt;=$K108,AG393&gt;0),Tarification!$D$10,0)))</f>
        <v>0</v>
      </c>
      <c r="AH683" s="37">
        <f>IF(AND(AH393&lt;=$I108,AH393&gt;$J108),Tarification!$D$8,IF(AND(AH393&lt;=$J108,AH393&gt;$K108),Tarification!$D$9,IF(AND(AH393&lt;=$K108,AH393&gt;0),Tarification!$D$10,0)))</f>
        <v>0</v>
      </c>
      <c r="AI683" s="37">
        <f>IF(AND(AI393&lt;=$I108,AI393&gt;$J108),Tarification!$D$8,IF(AND(AI393&lt;=$J108,AI393&gt;$K108),Tarification!$D$9,IF(AND(AI393&lt;=$K108,AI393&gt;0),Tarification!$D$10,0)))</f>
        <v>0</v>
      </c>
      <c r="AJ683" s="37">
        <f>IF(AND(AJ393&lt;=$I108,AJ393&gt;$J108),Tarification!$D$8,IF(AND(AJ393&lt;=$J108,AJ393&gt;$K108),Tarification!$D$9,IF(AND(AJ393&lt;=$K108,AJ393&gt;0),Tarification!$D$10,0)))</f>
        <v>0</v>
      </c>
      <c r="AK683" s="37">
        <f>IF(AND(AK393&lt;=$I108,AK393&gt;$J108),Tarification!$D$8,IF(AND(AK393&lt;=$J108,AK393&gt;$K108),Tarification!$D$9,IF(AND(AK393&lt;=$K108,AK393&gt;0),Tarification!$D$10,0)))</f>
        <v>0</v>
      </c>
      <c r="AL683" s="37">
        <f>IF(AND(AL393&lt;=$I108,AL393&gt;$J108),Tarification!$D$8,IF(AND(AL393&lt;=$J108,AL393&gt;$K108),Tarification!$D$9,IF(AND(AL393&lt;=$K108,AL393&gt;0),Tarification!$D$10,0)))</f>
        <v>0</v>
      </c>
      <c r="AM683" s="37">
        <f>IF(AND(AM393&lt;=$I108,AM393&gt;$J108),Tarification!$D$8,IF(AND(AM393&lt;=$J108,AM393&gt;$K108),Tarification!$D$9,IF(AND(AM393&lt;=$K108,AM393&gt;0),Tarification!$D$10,0)))</f>
        <v>0</v>
      </c>
      <c r="AN683" s="37">
        <f>IF(AND(AN393&lt;=$I108,AN393&gt;$J108),Tarification!$D$8,IF(AND(AN393&lt;=$J108,AN393&gt;$K108),Tarification!$D$9,IF(AND(AN393&lt;=$K108,AN393&gt;0),Tarification!$D$10,0)))</f>
        <v>0</v>
      </c>
      <c r="AQ683" s="101">
        <f t="shared" si="149"/>
        <v>9210.5263157894733</v>
      </c>
    </row>
    <row r="684" spans="14:43" ht="15.6">
      <c r="N684" s="39" t="s">
        <v>26</v>
      </c>
      <c r="O684" s="39" t="s">
        <v>588</v>
      </c>
      <c r="P684" t="s">
        <v>714</v>
      </c>
      <c r="Q684" s="39"/>
      <c r="V684" s="37">
        <f>IF(AND(V394&lt;=$I109,V394&gt;$J109),Tarification!$D$8,IF(AND(V394&lt;=$J109,V394&gt;$K109),Tarification!$D$9,IF(AND(V394&lt;=$K109,V394&gt;0),Tarification!$D$10,0)))</f>
        <v>0</v>
      </c>
      <c r="W684" s="37">
        <f>IF(AND(W394&lt;=$I109,W394&gt;$J109),Tarification!$D$8,IF(AND(W394&lt;=$J109,W394&gt;$K109),Tarification!$D$9,IF(AND(W394&lt;=$K109,W394&gt;0),Tarification!$D$10,0)))</f>
        <v>0</v>
      </c>
      <c r="X684" s="37">
        <f>IF(AND(X394&lt;=$I109,X394&gt;$J109),Tarification!$D$8,IF(AND(X394&lt;=$J109,X394&gt;$K109),Tarification!$D$9,IF(AND(X394&lt;=$K109,X394&gt;0),Tarification!$D$10,0)))</f>
        <v>0</v>
      </c>
      <c r="Y684" s="37">
        <f>IF(AND(Y394&lt;=$I109,Y394&gt;$J109),Tarification!$D$8,IF(AND(Y394&lt;=$J109,Y394&gt;$K109),Tarification!$D$9,IF(AND(Y394&lt;=$K109,Y394&gt;0),Tarification!$D$10,0)))</f>
        <v>0</v>
      </c>
      <c r="Z684" s="37">
        <f>IF(AND(Z394&lt;=$I109,Z394&gt;$J109),Tarification!$D$8,IF(AND(Z394&lt;=$J109,Z394&gt;$K109),Tarification!$D$9,IF(AND(Z394&lt;=$K109,Z394&gt;0),Tarification!$D$10,0)))</f>
        <v>0</v>
      </c>
      <c r="AA684" s="37">
        <f>IF(AND(AA394&lt;=$I109,AA394&gt;$J109),Tarification!$D$8,IF(AND(AA394&lt;=$J109,AA394&gt;$K109),Tarification!$D$9,IF(AND(AA394&lt;=$K109,AA394&gt;0),Tarification!$D$10,0)))</f>
        <v>0</v>
      </c>
      <c r="AB684" s="37">
        <f>IF(AND(AB394&lt;=$I109,AB394&gt;$J109),Tarification!$D$8,IF(AND(AB394&lt;=$J109,AB394&gt;$K109),Tarification!$D$9,IF(AND(AB394&lt;=$K109,AB394&gt;0),Tarification!$D$10,0)))</f>
        <v>0</v>
      </c>
      <c r="AC684" s="37">
        <f>IF(AND(AC394&lt;=$I109,AC394&gt;$J109),Tarification!$D$8,IF(AND(AC394&lt;=$J109,AC394&gt;$K109),Tarification!$D$9,IF(AND(AC394&lt;=$K109,AC394&gt;0),Tarification!$D$10,0)))</f>
        <v>0</v>
      </c>
      <c r="AD684" s="37">
        <f>IF(AND(AD394&lt;=$I109,AD394&gt;$J109),Tarification!$D$8,IF(AND(AD394&lt;=$J109,AD394&gt;$K109),Tarification!$D$9,IF(AND(AD394&lt;=$K109,AD394&gt;0),Tarification!$D$10,0)))</f>
        <v>0</v>
      </c>
      <c r="AE684" s="37">
        <f>IF(AND(AE394&lt;=$I109,AE394&gt;$J109),Tarification!$D$8,IF(AND(AE394&lt;=$J109,AE394&gt;$K109),Tarification!$D$9,IF(AND(AE394&lt;=$K109,AE394&gt;0),Tarification!$D$10,0)))</f>
        <v>50000</v>
      </c>
      <c r="AF684" s="37">
        <f>IF(AND(AF394&lt;=$I109,AF394&gt;$J109),Tarification!$D$8,IF(AND(AF394&lt;=$J109,AF394&gt;$K109),Tarification!$D$9,IF(AND(AF394&lt;=$K109,AF394&gt;0),Tarification!$D$10,0)))</f>
        <v>0</v>
      </c>
      <c r="AG684" s="37">
        <f>IF(AND(AG394&lt;=$I109,AG394&gt;$J109),Tarification!$D$8,IF(AND(AG394&lt;=$J109,AG394&gt;$K109),Tarification!$D$9,IF(AND(AG394&lt;=$K109,AG394&gt;0),Tarification!$D$10,0)))</f>
        <v>0</v>
      </c>
      <c r="AH684" s="37">
        <f>IF(AND(AH394&lt;=$I109,AH394&gt;$J109),Tarification!$D$8,IF(AND(AH394&lt;=$J109,AH394&gt;$K109),Tarification!$D$9,IF(AND(AH394&lt;=$K109,AH394&gt;0),Tarification!$D$10,0)))</f>
        <v>0</v>
      </c>
      <c r="AI684" s="37">
        <f>IF(AND(AI394&lt;=$I109,AI394&gt;$J109),Tarification!$D$8,IF(AND(AI394&lt;=$J109,AI394&gt;$K109),Tarification!$D$9,IF(AND(AI394&lt;=$K109,AI394&gt;0),Tarification!$D$10,0)))</f>
        <v>0</v>
      </c>
      <c r="AJ684" s="37">
        <f>IF(AND(AJ394&lt;=$I109,AJ394&gt;$J109),Tarification!$D$8,IF(AND(AJ394&lt;=$J109,AJ394&gt;$K109),Tarification!$D$9,IF(AND(AJ394&lt;=$K109,AJ394&gt;0),Tarification!$D$10,0)))</f>
        <v>0</v>
      </c>
      <c r="AK684" s="37">
        <f>IF(AND(AK394&lt;=$I109,AK394&gt;$J109),Tarification!$D$8,IF(AND(AK394&lt;=$J109,AK394&gt;$K109),Tarification!$D$9,IF(AND(AK394&lt;=$K109,AK394&gt;0),Tarification!$D$10,0)))</f>
        <v>0</v>
      </c>
      <c r="AL684" s="37">
        <f>IF(AND(AL394&lt;=$I109,AL394&gt;$J109),Tarification!$D$8,IF(AND(AL394&lt;=$J109,AL394&gt;$K109),Tarification!$D$9,IF(AND(AL394&lt;=$K109,AL394&gt;0),Tarification!$D$10,0)))</f>
        <v>0</v>
      </c>
      <c r="AM684" s="37">
        <f>IF(AND(AM394&lt;=$I109,AM394&gt;$J109),Tarification!$D$8,IF(AND(AM394&lt;=$J109,AM394&gt;$K109),Tarification!$D$9,IF(AND(AM394&lt;=$K109,AM394&gt;0),Tarification!$D$10,0)))</f>
        <v>0</v>
      </c>
      <c r="AN684" s="37">
        <f>IF(AND(AN394&lt;=$I109,AN394&gt;$J109),Tarification!$D$8,IF(AND(AN394&lt;=$J109,AN394&gt;$K109),Tarification!$D$9,IF(AND(AN394&lt;=$K109,AN394&gt;0),Tarification!$D$10,0)))</f>
        <v>0</v>
      </c>
      <c r="AQ684" s="101">
        <f t="shared" si="149"/>
        <v>2631.5789473684213</v>
      </c>
    </row>
    <row r="685" spans="14:43" ht="15.6">
      <c r="N685" s="39" t="s">
        <v>26</v>
      </c>
      <c r="O685" s="39" t="s">
        <v>576</v>
      </c>
      <c r="P685" t="s">
        <v>715</v>
      </c>
      <c r="Q685" s="39"/>
      <c r="V685" s="37">
        <f>IF(AND(V395&lt;=$I110,V395&gt;$J110),Tarification!$D$8,IF(AND(V395&lt;=$J110,V395&gt;$K110),Tarification!$D$9,IF(AND(V395&lt;=$K110,V395&gt;0),Tarification!$D$10,0)))</f>
        <v>0</v>
      </c>
      <c r="W685" s="37">
        <f>IF(AND(W395&lt;=$I110,W395&gt;$J110),Tarification!$D$8,IF(AND(W395&lt;=$J110,W395&gt;$K110),Tarification!$D$9,IF(AND(W395&lt;=$K110,W395&gt;0),Tarification!$D$10,0)))</f>
        <v>50000</v>
      </c>
      <c r="X685" s="37">
        <f>IF(AND(X395&lt;=$I110,X395&gt;$J110),Tarification!$D$8,IF(AND(X395&lt;=$J110,X395&gt;$K110),Tarification!$D$9,IF(AND(X395&lt;=$K110,X395&gt;0),Tarification!$D$10,0)))</f>
        <v>0</v>
      </c>
      <c r="Y685" s="37">
        <f>IF(AND(Y395&lt;=$I110,Y395&gt;$J110),Tarification!$D$8,IF(AND(Y395&lt;=$J110,Y395&gt;$K110),Tarification!$D$9,IF(AND(Y395&lt;=$K110,Y395&gt;0),Tarification!$D$10,0)))</f>
        <v>0</v>
      </c>
      <c r="Z685" s="37">
        <f>IF(AND(Z395&lt;=$I110,Z395&gt;$J110),Tarification!$D$8,IF(AND(Z395&lt;=$J110,Z395&gt;$K110),Tarification!$D$9,IF(AND(Z395&lt;=$K110,Z395&gt;0),Tarification!$D$10,0)))</f>
        <v>0</v>
      </c>
      <c r="AA685" s="37">
        <f>IF(AND(AA395&lt;=$I110,AA395&gt;$J110),Tarification!$D$8,IF(AND(AA395&lt;=$J110,AA395&gt;$K110),Tarification!$D$9,IF(AND(AA395&lt;=$K110,AA395&gt;0),Tarification!$D$10,0)))</f>
        <v>0</v>
      </c>
      <c r="AB685" s="37">
        <f>IF(AND(AB395&lt;=$I110,AB395&gt;$J110),Tarification!$D$8,IF(AND(AB395&lt;=$J110,AB395&gt;$K110),Tarification!$D$9,IF(AND(AB395&lt;=$K110,AB395&gt;0),Tarification!$D$10,0)))</f>
        <v>0</v>
      </c>
      <c r="AC685" s="37">
        <f>IF(AND(AC395&lt;=$I110,AC395&gt;$J110),Tarification!$D$8,IF(AND(AC395&lt;=$J110,AC395&gt;$K110),Tarification!$D$9,IF(AND(AC395&lt;=$K110,AC395&gt;0),Tarification!$D$10,0)))</f>
        <v>125000</v>
      </c>
      <c r="AD685" s="37">
        <f>IF(AND(AD395&lt;=$I110,AD395&gt;$J110),Tarification!$D$8,IF(AND(AD395&lt;=$J110,AD395&gt;$K110),Tarification!$D$9,IF(AND(AD395&lt;=$K110,AD395&gt;0),Tarification!$D$10,0)))</f>
        <v>0</v>
      </c>
      <c r="AE685" s="37">
        <f>IF(AND(AE395&lt;=$I110,AE395&gt;$J110),Tarification!$D$8,IF(AND(AE395&lt;=$J110,AE395&gt;$K110),Tarification!$D$9,IF(AND(AE395&lt;=$K110,AE395&gt;0),Tarification!$D$10,0)))</f>
        <v>250000</v>
      </c>
      <c r="AF685" s="37">
        <f>IF(AND(AF395&lt;=$I110,AF395&gt;$J110),Tarification!$D$8,IF(AND(AF395&lt;=$J110,AF395&gt;$K110),Tarification!$D$9,IF(AND(AF395&lt;=$K110,AF395&gt;0),Tarification!$D$10,0)))</f>
        <v>50000</v>
      </c>
      <c r="AG685" s="37">
        <f>IF(AND(AG395&lt;=$I110,AG395&gt;$J110),Tarification!$D$8,IF(AND(AG395&lt;=$J110,AG395&gt;$K110),Tarification!$D$9,IF(AND(AG395&lt;=$K110,AG395&gt;0),Tarification!$D$10,0)))</f>
        <v>0</v>
      </c>
      <c r="AH685" s="37">
        <f>IF(AND(AH395&lt;=$I110,AH395&gt;$J110),Tarification!$D$8,IF(AND(AH395&lt;=$J110,AH395&gt;$K110),Tarification!$D$9,IF(AND(AH395&lt;=$K110,AH395&gt;0),Tarification!$D$10,0)))</f>
        <v>0</v>
      </c>
      <c r="AI685" s="37">
        <f>IF(AND(AI395&lt;=$I110,AI395&gt;$J110),Tarification!$D$8,IF(AND(AI395&lt;=$J110,AI395&gt;$K110),Tarification!$D$9,IF(AND(AI395&lt;=$K110,AI395&gt;0),Tarification!$D$10,0)))</f>
        <v>0</v>
      </c>
      <c r="AJ685" s="37">
        <f>IF(AND(AJ395&lt;=$I110,AJ395&gt;$J110),Tarification!$D$8,IF(AND(AJ395&lt;=$J110,AJ395&gt;$K110),Tarification!$D$9,IF(AND(AJ395&lt;=$K110,AJ395&gt;0),Tarification!$D$10,0)))</f>
        <v>0</v>
      </c>
      <c r="AK685" s="37">
        <f>IF(AND(AK395&lt;=$I110,AK395&gt;$J110),Tarification!$D$8,IF(AND(AK395&lt;=$J110,AK395&gt;$K110),Tarification!$D$9,IF(AND(AK395&lt;=$K110,AK395&gt;0),Tarification!$D$10,0)))</f>
        <v>0</v>
      </c>
      <c r="AL685" s="37">
        <f>IF(AND(AL395&lt;=$I110,AL395&gt;$J110),Tarification!$D$8,IF(AND(AL395&lt;=$J110,AL395&gt;$K110),Tarification!$D$9,IF(AND(AL395&lt;=$K110,AL395&gt;0),Tarification!$D$10,0)))</f>
        <v>0</v>
      </c>
      <c r="AM685" s="37">
        <f>IF(AND(AM395&lt;=$I110,AM395&gt;$J110),Tarification!$D$8,IF(AND(AM395&lt;=$J110,AM395&gt;$K110),Tarification!$D$9,IF(AND(AM395&lt;=$K110,AM395&gt;0),Tarification!$D$10,0)))</f>
        <v>0</v>
      </c>
      <c r="AN685" s="37">
        <f>IF(AND(AN395&lt;=$I110,AN395&gt;$J110),Tarification!$D$8,IF(AND(AN395&lt;=$J110,AN395&gt;$K110),Tarification!$D$9,IF(AND(AN395&lt;=$K110,AN395&gt;0),Tarification!$D$10,0)))</f>
        <v>50000</v>
      </c>
      <c r="AQ685" s="101">
        <f t="shared" si="149"/>
        <v>27631.57894736842</v>
      </c>
    </row>
    <row r="686" spans="14:43" ht="15.6">
      <c r="N686" s="39" t="s">
        <v>26</v>
      </c>
      <c r="O686" s="39" t="s">
        <v>601</v>
      </c>
      <c r="P686" t="s">
        <v>716</v>
      </c>
      <c r="Q686" s="39"/>
      <c r="V686" s="37">
        <f>IF(AND(V396&lt;=$I111,V396&gt;$J111),Tarification!$D$8,IF(AND(V396&lt;=$J111,V396&gt;$K111),Tarification!$D$9,IF(AND(V396&lt;=$K111,V396&gt;0),Tarification!$D$10,0)))</f>
        <v>0</v>
      </c>
      <c r="W686" s="37">
        <f>IF(AND(W396&lt;=$I111,W396&gt;$J111),Tarification!$D$8,IF(AND(W396&lt;=$J111,W396&gt;$K111),Tarification!$D$9,IF(AND(W396&lt;=$K111,W396&gt;0),Tarification!$D$10,0)))</f>
        <v>50000</v>
      </c>
      <c r="X686" s="37">
        <f>IF(AND(X396&lt;=$I111,X396&gt;$J111),Tarification!$D$8,IF(AND(X396&lt;=$J111,X396&gt;$K111),Tarification!$D$9,IF(AND(X396&lt;=$K111,X396&gt;0),Tarification!$D$10,0)))</f>
        <v>0</v>
      </c>
      <c r="Y686" s="37">
        <f>IF(AND(Y396&lt;=$I111,Y396&gt;$J111),Tarification!$D$8,IF(AND(Y396&lt;=$J111,Y396&gt;$K111),Tarification!$D$9,IF(AND(Y396&lt;=$K111,Y396&gt;0),Tarification!$D$10,0)))</f>
        <v>0</v>
      </c>
      <c r="Z686" s="37">
        <f>IF(AND(Z396&lt;=$I111,Z396&gt;$J111),Tarification!$D$8,IF(AND(Z396&lt;=$J111,Z396&gt;$K111),Tarification!$D$9,IF(AND(Z396&lt;=$K111,Z396&gt;0),Tarification!$D$10,0)))</f>
        <v>0</v>
      </c>
      <c r="AA686" s="37">
        <f>IF(AND(AA396&lt;=$I111,AA396&gt;$J111),Tarification!$D$8,IF(AND(AA396&lt;=$J111,AA396&gt;$K111),Tarification!$D$9,IF(AND(AA396&lt;=$K111,AA396&gt;0),Tarification!$D$10,0)))</f>
        <v>0</v>
      </c>
      <c r="AB686" s="37">
        <f>IF(AND(AB396&lt;=$I111,AB396&gt;$J111),Tarification!$D$8,IF(AND(AB396&lt;=$J111,AB396&gt;$K111),Tarification!$D$9,IF(AND(AB396&lt;=$K111,AB396&gt;0),Tarification!$D$10,0)))</f>
        <v>0</v>
      </c>
      <c r="AC686" s="37">
        <f>IF(AND(AC396&lt;=$I111,AC396&gt;$J111),Tarification!$D$8,IF(AND(AC396&lt;=$J111,AC396&gt;$K111),Tarification!$D$9,IF(AND(AC396&lt;=$K111,AC396&gt;0),Tarification!$D$10,0)))</f>
        <v>125000</v>
      </c>
      <c r="AD686" s="37">
        <f>IF(AND(AD396&lt;=$I111,AD396&gt;$J111),Tarification!$D$8,IF(AND(AD396&lt;=$J111,AD396&gt;$K111),Tarification!$D$9,IF(AND(AD396&lt;=$K111,AD396&gt;0),Tarification!$D$10,0)))</f>
        <v>0</v>
      </c>
      <c r="AE686" s="37">
        <f>IF(AND(AE396&lt;=$I111,AE396&gt;$J111),Tarification!$D$8,IF(AND(AE396&lt;=$J111,AE396&gt;$K111),Tarification!$D$9,IF(AND(AE396&lt;=$K111,AE396&gt;0),Tarification!$D$10,0)))</f>
        <v>250000</v>
      </c>
      <c r="AF686" s="37">
        <f>IF(AND(AF396&lt;=$I111,AF396&gt;$J111),Tarification!$D$8,IF(AND(AF396&lt;=$J111,AF396&gt;$K111),Tarification!$D$9,IF(AND(AF396&lt;=$K111,AF396&gt;0),Tarification!$D$10,0)))</f>
        <v>50000</v>
      </c>
      <c r="AG686" s="37">
        <f>IF(AND(AG396&lt;=$I111,AG396&gt;$J111),Tarification!$D$8,IF(AND(AG396&lt;=$J111,AG396&gt;$K111),Tarification!$D$9,IF(AND(AG396&lt;=$K111,AG396&gt;0),Tarification!$D$10,0)))</f>
        <v>0</v>
      </c>
      <c r="AH686" s="37">
        <f>IF(AND(AH396&lt;=$I111,AH396&gt;$J111),Tarification!$D$8,IF(AND(AH396&lt;=$J111,AH396&gt;$K111),Tarification!$D$9,IF(AND(AH396&lt;=$K111,AH396&gt;0),Tarification!$D$10,0)))</f>
        <v>0</v>
      </c>
      <c r="AI686" s="37">
        <f>IF(AND(AI396&lt;=$I111,AI396&gt;$J111),Tarification!$D$8,IF(AND(AI396&lt;=$J111,AI396&gt;$K111),Tarification!$D$9,IF(AND(AI396&lt;=$K111,AI396&gt;0),Tarification!$D$10,0)))</f>
        <v>0</v>
      </c>
      <c r="AJ686" s="37">
        <f>IF(AND(AJ396&lt;=$I111,AJ396&gt;$J111),Tarification!$D$8,IF(AND(AJ396&lt;=$J111,AJ396&gt;$K111),Tarification!$D$9,IF(AND(AJ396&lt;=$K111,AJ396&gt;0),Tarification!$D$10,0)))</f>
        <v>0</v>
      </c>
      <c r="AK686" s="37">
        <f>IF(AND(AK396&lt;=$I111,AK396&gt;$J111),Tarification!$D$8,IF(AND(AK396&lt;=$J111,AK396&gt;$K111),Tarification!$D$9,IF(AND(AK396&lt;=$K111,AK396&gt;0),Tarification!$D$10,0)))</f>
        <v>0</v>
      </c>
      <c r="AL686" s="37">
        <f>IF(AND(AL396&lt;=$I111,AL396&gt;$J111),Tarification!$D$8,IF(AND(AL396&lt;=$J111,AL396&gt;$K111),Tarification!$D$9,IF(AND(AL396&lt;=$K111,AL396&gt;0),Tarification!$D$10,0)))</f>
        <v>0</v>
      </c>
      <c r="AM686" s="37">
        <f>IF(AND(AM396&lt;=$I111,AM396&gt;$J111),Tarification!$D$8,IF(AND(AM396&lt;=$J111,AM396&gt;$K111),Tarification!$D$9,IF(AND(AM396&lt;=$K111,AM396&gt;0),Tarification!$D$10,0)))</f>
        <v>0</v>
      </c>
      <c r="AN686" s="37">
        <f>IF(AND(AN396&lt;=$I111,AN396&gt;$J111),Tarification!$D$8,IF(AND(AN396&lt;=$J111,AN396&gt;$K111),Tarification!$D$9,IF(AND(AN396&lt;=$K111,AN396&gt;0),Tarification!$D$10,0)))</f>
        <v>0</v>
      </c>
      <c r="AQ686" s="101">
        <f t="shared" si="149"/>
        <v>25000</v>
      </c>
    </row>
    <row r="687" spans="14:43" ht="15.6">
      <c r="N687" s="39" t="s">
        <v>26</v>
      </c>
      <c r="O687" s="39" t="s">
        <v>230</v>
      </c>
      <c r="P687" t="s">
        <v>717</v>
      </c>
      <c r="Q687" s="39"/>
      <c r="V687" s="37">
        <f>IF(AND(V397&lt;=$I112,V397&gt;$J112),Tarification!$D$8,IF(AND(V397&lt;=$J112,V397&gt;$K112),Tarification!$D$9,IF(AND(V397&lt;=$K112,V397&gt;0),Tarification!$D$10,0)))</f>
        <v>0</v>
      </c>
      <c r="W687" s="37">
        <f>IF(AND(W397&lt;=$I112,W397&gt;$J112),Tarification!$D$8,IF(AND(W397&lt;=$J112,W397&gt;$K112),Tarification!$D$9,IF(AND(W397&lt;=$K112,W397&gt;0),Tarification!$D$10,0)))</f>
        <v>0</v>
      </c>
      <c r="X687" s="37">
        <f>IF(AND(X397&lt;=$I112,X397&gt;$J112),Tarification!$D$8,IF(AND(X397&lt;=$J112,X397&gt;$K112),Tarification!$D$9,IF(AND(X397&lt;=$K112,X397&gt;0),Tarification!$D$10,0)))</f>
        <v>0</v>
      </c>
      <c r="Y687" s="37">
        <f>IF(AND(Y397&lt;=$I112,Y397&gt;$J112),Tarification!$D$8,IF(AND(Y397&lt;=$J112,Y397&gt;$K112),Tarification!$D$9,IF(AND(Y397&lt;=$K112,Y397&gt;0),Tarification!$D$10,0)))</f>
        <v>0</v>
      </c>
      <c r="Z687" s="37">
        <f>IF(AND(Z397&lt;=$I112,Z397&gt;$J112),Tarification!$D$8,IF(AND(Z397&lt;=$J112,Z397&gt;$K112),Tarification!$D$9,IF(AND(Z397&lt;=$K112,Z397&gt;0),Tarification!$D$10,0)))</f>
        <v>0</v>
      </c>
      <c r="AA687" s="37">
        <f>IF(AND(AA397&lt;=$I112,AA397&gt;$J112),Tarification!$D$8,IF(AND(AA397&lt;=$J112,AA397&gt;$K112),Tarification!$D$9,IF(AND(AA397&lt;=$K112,AA397&gt;0),Tarification!$D$10,0)))</f>
        <v>0</v>
      </c>
      <c r="AB687" s="37">
        <f>IF(AND(AB397&lt;=$I112,AB397&gt;$J112),Tarification!$D$8,IF(AND(AB397&lt;=$J112,AB397&gt;$K112),Tarification!$D$9,IF(AND(AB397&lt;=$K112,AB397&gt;0),Tarification!$D$10,0)))</f>
        <v>0</v>
      </c>
      <c r="AC687" s="37">
        <f>IF(AND(AC397&lt;=$I112,AC397&gt;$J112),Tarification!$D$8,IF(AND(AC397&lt;=$J112,AC397&gt;$K112),Tarification!$D$9,IF(AND(AC397&lt;=$K112,AC397&gt;0),Tarification!$D$10,0)))</f>
        <v>0</v>
      </c>
      <c r="AD687" s="37">
        <f>IF(AND(AD397&lt;=$I112,AD397&gt;$J112),Tarification!$D$8,IF(AND(AD397&lt;=$J112,AD397&gt;$K112),Tarification!$D$9,IF(AND(AD397&lt;=$K112,AD397&gt;0),Tarification!$D$10,0)))</f>
        <v>0</v>
      </c>
      <c r="AE687" s="37">
        <f>IF(AND(AE397&lt;=$I112,AE397&gt;$J112),Tarification!$D$8,IF(AND(AE397&lt;=$J112,AE397&gt;$K112),Tarification!$D$9,IF(AND(AE397&lt;=$K112,AE397&gt;0),Tarification!$D$10,0)))</f>
        <v>50000</v>
      </c>
      <c r="AF687" s="37">
        <f>IF(AND(AF397&lt;=$I112,AF397&gt;$J112),Tarification!$D$8,IF(AND(AF397&lt;=$J112,AF397&gt;$K112),Tarification!$D$9,IF(AND(AF397&lt;=$K112,AF397&gt;0),Tarification!$D$10,0)))</f>
        <v>0</v>
      </c>
      <c r="AG687" s="37">
        <f>IF(AND(AG397&lt;=$I112,AG397&gt;$J112),Tarification!$D$8,IF(AND(AG397&lt;=$J112,AG397&gt;$K112),Tarification!$D$9,IF(AND(AG397&lt;=$K112,AG397&gt;0),Tarification!$D$10,0)))</f>
        <v>0</v>
      </c>
      <c r="AH687" s="37">
        <f>IF(AND(AH397&lt;=$I112,AH397&gt;$J112),Tarification!$D$8,IF(AND(AH397&lt;=$J112,AH397&gt;$K112),Tarification!$D$9,IF(AND(AH397&lt;=$K112,AH397&gt;0),Tarification!$D$10,0)))</f>
        <v>0</v>
      </c>
      <c r="AI687" s="37">
        <f>IF(AND(AI397&lt;=$I112,AI397&gt;$J112),Tarification!$D$8,IF(AND(AI397&lt;=$J112,AI397&gt;$K112),Tarification!$D$9,IF(AND(AI397&lt;=$K112,AI397&gt;0),Tarification!$D$10,0)))</f>
        <v>0</v>
      </c>
      <c r="AJ687" s="37">
        <f>IF(AND(AJ397&lt;=$I112,AJ397&gt;$J112),Tarification!$D$8,IF(AND(AJ397&lt;=$J112,AJ397&gt;$K112),Tarification!$D$9,IF(AND(AJ397&lt;=$K112,AJ397&gt;0),Tarification!$D$10,0)))</f>
        <v>0</v>
      </c>
      <c r="AK687" s="37">
        <f>IF(AND(AK397&lt;=$I112,AK397&gt;$J112),Tarification!$D$8,IF(AND(AK397&lt;=$J112,AK397&gt;$K112),Tarification!$D$9,IF(AND(AK397&lt;=$K112,AK397&gt;0),Tarification!$D$10,0)))</f>
        <v>0</v>
      </c>
      <c r="AL687" s="37">
        <f>IF(AND(AL397&lt;=$I112,AL397&gt;$J112),Tarification!$D$8,IF(AND(AL397&lt;=$J112,AL397&gt;$K112),Tarification!$D$9,IF(AND(AL397&lt;=$K112,AL397&gt;0),Tarification!$D$10,0)))</f>
        <v>0</v>
      </c>
      <c r="AM687" s="37">
        <f>IF(AND(AM397&lt;=$I112,AM397&gt;$J112),Tarification!$D$8,IF(AND(AM397&lt;=$J112,AM397&gt;$K112),Tarification!$D$9,IF(AND(AM397&lt;=$K112,AM397&gt;0),Tarification!$D$10,0)))</f>
        <v>0</v>
      </c>
      <c r="AN687" s="37">
        <f>IF(AND(AN397&lt;=$I112,AN397&gt;$J112),Tarification!$D$8,IF(AND(AN397&lt;=$J112,AN397&gt;$K112),Tarification!$D$9,IF(AND(AN397&lt;=$K112,AN397&gt;0),Tarification!$D$10,0)))</f>
        <v>0</v>
      </c>
      <c r="AQ687" s="101">
        <f t="shared" si="149"/>
        <v>2631.5789473684213</v>
      </c>
    </row>
    <row r="688" spans="14:43" ht="15.6">
      <c r="N688" s="39" t="s">
        <v>26</v>
      </c>
      <c r="O688" s="39" t="s">
        <v>278</v>
      </c>
      <c r="P688" t="s">
        <v>718</v>
      </c>
      <c r="Q688" s="39"/>
      <c r="V688" s="37">
        <f>IF(AND(V398&lt;=$I113,V398&gt;$J113),Tarification!$D$8,IF(AND(V398&lt;=$J113,V398&gt;$K113),Tarification!$D$9,IF(AND(V398&lt;=$K113,V398&gt;0),Tarification!$D$10,0)))</f>
        <v>0</v>
      </c>
      <c r="W688" s="37">
        <f>IF(AND(W398&lt;=$I113,W398&gt;$J113),Tarification!$D$8,IF(AND(W398&lt;=$J113,W398&gt;$K113),Tarification!$D$9,IF(AND(W398&lt;=$K113,W398&gt;0),Tarification!$D$10,0)))</f>
        <v>0</v>
      </c>
      <c r="X688" s="37">
        <f>IF(AND(X398&lt;=$I113,X398&gt;$J113),Tarification!$D$8,IF(AND(X398&lt;=$J113,X398&gt;$K113),Tarification!$D$9,IF(AND(X398&lt;=$K113,X398&gt;0),Tarification!$D$10,0)))</f>
        <v>0</v>
      </c>
      <c r="Y688" s="37">
        <f>IF(AND(Y398&lt;=$I113,Y398&gt;$J113),Tarification!$D$8,IF(AND(Y398&lt;=$J113,Y398&gt;$K113),Tarification!$D$9,IF(AND(Y398&lt;=$K113,Y398&gt;0),Tarification!$D$10,0)))</f>
        <v>0</v>
      </c>
      <c r="Z688" s="37">
        <f>IF(AND(Z398&lt;=$I113,Z398&gt;$J113),Tarification!$D$8,IF(AND(Z398&lt;=$J113,Z398&gt;$K113),Tarification!$D$9,IF(AND(Z398&lt;=$K113,Z398&gt;0),Tarification!$D$10,0)))</f>
        <v>0</v>
      </c>
      <c r="AA688" s="37">
        <f>IF(AND(AA398&lt;=$I113,AA398&gt;$J113),Tarification!$D$8,IF(AND(AA398&lt;=$J113,AA398&gt;$K113),Tarification!$D$9,IF(AND(AA398&lt;=$K113,AA398&gt;0),Tarification!$D$10,0)))</f>
        <v>0</v>
      </c>
      <c r="AB688" s="37">
        <f>IF(AND(AB398&lt;=$I113,AB398&gt;$J113),Tarification!$D$8,IF(AND(AB398&lt;=$J113,AB398&gt;$K113),Tarification!$D$9,IF(AND(AB398&lt;=$K113,AB398&gt;0),Tarification!$D$10,0)))</f>
        <v>0</v>
      </c>
      <c r="AC688" s="37">
        <f>IF(AND(AC398&lt;=$I113,AC398&gt;$J113),Tarification!$D$8,IF(AND(AC398&lt;=$J113,AC398&gt;$K113),Tarification!$D$9,IF(AND(AC398&lt;=$K113,AC398&gt;0),Tarification!$D$10,0)))</f>
        <v>0</v>
      </c>
      <c r="AD688" s="37">
        <f>IF(AND(AD398&lt;=$I113,AD398&gt;$J113),Tarification!$D$8,IF(AND(AD398&lt;=$J113,AD398&gt;$K113),Tarification!$D$9,IF(AND(AD398&lt;=$K113,AD398&gt;0),Tarification!$D$10,0)))</f>
        <v>0</v>
      </c>
      <c r="AE688" s="37">
        <f>IF(AND(AE398&lt;=$I113,AE398&gt;$J113),Tarification!$D$8,IF(AND(AE398&lt;=$J113,AE398&gt;$K113),Tarification!$D$9,IF(AND(AE398&lt;=$K113,AE398&gt;0),Tarification!$D$10,0)))</f>
        <v>0</v>
      </c>
      <c r="AF688" s="37">
        <f>IF(AND(AF398&lt;=$I113,AF398&gt;$J113),Tarification!$D$8,IF(AND(AF398&lt;=$J113,AF398&gt;$K113),Tarification!$D$9,IF(AND(AF398&lt;=$K113,AF398&gt;0),Tarification!$D$10,0)))</f>
        <v>0</v>
      </c>
      <c r="AG688" s="37">
        <f>IF(AND(AG398&lt;=$I113,AG398&gt;$J113),Tarification!$D$8,IF(AND(AG398&lt;=$J113,AG398&gt;$K113),Tarification!$D$9,IF(AND(AG398&lt;=$K113,AG398&gt;0),Tarification!$D$10,0)))</f>
        <v>0</v>
      </c>
      <c r="AH688" s="37">
        <f>IF(AND(AH398&lt;=$I113,AH398&gt;$J113),Tarification!$D$8,IF(AND(AH398&lt;=$J113,AH398&gt;$K113),Tarification!$D$9,IF(AND(AH398&lt;=$K113,AH398&gt;0),Tarification!$D$10,0)))</f>
        <v>0</v>
      </c>
      <c r="AI688" s="37">
        <f>IF(AND(AI398&lt;=$I113,AI398&gt;$J113),Tarification!$D$8,IF(AND(AI398&lt;=$J113,AI398&gt;$K113),Tarification!$D$9,IF(AND(AI398&lt;=$K113,AI398&gt;0),Tarification!$D$10,0)))</f>
        <v>0</v>
      </c>
      <c r="AJ688" s="37">
        <f>IF(AND(AJ398&lt;=$I113,AJ398&gt;$J113),Tarification!$D$8,IF(AND(AJ398&lt;=$J113,AJ398&gt;$K113),Tarification!$D$9,IF(AND(AJ398&lt;=$K113,AJ398&gt;0),Tarification!$D$10,0)))</f>
        <v>0</v>
      </c>
      <c r="AK688" s="37">
        <f>IF(AND(AK398&lt;=$I113,AK398&gt;$J113),Tarification!$D$8,IF(AND(AK398&lt;=$J113,AK398&gt;$K113),Tarification!$D$9,IF(AND(AK398&lt;=$K113,AK398&gt;0),Tarification!$D$10,0)))</f>
        <v>0</v>
      </c>
      <c r="AL688" s="37">
        <f>IF(AND(AL398&lt;=$I113,AL398&gt;$J113),Tarification!$D$8,IF(AND(AL398&lt;=$J113,AL398&gt;$K113),Tarification!$D$9,IF(AND(AL398&lt;=$K113,AL398&gt;0),Tarification!$D$10,0)))</f>
        <v>0</v>
      </c>
      <c r="AM688" s="37">
        <f>IF(AND(AM398&lt;=$I113,AM398&gt;$J113),Tarification!$D$8,IF(AND(AM398&lt;=$J113,AM398&gt;$K113),Tarification!$D$9,IF(AND(AM398&lt;=$K113,AM398&gt;0),Tarification!$D$10,0)))</f>
        <v>0</v>
      </c>
      <c r="AN688" s="37">
        <f>IF(AND(AN398&lt;=$I113,AN398&gt;$J113),Tarification!$D$8,IF(AND(AN398&lt;=$J113,AN398&gt;$K113),Tarification!$D$9,IF(AND(AN398&lt;=$K113,AN398&gt;0),Tarification!$D$10,0)))</f>
        <v>0</v>
      </c>
      <c r="AQ688" s="101">
        <f t="shared" si="149"/>
        <v>0</v>
      </c>
    </row>
    <row r="689" spans="14:43" ht="15.6">
      <c r="N689" s="39" t="s">
        <v>26</v>
      </c>
      <c r="O689" s="39" t="s">
        <v>429</v>
      </c>
      <c r="P689" t="s">
        <v>719</v>
      </c>
      <c r="Q689" s="39"/>
      <c r="V689" s="37">
        <f>IF(AND(V399&lt;=$I114,V399&gt;$J114),Tarification!$D$8,IF(AND(V399&lt;=$J114,V399&gt;$K114),Tarification!$D$9,IF(AND(V399&lt;=$K114,V399&gt;0),Tarification!$D$10,0)))</f>
        <v>0</v>
      </c>
      <c r="W689" s="37">
        <f>IF(AND(W399&lt;=$I114,W399&gt;$J114),Tarification!$D$8,IF(AND(W399&lt;=$J114,W399&gt;$K114),Tarification!$D$9,IF(AND(W399&lt;=$K114,W399&gt;0),Tarification!$D$10,0)))</f>
        <v>0</v>
      </c>
      <c r="X689" s="37">
        <f>IF(AND(X399&lt;=$I114,X399&gt;$J114),Tarification!$D$8,IF(AND(X399&lt;=$J114,X399&gt;$K114),Tarification!$D$9,IF(AND(X399&lt;=$K114,X399&gt;0),Tarification!$D$10,0)))</f>
        <v>0</v>
      </c>
      <c r="Y689" s="37">
        <f>IF(AND(Y399&lt;=$I114,Y399&gt;$J114),Tarification!$D$8,IF(AND(Y399&lt;=$J114,Y399&gt;$K114),Tarification!$D$9,IF(AND(Y399&lt;=$K114,Y399&gt;0),Tarification!$D$10,0)))</f>
        <v>0</v>
      </c>
      <c r="Z689" s="37">
        <f>IF(AND(Z399&lt;=$I114,Z399&gt;$J114),Tarification!$D$8,IF(AND(Z399&lt;=$J114,Z399&gt;$K114),Tarification!$D$9,IF(AND(Z399&lt;=$K114,Z399&gt;0),Tarification!$D$10,0)))</f>
        <v>0</v>
      </c>
      <c r="AA689" s="37">
        <f>IF(AND(AA399&lt;=$I114,AA399&gt;$J114),Tarification!$D$8,IF(AND(AA399&lt;=$J114,AA399&gt;$K114),Tarification!$D$9,IF(AND(AA399&lt;=$K114,AA399&gt;0),Tarification!$D$10,0)))</f>
        <v>0</v>
      </c>
      <c r="AB689" s="37">
        <f>IF(AND(AB399&lt;=$I114,AB399&gt;$J114),Tarification!$D$8,IF(AND(AB399&lt;=$J114,AB399&gt;$K114),Tarification!$D$9,IF(AND(AB399&lt;=$K114,AB399&gt;0),Tarification!$D$10,0)))</f>
        <v>0</v>
      </c>
      <c r="AC689" s="37">
        <f>IF(AND(AC399&lt;=$I114,AC399&gt;$J114),Tarification!$D$8,IF(AND(AC399&lt;=$J114,AC399&gt;$K114),Tarification!$D$9,IF(AND(AC399&lt;=$K114,AC399&gt;0),Tarification!$D$10,0)))</f>
        <v>0</v>
      </c>
      <c r="AD689" s="37">
        <f>IF(AND(AD399&lt;=$I114,AD399&gt;$J114),Tarification!$D$8,IF(AND(AD399&lt;=$J114,AD399&gt;$K114),Tarification!$D$9,IF(AND(AD399&lt;=$K114,AD399&gt;0),Tarification!$D$10,0)))</f>
        <v>0</v>
      </c>
      <c r="AE689" s="37">
        <f>IF(AND(AE399&lt;=$I114,AE399&gt;$J114),Tarification!$D$8,IF(AND(AE399&lt;=$J114,AE399&gt;$K114),Tarification!$D$9,IF(AND(AE399&lt;=$K114,AE399&gt;0),Tarification!$D$10,0)))</f>
        <v>50000</v>
      </c>
      <c r="AF689" s="37">
        <f>IF(AND(AF399&lt;=$I114,AF399&gt;$J114),Tarification!$D$8,IF(AND(AF399&lt;=$J114,AF399&gt;$K114),Tarification!$D$9,IF(AND(AF399&lt;=$K114,AF399&gt;0),Tarification!$D$10,0)))</f>
        <v>0</v>
      </c>
      <c r="AG689" s="37">
        <f>IF(AND(AG399&lt;=$I114,AG399&gt;$J114),Tarification!$D$8,IF(AND(AG399&lt;=$J114,AG399&gt;$K114),Tarification!$D$9,IF(AND(AG399&lt;=$K114,AG399&gt;0),Tarification!$D$10,0)))</f>
        <v>0</v>
      </c>
      <c r="AH689" s="37">
        <f>IF(AND(AH399&lt;=$I114,AH399&gt;$J114),Tarification!$D$8,IF(AND(AH399&lt;=$J114,AH399&gt;$K114),Tarification!$D$9,IF(AND(AH399&lt;=$K114,AH399&gt;0),Tarification!$D$10,0)))</f>
        <v>0</v>
      </c>
      <c r="AI689" s="37">
        <f>IF(AND(AI399&lt;=$I114,AI399&gt;$J114),Tarification!$D$8,IF(AND(AI399&lt;=$J114,AI399&gt;$K114),Tarification!$D$9,IF(AND(AI399&lt;=$K114,AI399&gt;0),Tarification!$D$10,0)))</f>
        <v>0</v>
      </c>
      <c r="AJ689" s="37">
        <f>IF(AND(AJ399&lt;=$I114,AJ399&gt;$J114),Tarification!$D$8,IF(AND(AJ399&lt;=$J114,AJ399&gt;$K114),Tarification!$D$9,IF(AND(AJ399&lt;=$K114,AJ399&gt;0),Tarification!$D$10,0)))</f>
        <v>0</v>
      </c>
      <c r="AK689" s="37">
        <f>IF(AND(AK399&lt;=$I114,AK399&gt;$J114),Tarification!$D$8,IF(AND(AK399&lt;=$J114,AK399&gt;$K114),Tarification!$D$9,IF(AND(AK399&lt;=$K114,AK399&gt;0),Tarification!$D$10,0)))</f>
        <v>0</v>
      </c>
      <c r="AL689" s="37">
        <f>IF(AND(AL399&lt;=$I114,AL399&gt;$J114),Tarification!$D$8,IF(AND(AL399&lt;=$J114,AL399&gt;$K114),Tarification!$D$9,IF(AND(AL399&lt;=$K114,AL399&gt;0),Tarification!$D$10,0)))</f>
        <v>0</v>
      </c>
      <c r="AM689" s="37">
        <f>IF(AND(AM399&lt;=$I114,AM399&gt;$J114),Tarification!$D$8,IF(AND(AM399&lt;=$J114,AM399&gt;$K114),Tarification!$D$9,IF(AND(AM399&lt;=$K114,AM399&gt;0),Tarification!$D$10,0)))</f>
        <v>0</v>
      </c>
      <c r="AN689" s="37">
        <f>IF(AND(AN399&lt;=$I114,AN399&gt;$J114),Tarification!$D$8,IF(AND(AN399&lt;=$J114,AN399&gt;$K114),Tarification!$D$9,IF(AND(AN399&lt;=$K114,AN399&gt;0),Tarification!$D$10,0)))</f>
        <v>0</v>
      </c>
      <c r="AQ689" s="101">
        <f t="shared" si="149"/>
        <v>2631.5789473684213</v>
      </c>
    </row>
    <row r="690" spans="14:43" ht="15.6">
      <c r="N690" s="39" t="s">
        <v>26</v>
      </c>
      <c r="O690" s="39" t="s">
        <v>221</v>
      </c>
      <c r="P690" t="s">
        <v>226</v>
      </c>
      <c r="Q690" s="39"/>
      <c r="V690" s="37">
        <f>IF(AND(V400&lt;=$I115,V400&gt;$J115),Tarification!$D$8,IF(AND(V400&lt;=$J115,V400&gt;$K115),Tarification!$D$9,IF(AND(V400&lt;=$K115,V400&gt;0),Tarification!$D$10,0)))</f>
        <v>0</v>
      </c>
      <c r="W690" s="37">
        <f>IF(AND(W400&lt;=$I115,W400&gt;$J115),Tarification!$D$8,IF(AND(W400&lt;=$J115,W400&gt;$K115),Tarification!$D$9,IF(AND(W400&lt;=$K115,W400&gt;0),Tarification!$D$10,0)))</f>
        <v>50000</v>
      </c>
      <c r="X690" s="37">
        <f>IF(AND(X400&lt;=$I115,X400&gt;$J115),Tarification!$D$8,IF(AND(X400&lt;=$J115,X400&gt;$K115),Tarification!$D$9,IF(AND(X400&lt;=$K115,X400&gt;0),Tarification!$D$10,0)))</f>
        <v>0</v>
      </c>
      <c r="Y690" s="37">
        <f>IF(AND(Y400&lt;=$I115,Y400&gt;$J115),Tarification!$D$8,IF(AND(Y400&lt;=$J115,Y400&gt;$K115),Tarification!$D$9,IF(AND(Y400&lt;=$K115,Y400&gt;0),Tarification!$D$10,0)))</f>
        <v>0</v>
      </c>
      <c r="Z690" s="37">
        <f>IF(AND(Z400&lt;=$I115,Z400&gt;$J115),Tarification!$D$8,IF(AND(Z400&lt;=$J115,Z400&gt;$K115),Tarification!$D$9,IF(AND(Z400&lt;=$K115,Z400&gt;0),Tarification!$D$10,0)))</f>
        <v>0</v>
      </c>
      <c r="AA690" s="37">
        <f>IF(AND(AA400&lt;=$I115,AA400&gt;$J115),Tarification!$D$8,IF(AND(AA400&lt;=$J115,AA400&gt;$K115),Tarification!$D$9,IF(AND(AA400&lt;=$K115,AA400&gt;0),Tarification!$D$10,0)))</f>
        <v>0</v>
      </c>
      <c r="AB690" s="37">
        <f>IF(AND(AB400&lt;=$I115,AB400&gt;$J115),Tarification!$D$8,IF(AND(AB400&lt;=$J115,AB400&gt;$K115),Tarification!$D$9,IF(AND(AB400&lt;=$K115,AB400&gt;0),Tarification!$D$10,0)))</f>
        <v>0</v>
      </c>
      <c r="AC690" s="37">
        <f>IF(AND(AC400&lt;=$I115,AC400&gt;$J115),Tarification!$D$8,IF(AND(AC400&lt;=$J115,AC400&gt;$K115),Tarification!$D$9,IF(AND(AC400&lt;=$K115,AC400&gt;0),Tarification!$D$10,0)))</f>
        <v>0</v>
      </c>
      <c r="AD690" s="37">
        <f>IF(AND(AD400&lt;=$I115,AD400&gt;$J115),Tarification!$D$8,IF(AND(AD400&lt;=$J115,AD400&gt;$K115),Tarification!$D$9,IF(AND(AD400&lt;=$K115,AD400&gt;0),Tarification!$D$10,0)))</f>
        <v>0</v>
      </c>
      <c r="AE690" s="37">
        <f>IF(AND(AE400&lt;=$I115,AE400&gt;$J115),Tarification!$D$8,IF(AND(AE400&lt;=$J115,AE400&gt;$K115),Tarification!$D$9,IF(AND(AE400&lt;=$K115,AE400&gt;0),Tarification!$D$10,0)))</f>
        <v>125000</v>
      </c>
      <c r="AF690" s="37">
        <f>IF(AND(AF400&lt;=$I115,AF400&gt;$J115),Tarification!$D$8,IF(AND(AF400&lt;=$J115,AF400&gt;$K115),Tarification!$D$9,IF(AND(AF400&lt;=$K115,AF400&gt;0),Tarification!$D$10,0)))</f>
        <v>0</v>
      </c>
      <c r="AG690" s="37">
        <f>IF(AND(AG400&lt;=$I115,AG400&gt;$J115),Tarification!$D$8,IF(AND(AG400&lt;=$J115,AG400&gt;$K115),Tarification!$D$9,IF(AND(AG400&lt;=$K115,AG400&gt;0),Tarification!$D$10,0)))</f>
        <v>0</v>
      </c>
      <c r="AH690" s="37">
        <f>IF(AND(AH400&lt;=$I115,AH400&gt;$J115),Tarification!$D$8,IF(AND(AH400&lt;=$J115,AH400&gt;$K115),Tarification!$D$9,IF(AND(AH400&lt;=$K115,AH400&gt;0),Tarification!$D$10,0)))</f>
        <v>0</v>
      </c>
      <c r="AI690" s="37">
        <f>IF(AND(AI400&lt;=$I115,AI400&gt;$J115),Tarification!$D$8,IF(AND(AI400&lt;=$J115,AI400&gt;$K115),Tarification!$D$9,IF(AND(AI400&lt;=$K115,AI400&gt;0),Tarification!$D$10,0)))</f>
        <v>0</v>
      </c>
      <c r="AJ690" s="37">
        <f>IF(AND(AJ400&lt;=$I115,AJ400&gt;$J115),Tarification!$D$8,IF(AND(AJ400&lt;=$J115,AJ400&gt;$K115),Tarification!$D$9,IF(AND(AJ400&lt;=$K115,AJ400&gt;0),Tarification!$D$10,0)))</f>
        <v>0</v>
      </c>
      <c r="AK690" s="37">
        <f>IF(AND(AK400&lt;=$I115,AK400&gt;$J115),Tarification!$D$8,IF(AND(AK400&lt;=$J115,AK400&gt;$K115),Tarification!$D$9,IF(AND(AK400&lt;=$K115,AK400&gt;0),Tarification!$D$10,0)))</f>
        <v>0</v>
      </c>
      <c r="AL690" s="37">
        <f>IF(AND(AL400&lt;=$I115,AL400&gt;$J115),Tarification!$D$8,IF(AND(AL400&lt;=$J115,AL400&gt;$K115),Tarification!$D$9,IF(AND(AL400&lt;=$K115,AL400&gt;0),Tarification!$D$10,0)))</f>
        <v>0</v>
      </c>
      <c r="AM690" s="37">
        <f>IF(AND(AM400&lt;=$I115,AM400&gt;$J115),Tarification!$D$8,IF(AND(AM400&lt;=$J115,AM400&gt;$K115),Tarification!$D$9,IF(AND(AM400&lt;=$K115,AM400&gt;0),Tarification!$D$10,0)))</f>
        <v>0</v>
      </c>
      <c r="AN690" s="37">
        <f>IF(AND(AN400&lt;=$I115,AN400&gt;$J115),Tarification!$D$8,IF(AND(AN400&lt;=$J115,AN400&gt;$K115),Tarification!$D$9,IF(AND(AN400&lt;=$K115,AN400&gt;0),Tarification!$D$10,0)))</f>
        <v>50000</v>
      </c>
      <c r="AQ690" s="101">
        <f t="shared" si="149"/>
        <v>11842.105263157895</v>
      </c>
    </row>
    <row r="691" spans="14:43" ht="15.6">
      <c r="N691" s="39" t="s">
        <v>26</v>
      </c>
      <c r="O691" s="39" t="s">
        <v>588</v>
      </c>
      <c r="P691" t="s">
        <v>720</v>
      </c>
      <c r="Q691" s="39"/>
      <c r="V691" s="37">
        <f>IF(AND(V401&lt;=$I116,V401&gt;$J116),Tarification!$D$8,IF(AND(V401&lt;=$J116,V401&gt;$K116),Tarification!$D$9,IF(AND(V401&lt;=$K116,V401&gt;0),Tarification!$D$10,0)))</f>
        <v>0</v>
      </c>
      <c r="W691" s="37">
        <f>IF(AND(W401&lt;=$I116,W401&gt;$J116),Tarification!$D$8,IF(AND(W401&lt;=$J116,W401&gt;$K116),Tarification!$D$9,IF(AND(W401&lt;=$K116,W401&gt;0),Tarification!$D$10,0)))</f>
        <v>0</v>
      </c>
      <c r="X691" s="37">
        <f>IF(AND(X401&lt;=$I116,X401&gt;$J116),Tarification!$D$8,IF(AND(X401&lt;=$J116,X401&gt;$K116),Tarification!$D$9,IF(AND(X401&lt;=$K116,X401&gt;0),Tarification!$D$10,0)))</f>
        <v>0</v>
      </c>
      <c r="Y691" s="37">
        <f>IF(AND(Y401&lt;=$I116,Y401&gt;$J116),Tarification!$D$8,IF(AND(Y401&lt;=$J116,Y401&gt;$K116),Tarification!$D$9,IF(AND(Y401&lt;=$K116,Y401&gt;0),Tarification!$D$10,0)))</f>
        <v>0</v>
      </c>
      <c r="Z691" s="37">
        <f>IF(AND(Z401&lt;=$I116,Z401&gt;$J116),Tarification!$D$8,IF(AND(Z401&lt;=$J116,Z401&gt;$K116),Tarification!$D$9,IF(AND(Z401&lt;=$K116,Z401&gt;0),Tarification!$D$10,0)))</f>
        <v>0</v>
      </c>
      <c r="AA691" s="37">
        <f>IF(AND(AA401&lt;=$I116,AA401&gt;$J116),Tarification!$D$8,IF(AND(AA401&lt;=$J116,AA401&gt;$K116),Tarification!$D$9,IF(AND(AA401&lt;=$K116,AA401&gt;0),Tarification!$D$10,0)))</f>
        <v>0</v>
      </c>
      <c r="AB691" s="37">
        <f>IF(AND(AB401&lt;=$I116,AB401&gt;$J116),Tarification!$D$8,IF(AND(AB401&lt;=$J116,AB401&gt;$K116),Tarification!$D$9,IF(AND(AB401&lt;=$K116,AB401&gt;0),Tarification!$D$10,0)))</f>
        <v>0</v>
      </c>
      <c r="AC691" s="37">
        <f>IF(AND(AC401&lt;=$I116,AC401&gt;$J116),Tarification!$D$8,IF(AND(AC401&lt;=$J116,AC401&gt;$K116),Tarification!$D$9,IF(AND(AC401&lt;=$K116,AC401&gt;0),Tarification!$D$10,0)))</f>
        <v>0</v>
      </c>
      <c r="AD691" s="37">
        <f>IF(AND(AD401&lt;=$I116,AD401&gt;$J116),Tarification!$D$8,IF(AND(AD401&lt;=$J116,AD401&gt;$K116),Tarification!$D$9,IF(AND(AD401&lt;=$K116,AD401&gt;0),Tarification!$D$10,0)))</f>
        <v>0</v>
      </c>
      <c r="AE691" s="37">
        <f>IF(AND(AE401&lt;=$I116,AE401&gt;$J116),Tarification!$D$8,IF(AND(AE401&lt;=$J116,AE401&gt;$K116),Tarification!$D$9,IF(AND(AE401&lt;=$K116,AE401&gt;0),Tarification!$D$10,0)))</f>
        <v>0</v>
      </c>
      <c r="AF691" s="37">
        <f>IF(AND(AF401&lt;=$I116,AF401&gt;$J116),Tarification!$D$8,IF(AND(AF401&lt;=$J116,AF401&gt;$K116),Tarification!$D$9,IF(AND(AF401&lt;=$K116,AF401&gt;0),Tarification!$D$10,0)))</f>
        <v>0</v>
      </c>
      <c r="AG691" s="37">
        <f>IF(AND(AG401&lt;=$I116,AG401&gt;$J116),Tarification!$D$8,IF(AND(AG401&lt;=$J116,AG401&gt;$K116),Tarification!$D$9,IF(AND(AG401&lt;=$K116,AG401&gt;0),Tarification!$D$10,0)))</f>
        <v>0</v>
      </c>
      <c r="AH691" s="37">
        <f>IF(AND(AH401&lt;=$I116,AH401&gt;$J116),Tarification!$D$8,IF(AND(AH401&lt;=$J116,AH401&gt;$K116),Tarification!$D$9,IF(AND(AH401&lt;=$K116,AH401&gt;0),Tarification!$D$10,0)))</f>
        <v>0</v>
      </c>
      <c r="AI691" s="37">
        <f>IF(AND(AI401&lt;=$I116,AI401&gt;$J116),Tarification!$D$8,IF(AND(AI401&lt;=$J116,AI401&gt;$K116),Tarification!$D$9,IF(AND(AI401&lt;=$K116,AI401&gt;0),Tarification!$D$10,0)))</f>
        <v>0</v>
      </c>
      <c r="AJ691" s="37">
        <f>IF(AND(AJ401&lt;=$I116,AJ401&gt;$J116),Tarification!$D$8,IF(AND(AJ401&lt;=$J116,AJ401&gt;$K116),Tarification!$D$9,IF(AND(AJ401&lt;=$K116,AJ401&gt;0),Tarification!$D$10,0)))</f>
        <v>0</v>
      </c>
      <c r="AK691" s="37">
        <f>IF(AND(AK401&lt;=$I116,AK401&gt;$J116),Tarification!$D$8,IF(AND(AK401&lt;=$J116,AK401&gt;$K116),Tarification!$D$9,IF(AND(AK401&lt;=$K116,AK401&gt;0),Tarification!$D$10,0)))</f>
        <v>0</v>
      </c>
      <c r="AL691" s="37">
        <f>IF(AND(AL401&lt;=$I116,AL401&gt;$J116),Tarification!$D$8,IF(AND(AL401&lt;=$J116,AL401&gt;$K116),Tarification!$D$9,IF(AND(AL401&lt;=$K116,AL401&gt;0),Tarification!$D$10,0)))</f>
        <v>0</v>
      </c>
      <c r="AM691" s="37">
        <f>IF(AND(AM401&lt;=$I116,AM401&gt;$J116),Tarification!$D$8,IF(AND(AM401&lt;=$J116,AM401&gt;$K116),Tarification!$D$9,IF(AND(AM401&lt;=$K116,AM401&gt;0),Tarification!$D$10,0)))</f>
        <v>0</v>
      </c>
      <c r="AN691" s="37">
        <f>IF(AND(AN401&lt;=$I116,AN401&gt;$J116),Tarification!$D$8,IF(AND(AN401&lt;=$J116,AN401&gt;$K116),Tarification!$D$9,IF(AND(AN401&lt;=$K116,AN401&gt;0),Tarification!$D$10,0)))</f>
        <v>0</v>
      </c>
      <c r="AQ691" s="101">
        <f t="shared" si="149"/>
        <v>0</v>
      </c>
    </row>
    <row r="692" spans="14:43" ht="15.6">
      <c r="N692" s="39" t="s">
        <v>26</v>
      </c>
      <c r="O692" s="39" t="s">
        <v>527</v>
      </c>
      <c r="P692" t="s">
        <v>721</v>
      </c>
      <c r="Q692" s="39"/>
      <c r="V692" s="37">
        <f>IF(AND(V402&lt;=$I117,V402&gt;$J117),Tarification!$D$8,IF(AND(V402&lt;=$J117,V402&gt;$K117),Tarification!$D$9,IF(AND(V402&lt;=$K117,V402&gt;0),Tarification!$D$10,0)))</f>
        <v>0</v>
      </c>
      <c r="W692" s="37">
        <f>IF(AND(W402&lt;=$I117,W402&gt;$J117),Tarification!$D$8,IF(AND(W402&lt;=$J117,W402&gt;$K117),Tarification!$D$9,IF(AND(W402&lt;=$K117,W402&gt;0),Tarification!$D$10,0)))</f>
        <v>50000</v>
      </c>
      <c r="X692" s="37">
        <f>IF(AND(X402&lt;=$I117,X402&gt;$J117),Tarification!$D$8,IF(AND(X402&lt;=$J117,X402&gt;$K117),Tarification!$D$9,IF(AND(X402&lt;=$K117,X402&gt;0),Tarification!$D$10,0)))</f>
        <v>0</v>
      </c>
      <c r="Y692" s="37">
        <f>IF(AND(Y402&lt;=$I117,Y402&gt;$J117),Tarification!$D$8,IF(AND(Y402&lt;=$J117,Y402&gt;$K117),Tarification!$D$9,IF(AND(Y402&lt;=$K117,Y402&gt;0),Tarification!$D$10,0)))</f>
        <v>0</v>
      </c>
      <c r="Z692" s="37">
        <f>IF(AND(Z402&lt;=$I117,Z402&gt;$J117),Tarification!$D$8,IF(AND(Z402&lt;=$J117,Z402&gt;$K117),Tarification!$D$9,IF(AND(Z402&lt;=$K117,Z402&gt;0),Tarification!$D$10,0)))</f>
        <v>0</v>
      </c>
      <c r="AA692" s="37">
        <f>IF(AND(AA402&lt;=$I117,AA402&gt;$J117),Tarification!$D$8,IF(AND(AA402&lt;=$J117,AA402&gt;$K117),Tarification!$D$9,IF(AND(AA402&lt;=$K117,AA402&gt;0),Tarification!$D$10,0)))</f>
        <v>0</v>
      </c>
      <c r="AB692" s="37">
        <f>IF(AND(AB402&lt;=$I117,AB402&gt;$J117),Tarification!$D$8,IF(AND(AB402&lt;=$J117,AB402&gt;$K117),Tarification!$D$9,IF(AND(AB402&lt;=$K117,AB402&gt;0),Tarification!$D$10,0)))</f>
        <v>0</v>
      </c>
      <c r="AC692" s="37">
        <f>IF(AND(AC402&lt;=$I117,AC402&gt;$J117),Tarification!$D$8,IF(AND(AC402&lt;=$J117,AC402&gt;$K117),Tarification!$D$9,IF(AND(AC402&lt;=$K117,AC402&gt;0),Tarification!$D$10,0)))</f>
        <v>0</v>
      </c>
      <c r="AD692" s="37">
        <f>IF(AND(AD402&lt;=$I117,AD402&gt;$J117),Tarification!$D$8,IF(AND(AD402&lt;=$J117,AD402&gt;$K117),Tarification!$D$9,IF(AND(AD402&lt;=$K117,AD402&gt;0),Tarification!$D$10,0)))</f>
        <v>50000</v>
      </c>
      <c r="AE692" s="37">
        <f>IF(AND(AE402&lt;=$I117,AE402&gt;$J117),Tarification!$D$8,IF(AND(AE402&lt;=$J117,AE402&gt;$K117),Tarification!$D$9,IF(AND(AE402&lt;=$K117,AE402&gt;0),Tarification!$D$10,0)))</f>
        <v>125000</v>
      </c>
      <c r="AF692" s="37">
        <f>IF(AND(AF402&lt;=$I117,AF402&gt;$J117),Tarification!$D$8,IF(AND(AF402&lt;=$J117,AF402&gt;$K117),Tarification!$D$9,IF(AND(AF402&lt;=$K117,AF402&gt;0),Tarification!$D$10,0)))</f>
        <v>0</v>
      </c>
      <c r="AG692" s="37">
        <f>IF(AND(AG402&lt;=$I117,AG402&gt;$J117),Tarification!$D$8,IF(AND(AG402&lt;=$J117,AG402&gt;$K117),Tarification!$D$9,IF(AND(AG402&lt;=$K117,AG402&gt;0),Tarification!$D$10,0)))</f>
        <v>0</v>
      </c>
      <c r="AH692" s="37">
        <f>IF(AND(AH402&lt;=$I117,AH402&gt;$J117),Tarification!$D$8,IF(AND(AH402&lt;=$J117,AH402&gt;$K117),Tarification!$D$9,IF(AND(AH402&lt;=$K117,AH402&gt;0),Tarification!$D$10,0)))</f>
        <v>0</v>
      </c>
      <c r="AI692" s="37">
        <f>IF(AND(AI402&lt;=$I117,AI402&gt;$J117),Tarification!$D$8,IF(AND(AI402&lt;=$J117,AI402&gt;$K117),Tarification!$D$9,IF(AND(AI402&lt;=$K117,AI402&gt;0),Tarification!$D$10,0)))</f>
        <v>0</v>
      </c>
      <c r="AJ692" s="37">
        <f>IF(AND(AJ402&lt;=$I117,AJ402&gt;$J117),Tarification!$D$8,IF(AND(AJ402&lt;=$J117,AJ402&gt;$K117),Tarification!$D$9,IF(AND(AJ402&lt;=$K117,AJ402&gt;0),Tarification!$D$10,0)))</f>
        <v>0</v>
      </c>
      <c r="AK692" s="37">
        <f>IF(AND(AK402&lt;=$I117,AK402&gt;$J117),Tarification!$D$8,IF(AND(AK402&lt;=$J117,AK402&gt;$K117),Tarification!$D$9,IF(AND(AK402&lt;=$K117,AK402&gt;0),Tarification!$D$10,0)))</f>
        <v>0</v>
      </c>
      <c r="AL692" s="37">
        <f>IF(AND(AL402&lt;=$I117,AL402&gt;$J117),Tarification!$D$8,IF(AND(AL402&lt;=$J117,AL402&gt;$K117),Tarification!$D$9,IF(AND(AL402&lt;=$K117,AL402&gt;0),Tarification!$D$10,0)))</f>
        <v>0</v>
      </c>
      <c r="AM692" s="37">
        <f>IF(AND(AM402&lt;=$I117,AM402&gt;$J117),Tarification!$D$8,IF(AND(AM402&lt;=$J117,AM402&gt;$K117),Tarification!$D$9,IF(AND(AM402&lt;=$K117,AM402&gt;0),Tarification!$D$10,0)))</f>
        <v>0</v>
      </c>
      <c r="AN692" s="37">
        <f>IF(AND(AN402&lt;=$I117,AN402&gt;$J117),Tarification!$D$8,IF(AND(AN402&lt;=$J117,AN402&gt;$K117),Tarification!$D$9,IF(AND(AN402&lt;=$K117,AN402&gt;0),Tarification!$D$10,0)))</f>
        <v>125000</v>
      </c>
      <c r="AQ692" s="101">
        <f t="shared" si="149"/>
        <v>18421.052631578947</v>
      </c>
    </row>
    <row r="693" spans="14:43" ht="15.6">
      <c r="N693" s="39" t="s">
        <v>26</v>
      </c>
      <c r="O693" s="39" t="s">
        <v>235</v>
      </c>
      <c r="P693" t="s">
        <v>722</v>
      </c>
      <c r="Q693" s="39"/>
      <c r="V693" s="37">
        <f>IF(AND(V403&lt;=$I118,V403&gt;$J118),Tarification!$D$8,IF(AND(V403&lt;=$J118,V403&gt;$K118),Tarification!$D$9,IF(AND(V403&lt;=$K118,V403&gt;0),Tarification!$D$10,0)))</f>
        <v>0</v>
      </c>
      <c r="W693" s="37">
        <f>IF(AND(W403&lt;=$I118,W403&gt;$J118),Tarification!$D$8,IF(AND(W403&lt;=$J118,W403&gt;$K118),Tarification!$D$9,IF(AND(W403&lt;=$K118,W403&gt;0),Tarification!$D$10,0)))</f>
        <v>0</v>
      </c>
      <c r="X693" s="37">
        <f>IF(AND(X403&lt;=$I118,X403&gt;$J118),Tarification!$D$8,IF(AND(X403&lt;=$J118,X403&gt;$K118),Tarification!$D$9,IF(AND(X403&lt;=$K118,X403&gt;0),Tarification!$D$10,0)))</f>
        <v>0</v>
      </c>
      <c r="Y693" s="37">
        <f>IF(AND(Y403&lt;=$I118,Y403&gt;$J118),Tarification!$D$8,IF(AND(Y403&lt;=$J118,Y403&gt;$K118),Tarification!$D$9,IF(AND(Y403&lt;=$K118,Y403&gt;0),Tarification!$D$10,0)))</f>
        <v>0</v>
      </c>
      <c r="Z693" s="37">
        <f>IF(AND(Z403&lt;=$I118,Z403&gt;$J118),Tarification!$D$8,IF(AND(Z403&lt;=$J118,Z403&gt;$K118),Tarification!$D$9,IF(AND(Z403&lt;=$K118,Z403&gt;0),Tarification!$D$10,0)))</f>
        <v>0</v>
      </c>
      <c r="AA693" s="37">
        <f>IF(AND(AA403&lt;=$I118,AA403&gt;$J118),Tarification!$D$8,IF(AND(AA403&lt;=$J118,AA403&gt;$K118),Tarification!$D$9,IF(AND(AA403&lt;=$K118,AA403&gt;0),Tarification!$D$10,0)))</f>
        <v>0</v>
      </c>
      <c r="AB693" s="37">
        <f>IF(AND(AB403&lt;=$I118,AB403&gt;$J118),Tarification!$D$8,IF(AND(AB403&lt;=$J118,AB403&gt;$K118),Tarification!$D$9,IF(AND(AB403&lt;=$K118,AB403&gt;0),Tarification!$D$10,0)))</f>
        <v>0</v>
      </c>
      <c r="AC693" s="37">
        <f>IF(AND(AC403&lt;=$I118,AC403&gt;$J118),Tarification!$D$8,IF(AND(AC403&lt;=$J118,AC403&gt;$K118),Tarification!$D$9,IF(AND(AC403&lt;=$K118,AC403&gt;0),Tarification!$D$10,0)))</f>
        <v>0</v>
      </c>
      <c r="AD693" s="37">
        <f>IF(AND(AD403&lt;=$I118,AD403&gt;$J118),Tarification!$D$8,IF(AND(AD403&lt;=$J118,AD403&gt;$K118),Tarification!$D$9,IF(AND(AD403&lt;=$K118,AD403&gt;0),Tarification!$D$10,0)))</f>
        <v>0</v>
      </c>
      <c r="AE693" s="37">
        <f>IF(AND(AE403&lt;=$I118,AE403&gt;$J118),Tarification!$D$8,IF(AND(AE403&lt;=$J118,AE403&gt;$K118),Tarification!$D$9,IF(AND(AE403&lt;=$K118,AE403&gt;0),Tarification!$D$10,0)))</f>
        <v>0</v>
      </c>
      <c r="AF693" s="37">
        <f>IF(AND(AF403&lt;=$I118,AF403&gt;$J118),Tarification!$D$8,IF(AND(AF403&lt;=$J118,AF403&gt;$K118),Tarification!$D$9,IF(AND(AF403&lt;=$K118,AF403&gt;0),Tarification!$D$10,0)))</f>
        <v>0</v>
      </c>
      <c r="AG693" s="37">
        <f>IF(AND(AG403&lt;=$I118,AG403&gt;$J118),Tarification!$D$8,IF(AND(AG403&lt;=$J118,AG403&gt;$K118),Tarification!$D$9,IF(AND(AG403&lt;=$K118,AG403&gt;0),Tarification!$D$10,0)))</f>
        <v>0</v>
      </c>
      <c r="AH693" s="37">
        <f>IF(AND(AH403&lt;=$I118,AH403&gt;$J118),Tarification!$D$8,IF(AND(AH403&lt;=$J118,AH403&gt;$K118),Tarification!$D$9,IF(AND(AH403&lt;=$K118,AH403&gt;0),Tarification!$D$10,0)))</f>
        <v>0</v>
      </c>
      <c r="AI693" s="37">
        <f>IF(AND(AI403&lt;=$I118,AI403&gt;$J118),Tarification!$D$8,IF(AND(AI403&lt;=$J118,AI403&gt;$K118),Tarification!$D$9,IF(AND(AI403&lt;=$K118,AI403&gt;0),Tarification!$D$10,0)))</f>
        <v>0</v>
      </c>
      <c r="AJ693" s="37">
        <f>IF(AND(AJ403&lt;=$I118,AJ403&gt;$J118),Tarification!$D$8,IF(AND(AJ403&lt;=$J118,AJ403&gt;$K118),Tarification!$D$9,IF(AND(AJ403&lt;=$K118,AJ403&gt;0),Tarification!$D$10,0)))</f>
        <v>0</v>
      </c>
      <c r="AK693" s="37">
        <f>IF(AND(AK403&lt;=$I118,AK403&gt;$J118),Tarification!$D$8,IF(AND(AK403&lt;=$J118,AK403&gt;$K118),Tarification!$D$9,IF(AND(AK403&lt;=$K118,AK403&gt;0),Tarification!$D$10,0)))</f>
        <v>0</v>
      </c>
      <c r="AL693" s="37">
        <f>IF(AND(AL403&lt;=$I118,AL403&gt;$J118),Tarification!$D$8,IF(AND(AL403&lt;=$J118,AL403&gt;$K118),Tarification!$D$9,IF(AND(AL403&lt;=$K118,AL403&gt;0),Tarification!$D$10,0)))</f>
        <v>0</v>
      </c>
      <c r="AM693" s="37">
        <f>IF(AND(AM403&lt;=$I118,AM403&gt;$J118),Tarification!$D$8,IF(AND(AM403&lt;=$J118,AM403&gt;$K118),Tarification!$D$9,IF(AND(AM403&lt;=$K118,AM403&gt;0),Tarification!$D$10,0)))</f>
        <v>0</v>
      </c>
      <c r="AN693" s="37">
        <f>IF(AND(AN403&lt;=$I118,AN403&gt;$J118),Tarification!$D$8,IF(AND(AN403&lt;=$J118,AN403&gt;$K118),Tarification!$D$9,IF(AND(AN403&lt;=$K118,AN403&gt;0),Tarification!$D$10,0)))</f>
        <v>0</v>
      </c>
      <c r="AQ693" s="101">
        <f t="shared" si="149"/>
        <v>0</v>
      </c>
    </row>
    <row r="694" spans="14:43" ht="15.6">
      <c r="N694" s="39" t="s">
        <v>26</v>
      </c>
      <c r="O694" s="39" t="s">
        <v>513</v>
      </c>
      <c r="P694" t="s">
        <v>723</v>
      </c>
      <c r="Q694" s="39"/>
      <c r="V694" s="37">
        <f>IF(AND(V404&lt;=$I119,V404&gt;$J119),Tarification!$D$8,IF(AND(V404&lt;=$J119,V404&gt;$K119),Tarification!$D$9,IF(AND(V404&lt;=$K119,V404&gt;0),Tarification!$D$10,0)))</f>
        <v>0</v>
      </c>
      <c r="W694" s="37">
        <f>IF(AND(W404&lt;=$I119,W404&gt;$J119),Tarification!$D$8,IF(AND(W404&lt;=$J119,W404&gt;$K119),Tarification!$D$9,IF(AND(W404&lt;=$K119,W404&gt;0),Tarification!$D$10,0)))</f>
        <v>50000</v>
      </c>
      <c r="X694" s="37">
        <f>IF(AND(X404&lt;=$I119,X404&gt;$J119),Tarification!$D$8,IF(AND(X404&lt;=$J119,X404&gt;$K119),Tarification!$D$9,IF(AND(X404&lt;=$K119,X404&gt;0),Tarification!$D$10,0)))</f>
        <v>0</v>
      </c>
      <c r="Y694" s="37">
        <f>IF(AND(Y404&lt;=$I119,Y404&gt;$J119),Tarification!$D$8,IF(AND(Y404&lt;=$J119,Y404&gt;$K119),Tarification!$D$9,IF(AND(Y404&lt;=$K119,Y404&gt;0),Tarification!$D$10,0)))</f>
        <v>0</v>
      </c>
      <c r="Z694" s="37">
        <f>IF(AND(Z404&lt;=$I119,Z404&gt;$J119),Tarification!$D$8,IF(AND(Z404&lt;=$J119,Z404&gt;$K119),Tarification!$D$9,IF(AND(Z404&lt;=$K119,Z404&gt;0),Tarification!$D$10,0)))</f>
        <v>0</v>
      </c>
      <c r="AA694" s="37">
        <f>IF(AND(AA404&lt;=$I119,AA404&gt;$J119),Tarification!$D$8,IF(AND(AA404&lt;=$J119,AA404&gt;$K119),Tarification!$D$9,IF(AND(AA404&lt;=$K119,AA404&gt;0),Tarification!$D$10,0)))</f>
        <v>0</v>
      </c>
      <c r="AB694" s="37">
        <f>IF(AND(AB404&lt;=$I119,AB404&gt;$J119),Tarification!$D$8,IF(AND(AB404&lt;=$J119,AB404&gt;$K119),Tarification!$D$9,IF(AND(AB404&lt;=$K119,AB404&gt;0),Tarification!$D$10,0)))</f>
        <v>0</v>
      </c>
      <c r="AC694" s="37">
        <f>IF(AND(AC404&lt;=$I119,AC404&gt;$J119),Tarification!$D$8,IF(AND(AC404&lt;=$J119,AC404&gt;$K119),Tarification!$D$9,IF(AND(AC404&lt;=$K119,AC404&gt;0),Tarification!$D$10,0)))</f>
        <v>0</v>
      </c>
      <c r="AD694" s="37">
        <f>IF(AND(AD404&lt;=$I119,AD404&gt;$J119),Tarification!$D$8,IF(AND(AD404&lt;=$J119,AD404&gt;$K119),Tarification!$D$9,IF(AND(AD404&lt;=$K119,AD404&gt;0),Tarification!$D$10,0)))</f>
        <v>0</v>
      </c>
      <c r="AE694" s="37">
        <f>IF(AND(AE404&lt;=$I119,AE404&gt;$J119),Tarification!$D$8,IF(AND(AE404&lt;=$J119,AE404&gt;$K119),Tarification!$D$9,IF(AND(AE404&lt;=$K119,AE404&gt;0),Tarification!$D$10,0)))</f>
        <v>0</v>
      </c>
      <c r="AF694" s="37">
        <f>IF(AND(AF404&lt;=$I119,AF404&gt;$J119),Tarification!$D$8,IF(AND(AF404&lt;=$J119,AF404&gt;$K119),Tarification!$D$9,IF(AND(AF404&lt;=$K119,AF404&gt;0),Tarification!$D$10,0)))</f>
        <v>0</v>
      </c>
      <c r="AG694" s="37">
        <f>IF(AND(AG404&lt;=$I119,AG404&gt;$J119),Tarification!$D$8,IF(AND(AG404&lt;=$J119,AG404&gt;$K119),Tarification!$D$9,IF(AND(AG404&lt;=$K119,AG404&gt;0),Tarification!$D$10,0)))</f>
        <v>0</v>
      </c>
      <c r="AH694" s="37">
        <f>IF(AND(AH404&lt;=$I119,AH404&gt;$J119),Tarification!$D$8,IF(AND(AH404&lt;=$J119,AH404&gt;$K119),Tarification!$D$9,IF(AND(AH404&lt;=$K119,AH404&gt;0),Tarification!$D$10,0)))</f>
        <v>0</v>
      </c>
      <c r="AI694" s="37">
        <f>IF(AND(AI404&lt;=$I119,AI404&gt;$J119),Tarification!$D$8,IF(AND(AI404&lt;=$J119,AI404&gt;$K119),Tarification!$D$9,IF(AND(AI404&lt;=$K119,AI404&gt;0),Tarification!$D$10,0)))</f>
        <v>0</v>
      </c>
      <c r="AJ694" s="37">
        <f>IF(AND(AJ404&lt;=$I119,AJ404&gt;$J119),Tarification!$D$8,IF(AND(AJ404&lt;=$J119,AJ404&gt;$K119),Tarification!$D$9,IF(AND(AJ404&lt;=$K119,AJ404&gt;0),Tarification!$D$10,0)))</f>
        <v>0</v>
      </c>
      <c r="AK694" s="37">
        <f>IF(AND(AK404&lt;=$I119,AK404&gt;$J119),Tarification!$D$8,IF(AND(AK404&lt;=$J119,AK404&gt;$K119),Tarification!$D$9,IF(AND(AK404&lt;=$K119,AK404&gt;0),Tarification!$D$10,0)))</f>
        <v>0</v>
      </c>
      <c r="AL694" s="37">
        <f>IF(AND(AL404&lt;=$I119,AL404&gt;$J119),Tarification!$D$8,IF(AND(AL404&lt;=$J119,AL404&gt;$K119),Tarification!$D$9,IF(AND(AL404&lt;=$K119,AL404&gt;0),Tarification!$D$10,0)))</f>
        <v>0</v>
      </c>
      <c r="AM694" s="37">
        <f>IF(AND(AM404&lt;=$I119,AM404&gt;$J119),Tarification!$D$8,IF(AND(AM404&lt;=$J119,AM404&gt;$K119),Tarification!$D$9,IF(AND(AM404&lt;=$K119,AM404&gt;0),Tarification!$D$10,0)))</f>
        <v>0</v>
      </c>
      <c r="AN694" s="37">
        <f>IF(AND(AN404&lt;=$I119,AN404&gt;$J119),Tarification!$D$8,IF(AND(AN404&lt;=$J119,AN404&gt;$K119),Tarification!$D$9,IF(AND(AN404&lt;=$K119,AN404&gt;0),Tarification!$D$10,0)))</f>
        <v>0</v>
      </c>
      <c r="AQ694" s="101">
        <f t="shared" si="149"/>
        <v>2631.5789473684213</v>
      </c>
    </row>
    <row r="695" spans="14:43" ht="15.6">
      <c r="N695" s="39" t="s">
        <v>26</v>
      </c>
      <c r="O695" s="39" t="s">
        <v>598</v>
      </c>
      <c r="P695" t="s">
        <v>724</v>
      </c>
      <c r="Q695" s="39"/>
      <c r="V695" s="37">
        <f>IF(AND(V405&lt;=$I120,V405&gt;$J120),Tarification!$D$8,IF(AND(V405&lt;=$J120,V405&gt;$K120),Tarification!$D$9,IF(AND(V405&lt;=$K120,V405&gt;0),Tarification!$D$10,0)))</f>
        <v>0</v>
      </c>
      <c r="W695" s="37">
        <f>IF(AND(W405&lt;=$I120,W405&gt;$J120),Tarification!$D$8,IF(AND(W405&lt;=$J120,W405&gt;$K120),Tarification!$D$9,IF(AND(W405&lt;=$K120,W405&gt;0),Tarification!$D$10,0)))</f>
        <v>0</v>
      </c>
      <c r="X695" s="37">
        <f>IF(AND(X405&lt;=$I120,X405&gt;$J120),Tarification!$D$8,IF(AND(X405&lt;=$J120,X405&gt;$K120),Tarification!$D$9,IF(AND(X405&lt;=$K120,X405&gt;0),Tarification!$D$10,0)))</f>
        <v>0</v>
      </c>
      <c r="Y695" s="37">
        <f>IF(AND(Y405&lt;=$I120,Y405&gt;$J120),Tarification!$D$8,IF(AND(Y405&lt;=$J120,Y405&gt;$K120),Tarification!$D$9,IF(AND(Y405&lt;=$K120,Y405&gt;0),Tarification!$D$10,0)))</f>
        <v>0</v>
      </c>
      <c r="Z695" s="37">
        <f>IF(AND(Z405&lt;=$I120,Z405&gt;$J120),Tarification!$D$8,IF(AND(Z405&lt;=$J120,Z405&gt;$K120),Tarification!$D$9,IF(AND(Z405&lt;=$K120,Z405&gt;0),Tarification!$D$10,0)))</f>
        <v>0</v>
      </c>
      <c r="AA695" s="37">
        <f>IF(AND(AA405&lt;=$I120,AA405&gt;$J120),Tarification!$D$8,IF(AND(AA405&lt;=$J120,AA405&gt;$K120),Tarification!$D$9,IF(AND(AA405&lt;=$K120,AA405&gt;0),Tarification!$D$10,0)))</f>
        <v>0</v>
      </c>
      <c r="AB695" s="37">
        <f>IF(AND(AB405&lt;=$I120,AB405&gt;$J120),Tarification!$D$8,IF(AND(AB405&lt;=$J120,AB405&gt;$K120),Tarification!$D$9,IF(AND(AB405&lt;=$K120,AB405&gt;0),Tarification!$D$10,0)))</f>
        <v>0</v>
      </c>
      <c r="AC695" s="37">
        <f>IF(AND(AC405&lt;=$I120,AC405&gt;$J120),Tarification!$D$8,IF(AND(AC405&lt;=$J120,AC405&gt;$K120),Tarification!$D$9,IF(AND(AC405&lt;=$K120,AC405&gt;0),Tarification!$D$10,0)))</f>
        <v>50000</v>
      </c>
      <c r="AD695" s="37">
        <f>IF(AND(AD405&lt;=$I120,AD405&gt;$J120),Tarification!$D$8,IF(AND(AD405&lt;=$J120,AD405&gt;$K120),Tarification!$D$9,IF(AND(AD405&lt;=$K120,AD405&gt;0),Tarification!$D$10,0)))</f>
        <v>0</v>
      </c>
      <c r="AE695" s="37">
        <f>IF(AND(AE405&lt;=$I120,AE405&gt;$J120),Tarification!$D$8,IF(AND(AE405&lt;=$J120,AE405&gt;$K120),Tarification!$D$9,IF(AND(AE405&lt;=$K120,AE405&gt;0),Tarification!$D$10,0)))</f>
        <v>50000</v>
      </c>
      <c r="AF695" s="37">
        <f>IF(AND(AF405&lt;=$I120,AF405&gt;$J120),Tarification!$D$8,IF(AND(AF405&lt;=$J120,AF405&gt;$K120),Tarification!$D$9,IF(AND(AF405&lt;=$K120,AF405&gt;0),Tarification!$D$10,0)))</f>
        <v>0</v>
      </c>
      <c r="AG695" s="37">
        <f>IF(AND(AG405&lt;=$I120,AG405&gt;$J120),Tarification!$D$8,IF(AND(AG405&lt;=$J120,AG405&gt;$K120),Tarification!$D$9,IF(AND(AG405&lt;=$K120,AG405&gt;0),Tarification!$D$10,0)))</f>
        <v>0</v>
      </c>
      <c r="AH695" s="37">
        <f>IF(AND(AH405&lt;=$I120,AH405&gt;$J120),Tarification!$D$8,IF(AND(AH405&lt;=$J120,AH405&gt;$K120),Tarification!$D$9,IF(AND(AH405&lt;=$K120,AH405&gt;0),Tarification!$D$10,0)))</f>
        <v>0</v>
      </c>
      <c r="AI695" s="37">
        <f>IF(AND(AI405&lt;=$I120,AI405&gt;$J120),Tarification!$D$8,IF(AND(AI405&lt;=$J120,AI405&gt;$K120),Tarification!$D$9,IF(AND(AI405&lt;=$K120,AI405&gt;0),Tarification!$D$10,0)))</f>
        <v>0</v>
      </c>
      <c r="AJ695" s="37">
        <f>IF(AND(AJ405&lt;=$I120,AJ405&gt;$J120),Tarification!$D$8,IF(AND(AJ405&lt;=$J120,AJ405&gt;$K120),Tarification!$D$9,IF(AND(AJ405&lt;=$K120,AJ405&gt;0),Tarification!$D$10,0)))</f>
        <v>0</v>
      </c>
      <c r="AK695" s="37">
        <f>IF(AND(AK405&lt;=$I120,AK405&gt;$J120),Tarification!$D$8,IF(AND(AK405&lt;=$J120,AK405&gt;$K120),Tarification!$D$9,IF(AND(AK405&lt;=$K120,AK405&gt;0),Tarification!$D$10,0)))</f>
        <v>0</v>
      </c>
      <c r="AL695" s="37">
        <f>IF(AND(AL405&lt;=$I120,AL405&gt;$J120),Tarification!$D$8,IF(AND(AL405&lt;=$J120,AL405&gt;$K120),Tarification!$D$9,IF(AND(AL405&lt;=$K120,AL405&gt;0),Tarification!$D$10,0)))</f>
        <v>0</v>
      </c>
      <c r="AM695" s="37">
        <f>IF(AND(AM405&lt;=$I120,AM405&gt;$J120),Tarification!$D$8,IF(AND(AM405&lt;=$J120,AM405&gt;$K120),Tarification!$D$9,IF(AND(AM405&lt;=$K120,AM405&gt;0),Tarification!$D$10,0)))</f>
        <v>0</v>
      </c>
      <c r="AN695" s="37">
        <f>IF(AND(AN405&lt;=$I120,AN405&gt;$J120),Tarification!$D$8,IF(AND(AN405&lt;=$J120,AN405&gt;$K120),Tarification!$D$9,IF(AND(AN405&lt;=$K120,AN405&gt;0),Tarification!$D$10,0)))</f>
        <v>0</v>
      </c>
      <c r="AQ695" s="101">
        <f t="shared" si="149"/>
        <v>5263.1578947368425</v>
      </c>
    </row>
    <row r="696" spans="14:43" ht="15.6">
      <c r="N696" s="39" t="s">
        <v>26</v>
      </c>
      <c r="O696" s="39" t="s">
        <v>441</v>
      </c>
      <c r="P696" t="s">
        <v>725</v>
      </c>
      <c r="Q696" s="39"/>
      <c r="V696" s="37">
        <f>IF(AND(V406&lt;=$I121,V406&gt;$J121),Tarification!$D$8,IF(AND(V406&lt;=$J121,V406&gt;$K121),Tarification!$D$9,IF(AND(V406&lt;=$K121,V406&gt;0),Tarification!$D$10,0)))</f>
        <v>0</v>
      </c>
      <c r="W696" s="37">
        <f>IF(AND(W406&lt;=$I121,W406&gt;$J121),Tarification!$D$8,IF(AND(W406&lt;=$J121,W406&gt;$K121),Tarification!$D$9,IF(AND(W406&lt;=$K121,W406&gt;0),Tarification!$D$10,0)))</f>
        <v>50000</v>
      </c>
      <c r="X696" s="37">
        <f>IF(AND(X406&lt;=$I121,X406&gt;$J121),Tarification!$D$8,IF(AND(X406&lt;=$J121,X406&gt;$K121),Tarification!$D$9,IF(AND(X406&lt;=$K121,X406&gt;0),Tarification!$D$10,0)))</f>
        <v>0</v>
      </c>
      <c r="Y696" s="37">
        <f>IF(AND(Y406&lt;=$I121,Y406&gt;$J121),Tarification!$D$8,IF(AND(Y406&lt;=$J121,Y406&gt;$K121),Tarification!$D$9,IF(AND(Y406&lt;=$K121,Y406&gt;0),Tarification!$D$10,0)))</f>
        <v>0</v>
      </c>
      <c r="Z696" s="37">
        <f>IF(AND(Z406&lt;=$I121,Z406&gt;$J121),Tarification!$D$8,IF(AND(Z406&lt;=$J121,Z406&gt;$K121),Tarification!$D$9,IF(AND(Z406&lt;=$K121,Z406&gt;0),Tarification!$D$10,0)))</f>
        <v>0</v>
      </c>
      <c r="AA696" s="37">
        <f>IF(AND(AA406&lt;=$I121,AA406&gt;$J121),Tarification!$D$8,IF(AND(AA406&lt;=$J121,AA406&gt;$K121),Tarification!$D$9,IF(AND(AA406&lt;=$K121,AA406&gt;0),Tarification!$D$10,0)))</f>
        <v>0</v>
      </c>
      <c r="AB696" s="37">
        <f>IF(AND(AB406&lt;=$I121,AB406&gt;$J121),Tarification!$D$8,IF(AND(AB406&lt;=$J121,AB406&gt;$K121),Tarification!$D$9,IF(AND(AB406&lt;=$K121,AB406&gt;0),Tarification!$D$10,0)))</f>
        <v>0</v>
      </c>
      <c r="AC696" s="37">
        <f>IF(AND(AC406&lt;=$I121,AC406&gt;$J121),Tarification!$D$8,IF(AND(AC406&lt;=$J121,AC406&gt;$K121),Tarification!$D$9,IF(AND(AC406&lt;=$K121,AC406&gt;0),Tarification!$D$10,0)))</f>
        <v>0</v>
      </c>
      <c r="AD696" s="37">
        <f>IF(AND(AD406&lt;=$I121,AD406&gt;$J121),Tarification!$D$8,IF(AND(AD406&lt;=$J121,AD406&gt;$K121),Tarification!$D$9,IF(AND(AD406&lt;=$K121,AD406&gt;0),Tarification!$D$10,0)))</f>
        <v>0</v>
      </c>
      <c r="AE696" s="37">
        <f>IF(AND(AE406&lt;=$I121,AE406&gt;$J121),Tarification!$D$8,IF(AND(AE406&lt;=$J121,AE406&gt;$K121),Tarification!$D$9,IF(AND(AE406&lt;=$K121,AE406&gt;0),Tarification!$D$10,0)))</f>
        <v>50000</v>
      </c>
      <c r="AF696" s="37">
        <f>IF(AND(AF406&lt;=$I121,AF406&gt;$J121),Tarification!$D$8,IF(AND(AF406&lt;=$J121,AF406&gt;$K121),Tarification!$D$9,IF(AND(AF406&lt;=$K121,AF406&gt;0),Tarification!$D$10,0)))</f>
        <v>50000</v>
      </c>
      <c r="AG696" s="37">
        <f>IF(AND(AG406&lt;=$I121,AG406&gt;$J121),Tarification!$D$8,IF(AND(AG406&lt;=$J121,AG406&gt;$K121),Tarification!$D$9,IF(AND(AG406&lt;=$K121,AG406&gt;0),Tarification!$D$10,0)))</f>
        <v>0</v>
      </c>
      <c r="AH696" s="37">
        <f>IF(AND(AH406&lt;=$I121,AH406&gt;$J121),Tarification!$D$8,IF(AND(AH406&lt;=$J121,AH406&gt;$K121),Tarification!$D$9,IF(AND(AH406&lt;=$K121,AH406&gt;0),Tarification!$D$10,0)))</f>
        <v>0</v>
      </c>
      <c r="AI696" s="37">
        <f>IF(AND(AI406&lt;=$I121,AI406&gt;$J121),Tarification!$D$8,IF(AND(AI406&lt;=$J121,AI406&gt;$K121),Tarification!$D$9,IF(AND(AI406&lt;=$K121,AI406&gt;0),Tarification!$D$10,0)))</f>
        <v>50000</v>
      </c>
      <c r="AJ696" s="37">
        <f>IF(AND(AJ406&lt;=$I121,AJ406&gt;$J121),Tarification!$D$8,IF(AND(AJ406&lt;=$J121,AJ406&gt;$K121),Tarification!$D$9,IF(AND(AJ406&lt;=$K121,AJ406&gt;0),Tarification!$D$10,0)))</f>
        <v>0</v>
      </c>
      <c r="AK696" s="37">
        <f>IF(AND(AK406&lt;=$I121,AK406&gt;$J121),Tarification!$D$8,IF(AND(AK406&lt;=$J121,AK406&gt;$K121),Tarification!$D$9,IF(AND(AK406&lt;=$K121,AK406&gt;0),Tarification!$D$10,0)))</f>
        <v>0</v>
      </c>
      <c r="AL696" s="37">
        <f>IF(AND(AL406&lt;=$I121,AL406&gt;$J121),Tarification!$D$8,IF(AND(AL406&lt;=$J121,AL406&gt;$K121),Tarification!$D$9,IF(AND(AL406&lt;=$K121,AL406&gt;0),Tarification!$D$10,0)))</f>
        <v>0</v>
      </c>
      <c r="AM696" s="37">
        <f>IF(AND(AM406&lt;=$I121,AM406&gt;$J121),Tarification!$D$8,IF(AND(AM406&lt;=$J121,AM406&gt;$K121),Tarification!$D$9,IF(AND(AM406&lt;=$K121,AM406&gt;0),Tarification!$D$10,0)))</f>
        <v>0</v>
      </c>
      <c r="AN696" s="37">
        <f>IF(AND(AN406&lt;=$I121,AN406&gt;$J121),Tarification!$D$8,IF(AND(AN406&lt;=$J121,AN406&gt;$K121),Tarification!$D$9,IF(AND(AN406&lt;=$K121,AN406&gt;0),Tarification!$D$10,0)))</f>
        <v>0</v>
      </c>
      <c r="AQ696" s="101">
        <f t="shared" si="149"/>
        <v>10526.315789473685</v>
      </c>
    </row>
    <row r="697" spans="14:43" ht="15.6">
      <c r="N697" s="39" t="s">
        <v>26</v>
      </c>
      <c r="O697" s="39" t="s">
        <v>576</v>
      </c>
      <c r="P697" t="s">
        <v>726</v>
      </c>
      <c r="Q697" s="39"/>
      <c r="V697" s="37">
        <f>IF(AND(V407&lt;=$I122,V407&gt;$J122),Tarification!$D$8,IF(AND(V407&lt;=$J122,V407&gt;$K122),Tarification!$D$9,IF(AND(V407&lt;=$K122,V407&gt;0),Tarification!$D$10,0)))</f>
        <v>0</v>
      </c>
      <c r="W697" s="37">
        <f>IF(AND(W407&lt;=$I122,W407&gt;$J122),Tarification!$D$8,IF(AND(W407&lt;=$J122,W407&gt;$K122),Tarification!$D$9,IF(AND(W407&lt;=$K122,W407&gt;0),Tarification!$D$10,0)))</f>
        <v>0</v>
      </c>
      <c r="X697" s="37">
        <f>IF(AND(X407&lt;=$I122,X407&gt;$J122),Tarification!$D$8,IF(AND(X407&lt;=$J122,X407&gt;$K122),Tarification!$D$9,IF(AND(X407&lt;=$K122,X407&gt;0),Tarification!$D$10,0)))</f>
        <v>0</v>
      </c>
      <c r="Y697" s="37">
        <f>IF(AND(Y407&lt;=$I122,Y407&gt;$J122),Tarification!$D$8,IF(AND(Y407&lt;=$J122,Y407&gt;$K122),Tarification!$D$9,IF(AND(Y407&lt;=$K122,Y407&gt;0),Tarification!$D$10,0)))</f>
        <v>0</v>
      </c>
      <c r="Z697" s="37">
        <f>IF(AND(Z407&lt;=$I122,Z407&gt;$J122),Tarification!$D$8,IF(AND(Z407&lt;=$J122,Z407&gt;$K122),Tarification!$D$9,IF(AND(Z407&lt;=$K122,Z407&gt;0),Tarification!$D$10,0)))</f>
        <v>0</v>
      </c>
      <c r="AA697" s="37">
        <f>IF(AND(AA407&lt;=$I122,AA407&gt;$J122),Tarification!$D$8,IF(AND(AA407&lt;=$J122,AA407&gt;$K122),Tarification!$D$9,IF(AND(AA407&lt;=$K122,AA407&gt;0),Tarification!$D$10,0)))</f>
        <v>0</v>
      </c>
      <c r="AB697" s="37">
        <f>IF(AND(AB407&lt;=$I122,AB407&gt;$J122),Tarification!$D$8,IF(AND(AB407&lt;=$J122,AB407&gt;$K122),Tarification!$D$9,IF(AND(AB407&lt;=$K122,AB407&gt;0),Tarification!$D$10,0)))</f>
        <v>0</v>
      </c>
      <c r="AC697" s="37">
        <f>IF(AND(AC407&lt;=$I122,AC407&gt;$J122),Tarification!$D$8,IF(AND(AC407&lt;=$J122,AC407&gt;$K122),Tarification!$D$9,IF(AND(AC407&lt;=$K122,AC407&gt;0),Tarification!$D$10,0)))</f>
        <v>125000</v>
      </c>
      <c r="AD697" s="37">
        <f>IF(AND(AD407&lt;=$I122,AD407&gt;$J122),Tarification!$D$8,IF(AND(AD407&lt;=$J122,AD407&gt;$K122),Tarification!$D$9,IF(AND(AD407&lt;=$K122,AD407&gt;0),Tarification!$D$10,0)))</f>
        <v>0</v>
      </c>
      <c r="AE697" s="37">
        <f>IF(AND(AE407&lt;=$I122,AE407&gt;$J122),Tarification!$D$8,IF(AND(AE407&lt;=$J122,AE407&gt;$K122),Tarification!$D$9,IF(AND(AE407&lt;=$K122,AE407&gt;0),Tarification!$D$10,0)))</f>
        <v>250000</v>
      </c>
      <c r="AF697" s="37">
        <f>IF(AND(AF407&lt;=$I122,AF407&gt;$J122),Tarification!$D$8,IF(AND(AF407&lt;=$J122,AF407&gt;$K122),Tarification!$D$9,IF(AND(AF407&lt;=$K122,AF407&gt;0),Tarification!$D$10,0)))</f>
        <v>0</v>
      </c>
      <c r="AG697" s="37">
        <f>IF(AND(AG407&lt;=$I122,AG407&gt;$J122),Tarification!$D$8,IF(AND(AG407&lt;=$J122,AG407&gt;$K122),Tarification!$D$9,IF(AND(AG407&lt;=$K122,AG407&gt;0),Tarification!$D$10,0)))</f>
        <v>0</v>
      </c>
      <c r="AH697" s="37">
        <f>IF(AND(AH407&lt;=$I122,AH407&gt;$J122),Tarification!$D$8,IF(AND(AH407&lt;=$J122,AH407&gt;$K122),Tarification!$D$9,IF(AND(AH407&lt;=$K122,AH407&gt;0),Tarification!$D$10,0)))</f>
        <v>0</v>
      </c>
      <c r="AI697" s="37">
        <f>IF(AND(AI407&lt;=$I122,AI407&gt;$J122),Tarification!$D$8,IF(AND(AI407&lt;=$J122,AI407&gt;$K122),Tarification!$D$9,IF(AND(AI407&lt;=$K122,AI407&gt;0),Tarification!$D$10,0)))</f>
        <v>0</v>
      </c>
      <c r="AJ697" s="37">
        <f>IF(AND(AJ407&lt;=$I122,AJ407&gt;$J122),Tarification!$D$8,IF(AND(AJ407&lt;=$J122,AJ407&gt;$K122),Tarification!$D$9,IF(AND(AJ407&lt;=$K122,AJ407&gt;0),Tarification!$D$10,0)))</f>
        <v>0</v>
      </c>
      <c r="AK697" s="37">
        <f>IF(AND(AK407&lt;=$I122,AK407&gt;$J122),Tarification!$D$8,IF(AND(AK407&lt;=$J122,AK407&gt;$K122),Tarification!$D$9,IF(AND(AK407&lt;=$K122,AK407&gt;0),Tarification!$D$10,0)))</f>
        <v>0</v>
      </c>
      <c r="AL697" s="37">
        <f>IF(AND(AL407&lt;=$I122,AL407&gt;$J122),Tarification!$D$8,IF(AND(AL407&lt;=$J122,AL407&gt;$K122),Tarification!$D$9,IF(AND(AL407&lt;=$K122,AL407&gt;0),Tarification!$D$10,0)))</f>
        <v>0</v>
      </c>
      <c r="AM697" s="37">
        <f>IF(AND(AM407&lt;=$I122,AM407&gt;$J122),Tarification!$D$8,IF(AND(AM407&lt;=$J122,AM407&gt;$K122),Tarification!$D$9,IF(AND(AM407&lt;=$K122,AM407&gt;0),Tarification!$D$10,0)))</f>
        <v>0</v>
      </c>
      <c r="AN697" s="37">
        <f>IF(AND(AN407&lt;=$I122,AN407&gt;$J122),Tarification!$D$8,IF(AND(AN407&lt;=$J122,AN407&gt;$K122),Tarification!$D$9,IF(AND(AN407&lt;=$K122,AN407&gt;0),Tarification!$D$10,0)))</f>
        <v>0</v>
      </c>
      <c r="AQ697" s="101">
        <f t="shared" si="149"/>
        <v>19736.842105263157</v>
      </c>
    </row>
    <row r="698" spans="14:43" ht="15.6">
      <c r="N698" s="39" t="s">
        <v>26</v>
      </c>
      <c r="O698" s="39" t="s">
        <v>230</v>
      </c>
      <c r="P698" t="s">
        <v>727</v>
      </c>
      <c r="Q698" s="39"/>
      <c r="V698" s="37">
        <f>IF(AND(V408&lt;=$I123,V408&gt;$J123),Tarification!$D$8,IF(AND(V408&lt;=$J123,V408&gt;$K123),Tarification!$D$9,IF(AND(V408&lt;=$K123,V408&gt;0),Tarification!$D$10,0)))</f>
        <v>0</v>
      </c>
      <c r="W698" s="37">
        <f>IF(AND(W408&lt;=$I123,W408&gt;$J123),Tarification!$D$8,IF(AND(W408&lt;=$J123,W408&gt;$K123),Tarification!$D$9,IF(AND(W408&lt;=$K123,W408&gt;0),Tarification!$D$10,0)))</f>
        <v>0</v>
      </c>
      <c r="X698" s="37">
        <f>IF(AND(X408&lt;=$I123,X408&gt;$J123),Tarification!$D$8,IF(AND(X408&lt;=$J123,X408&gt;$K123),Tarification!$D$9,IF(AND(X408&lt;=$K123,X408&gt;0),Tarification!$D$10,0)))</f>
        <v>0</v>
      </c>
      <c r="Y698" s="37">
        <f>IF(AND(Y408&lt;=$I123,Y408&gt;$J123),Tarification!$D$8,IF(AND(Y408&lt;=$J123,Y408&gt;$K123),Tarification!$D$9,IF(AND(Y408&lt;=$K123,Y408&gt;0),Tarification!$D$10,0)))</f>
        <v>0</v>
      </c>
      <c r="Z698" s="37">
        <f>IF(AND(Z408&lt;=$I123,Z408&gt;$J123),Tarification!$D$8,IF(AND(Z408&lt;=$J123,Z408&gt;$K123),Tarification!$D$9,IF(AND(Z408&lt;=$K123,Z408&gt;0),Tarification!$D$10,0)))</f>
        <v>0</v>
      </c>
      <c r="AA698" s="37">
        <f>IF(AND(AA408&lt;=$I123,AA408&gt;$J123),Tarification!$D$8,IF(AND(AA408&lt;=$J123,AA408&gt;$K123),Tarification!$D$9,IF(AND(AA408&lt;=$K123,AA408&gt;0),Tarification!$D$10,0)))</f>
        <v>0</v>
      </c>
      <c r="AB698" s="37">
        <f>IF(AND(AB408&lt;=$I123,AB408&gt;$J123),Tarification!$D$8,IF(AND(AB408&lt;=$J123,AB408&gt;$K123),Tarification!$D$9,IF(AND(AB408&lt;=$K123,AB408&gt;0),Tarification!$D$10,0)))</f>
        <v>0</v>
      </c>
      <c r="AC698" s="37">
        <f>IF(AND(AC408&lt;=$I123,AC408&gt;$J123),Tarification!$D$8,IF(AND(AC408&lt;=$J123,AC408&gt;$K123),Tarification!$D$9,IF(AND(AC408&lt;=$K123,AC408&gt;0),Tarification!$D$10,0)))</f>
        <v>0</v>
      </c>
      <c r="AD698" s="37">
        <f>IF(AND(AD408&lt;=$I123,AD408&gt;$J123),Tarification!$D$8,IF(AND(AD408&lt;=$J123,AD408&gt;$K123),Tarification!$D$9,IF(AND(AD408&lt;=$K123,AD408&gt;0),Tarification!$D$10,0)))</f>
        <v>0</v>
      </c>
      <c r="AE698" s="37">
        <f>IF(AND(AE408&lt;=$I123,AE408&gt;$J123),Tarification!$D$8,IF(AND(AE408&lt;=$J123,AE408&gt;$K123),Tarification!$D$9,IF(AND(AE408&lt;=$K123,AE408&gt;0),Tarification!$D$10,0)))</f>
        <v>0</v>
      </c>
      <c r="AF698" s="37">
        <f>IF(AND(AF408&lt;=$I123,AF408&gt;$J123),Tarification!$D$8,IF(AND(AF408&lt;=$J123,AF408&gt;$K123),Tarification!$D$9,IF(AND(AF408&lt;=$K123,AF408&gt;0),Tarification!$D$10,0)))</f>
        <v>0</v>
      </c>
      <c r="AG698" s="37">
        <f>IF(AND(AG408&lt;=$I123,AG408&gt;$J123),Tarification!$D$8,IF(AND(AG408&lt;=$J123,AG408&gt;$K123),Tarification!$D$9,IF(AND(AG408&lt;=$K123,AG408&gt;0),Tarification!$D$10,0)))</f>
        <v>0</v>
      </c>
      <c r="AH698" s="37">
        <f>IF(AND(AH408&lt;=$I123,AH408&gt;$J123),Tarification!$D$8,IF(AND(AH408&lt;=$J123,AH408&gt;$K123),Tarification!$D$9,IF(AND(AH408&lt;=$K123,AH408&gt;0),Tarification!$D$10,0)))</f>
        <v>0</v>
      </c>
      <c r="AI698" s="37">
        <f>IF(AND(AI408&lt;=$I123,AI408&gt;$J123),Tarification!$D$8,IF(AND(AI408&lt;=$J123,AI408&gt;$K123),Tarification!$D$9,IF(AND(AI408&lt;=$K123,AI408&gt;0),Tarification!$D$10,0)))</f>
        <v>0</v>
      </c>
      <c r="AJ698" s="37">
        <f>IF(AND(AJ408&lt;=$I123,AJ408&gt;$J123),Tarification!$D$8,IF(AND(AJ408&lt;=$J123,AJ408&gt;$K123),Tarification!$D$9,IF(AND(AJ408&lt;=$K123,AJ408&gt;0),Tarification!$D$10,0)))</f>
        <v>0</v>
      </c>
      <c r="AK698" s="37">
        <f>IF(AND(AK408&lt;=$I123,AK408&gt;$J123),Tarification!$D$8,IF(AND(AK408&lt;=$J123,AK408&gt;$K123),Tarification!$D$9,IF(AND(AK408&lt;=$K123,AK408&gt;0),Tarification!$D$10,0)))</f>
        <v>0</v>
      </c>
      <c r="AL698" s="37">
        <f>IF(AND(AL408&lt;=$I123,AL408&gt;$J123),Tarification!$D$8,IF(AND(AL408&lt;=$J123,AL408&gt;$K123),Tarification!$D$9,IF(AND(AL408&lt;=$K123,AL408&gt;0),Tarification!$D$10,0)))</f>
        <v>0</v>
      </c>
      <c r="AM698" s="37">
        <f>IF(AND(AM408&lt;=$I123,AM408&gt;$J123),Tarification!$D$8,IF(AND(AM408&lt;=$J123,AM408&gt;$K123),Tarification!$D$9,IF(AND(AM408&lt;=$K123,AM408&gt;0),Tarification!$D$10,0)))</f>
        <v>0</v>
      </c>
      <c r="AN698" s="37">
        <f>IF(AND(AN408&lt;=$I123,AN408&gt;$J123),Tarification!$D$8,IF(AND(AN408&lt;=$J123,AN408&gt;$K123),Tarification!$D$9,IF(AND(AN408&lt;=$K123,AN408&gt;0),Tarification!$D$10,0)))</f>
        <v>0</v>
      </c>
      <c r="AQ698" s="101">
        <f t="shared" si="149"/>
        <v>0</v>
      </c>
    </row>
    <row r="699" spans="14:43" ht="15.6">
      <c r="N699" s="39" t="s">
        <v>26</v>
      </c>
      <c r="O699" s="39" t="s">
        <v>99</v>
      </c>
      <c r="P699" t="s">
        <v>728</v>
      </c>
      <c r="Q699" s="39"/>
      <c r="V699" s="37">
        <f>IF(AND(V409&lt;=$I124,V409&gt;$J124),Tarification!$D$8,IF(AND(V409&lt;=$J124,V409&gt;$K124),Tarification!$D$9,IF(AND(V409&lt;=$K124,V409&gt;0),Tarification!$D$10,0)))</f>
        <v>0</v>
      </c>
      <c r="W699" s="37">
        <f>IF(AND(W409&lt;=$I124,W409&gt;$J124),Tarification!$D$8,IF(AND(W409&lt;=$J124,W409&gt;$K124),Tarification!$D$9,IF(AND(W409&lt;=$K124,W409&gt;0),Tarification!$D$10,0)))</f>
        <v>0</v>
      </c>
      <c r="X699" s="37">
        <f>IF(AND(X409&lt;=$I124,X409&gt;$J124),Tarification!$D$8,IF(AND(X409&lt;=$J124,X409&gt;$K124),Tarification!$D$9,IF(AND(X409&lt;=$K124,X409&gt;0),Tarification!$D$10,0)))</f>
        <v>0</v>
      </c>
      <c r="Y699" s="37">
        <f>IF(AND(Y409&lt;=$I124,Y409&gt;$J124),Tarification!$D$8,IF(AND(Y409&lt;=$J124,Y409&gt;$K124),Tarification!$D$9,IF(AND(Y409&lt;=$K124,Y409&gt;0),Tarification!$D$10,0)))</f>
        <v>0</v>
      </c>
      <c r="Z699" s="37">
        <f>IF(AND(Z409&lt;=$I124,Z409&gt;$J124),Tarification!$D$8,IF(AND(Z409&lt;=$J124,Z409&gt;$K124),Tarification!$D$9,IF(AND(Z409&lt;=$K124,Z409&gt;0),Tarification!$D$10,0)))</f>
        <v>0</v>
      </c>
      <c r="AA699" s="37">
        <f>IF(AND(AA409&lt;=$I124,AA409&gt;$J124),Tarification!$D$8,IF(AND(AA409&lt;=$J124,AA409&gt;$K124),Tarification!$D$9,IF(AND(AA409&lt;=$K124,AA409&gt;0),Tarification!$D$10,0)))</f>
        <v>0</v>
      </c>
      <c r="AB699" s="37">
        <f>IF(AND(AB409&lt;=$I124,AB409&gt;$J124),Tarification!$D$8,IF(AND(AB409&lt;=$J124,AB409&gt;$K124),Tarification!$D$9,IF(AND(AB409&lt;=$K124,AB409&gt;0),Tarification!$D$10,0)))</f>
        <v>0</v>
      </c>
      <c r="AC699" s="37">
        <f>IF(AND(AC409&lt;=$I124,AC409&gt;$J124),Tarification!$D$8,IF(AND(AC409&lt;=$J124,AC409&gt;$K124),Tarification!$D$9,IF(AND(AC409&lt;=$K124,AC409&gt;0),Tarification!$D$10,0)))</f>
        <v>0</v>
      </c>
      <c r="AD699" s="37">
        <f>IF(AND(AD409&lt;=$I124,AD409&gt;$J124),Tarification!$D$8,IF(AND(AD409&lt;=$J124,AD409&gt;$K124),Tarification!$D$9,IF(AND(AD409&lt;=$K124,AD409&gt;0),Tarification!$D$10,0)))</f>
        <v>0</v>
      </c>
      <c r="AE699" s="37">
        <f>IF(AND(AE409&lt;=$I124,AE409&gt;$J124),Tarification!$D$8,IF(AND(AE409&lt;=$J124,AE409&gt;$K124),Tarification!$D$9,IF(AND(AE409&lt;=$K124,AE409&gt;0),Tarification!$D$10,0)))</f>
        <v>0</v>
      </c>
      <c r="AF699" s="37">
        <f>IF(AND(AF409&lt;=$I124,AF409&gt;$J124),Tarification!$D$8,IF(AND(AF409&lt;=$J124,AF409&gt;$K124),Tarification!$D$9,IF(AND(AF409&lt;=$K124,AF409&gt;0),Tarification!$D$10,0)))</f>
        <v>0</v>
      </c>
      <c r="AG699" s="37">
        <f>IF(AND(AG409&lt;=$I124,AG409&gt;$J124),Tarification!$D$8,IF(AND(AG409&lt;=$J124,AG409&gt;$K124),Tarification!$D$9,IF(AND(AG409&lt;=$K124,AG409&gt;0),Tarification!$D$10,0)))</f>
        <v>0</v>
      </c>
      <c r="AH699" s="37">
        <f>IF(AND(AH409&lt;=$I124,AH409&gt;$J124),Tarification!$D$8,IF(AND(AH409&lt;=$J124,AH409&gt;$K124),Tarification!$D$9,IF(AND(AH409&lt;=$K124,AH409&gt;0),Tarification!$D$10,0)))</f>
        <v>0</v>
      </c>
      <c r="AI699" s="37">
        <f>IF(AND(AI409&lt;=$I124,AI409&gt;$J124),Tarification!$D$8,IF(AND(AI409&lt;=$J124,AI409&gt;$K124),Tarification!$D$9,IF(AND(AI409&lt;=$K124,AI409&gt;0),Tarification!$D$10,0)))</f>
        <v>0</v>
      </c>
      <c r="AJ699" s="37">
        <f>IF(AND(AJ409&lt;=$I124,AJ409&gt;$J124),Tarification!$D$8,IF(AND(AJ409&lt;=$J124,AJ409&gt;$K124),Tarification!$D$9,IF(AND(AJ409&lt;=$K124,AJ409&gt;0),Tarification!$D$10,0)))</f>
        <v>0</v>
      </c>
      <c r="AK699" s="37">
        <f>IF(AND(AK409&lt;=$I124,AK409&gt;$J124),Tarification!$D$8,IF(AND(AK409&lt;=$J124,AK409&gt;$K124),Tarification!$D$9,IF(AND(AK409&lt;=$K124,AK409&gt;0),Tarification!$D$10,0)))</f>
        <v>0</v>
      </c>
      <c r="AL699" s="37">
        <f>IF(AND(AL409&lt;=$I124,AL409&gt;$J124),Tarification!$D$8,IF(AND(AL409&lt;=$J124,AL409&gt;$K124),Tarification!$D$9,IF(AND(AL409&lt;=$K124,AL409&gt;0),Tarification!$D$10,0)))</f>
        <v>0</v>
      </c>
      <c r="AM699" s="37">
        <f>IF(AND(AM409&lt;=$I124,AM409&gt;$J124),Tarification!$D$8,IF(AND(AM409&lt;=$J124,AM409&gt;$K124),Tarification!$D$9,IF(AND(AM409&lt;=$K124,AM409&gt;0),Tarification!$D$10,0)))</f>
        <v>0</v>
      </c>
      <c r="AN699" s="37">
        <f>IF(AND(AN409&lt;=$I124,AN409&gt;$J124),Tarification!$D$8,IF(AND(AN409&lt;=$J124,AN409&gt;$K124),Tarification!$D$9,IF(AND(AN409&lt;=$K124,AN409&gt;0),Tarification!$D$10,0)))</f>
        <v>0</v>
      </c>
      <c r="AQ699" s="101">
        <f t="shared" si="149"/>
        <v>0</v>
      </c>
    </row>
    <row r="700" spans="14:43" ht="15.6">
      <c r="N700" s="39" t="s">
        <v>26</v>
      </c>
      <c r="O700" s="39" t="s">
        <v>594</v>
      </c>
      <c r="P700" t="s">
        <v>729</v>
      </c>
      <c r="Q700" s="39"/>
      <c r="V700" s="37">
        <f>IF(AND(V410&lt;=$I125,V410&gt;$J125),Tarification!$D$8,IF(AND(V410&lt;=$J125,V410&gt;$K125),Tarification!$D$9,IF(AND(V410&lt;=$K125,V410&gt;0),Tarification!$D$10,0)))</f>
        <v>0</v>
      </c>
      <c r="W700" s="37">
        <f>IF(AND(W410&lt;=$I125,W410&gt;$J125),Tarification!$D$8,IF(AND(W410&lt;=$J125,W410&gt;$K125),Tarification!$D$9,IF(AND(W410&lt;=$K125,W410&gt;0),Tarification!$D$10,0)))</f>
        <v>125000</v>
      </c>
      <c r="X700" s="37">
        <f>IF(AND(X410&lt;=$I125,X410&gt;$J125),Tarification!$D$8,IF(AND(X410&lt;=$J125,X410&gt;$K125),Tarification!$D$9,IF(AND(X410&lt;=$K125,X410&gt;0),Tarification!$D$10,0)))</f>
        <v>0</v>
      </c>
      <c r="Y700" s="37">
        <f>IF(AND(Y410&lt;=$I125,Y410&gt;$J125),Tarification!$D$8,IF(AND(Y410&lt;=$J125,Y410&gt;$K125),Tarification!$D$9,IF(AND(Y410&lt;=$K125,Y410&gt;0),Tarification!$D$10,0)))</f>
        <v>0</v>
      </c>
      <c r="Z700" s="37">
        <f>IF(AND(Z410&lt;=$I125,Z410&gt;$J125),Tarification!$D$8,IF(AND(Z410&lt;=$J125,Z410&gt;$K125),Tarification!$D$9,IF(AND(Z410&lt;=$K125,Z410&gt;0),Tarification!$D$10,0)))</f>
        <v>0</v>
      </c>
      <c r="AA700" s="37">
        <f>IF(AND(AA410&lt;=$I125,AA410&gt;$J125),Tarification!$D$8,IF(AND(AA410&lt;=$J125,AA410&gt;$K125),Tarification!$D$9,IF(AND(AA410&lt;=$K125,AA410&gt;0),Tarification!$D$10,0)))</f>
        <v>0</v>
      </c>
      <c r="AB700" s="37">
        <f>IF(AND(AB410&lt;=$I125,AB410&gt;$J125),Tarification!$D$8,IF(AND(AB410&lt;=$J125,AB410&gt;$K125),Tarification!$D$9,IF(AND(AB410&lt;=$K125,AB410&gt;0),Tarification!$D$10,0)))</f>
        <v>50000</v>
      </c>
      <c r="AC700" s="37">
        <f>IF(AND(AC410&lt;=$I125,AC410&gt;$J125),Tarification!$D$8,IF(AND(AC410&lt;=$J125,AC410&gt;$K125),Tarification!$D$9,IF(AND(AC410&lt;=$K125,AC410&gt;0),Tarification!$D$10,0)))</f>
        <v>50000</v>
      </c>
      <c r="AD700" s="37">
        <f>IF(AND(AD410&lt;=$I125,AD410&gt;$J125),Tarification!$D$8,IF(AND(AD410&lt;=$J125,AD410&gt;$K125),Tarification!$D$9,IF(AND(AD410&lt;=$K125,AD410&gt;0),Tarification!$D$10,0)))</f>
        <v>0</v>
      </c>
      <c r="AE700" s="37">
        <f>IF(AND(AE410&lt;=$I125,AE410&gt;$J125),Tarification!$D$8,IF(AND(AE410&lt;=$J125,AE410&gt;$K125),Tarification!$D$9,IF(AND(AE410&lt;=$K125,AE410&gt;0),Tarification!$D$10,0)))</f>
        <v>250000</v>
      </c>
      <c r="AF700" s="37">
        <f>IF(AND(AF410&lt;=$I125,AF410&gt;$J125),Tarification!$D$8,IF(AND(AF410&lt;=$J125,AF410&gt;$K125),Tarification!$D$9,IF(AND(AF410&lt;=$K125,AF410&gt;0),Tarification!$D$10,0)))</f>
        <v>125000</v>
      </c>
      <c r="AG700" s="37">
        <f>IF(AND(AG410&lt;=$I125,AG410&gt;$J125),Tarification!$D$8,IF(AND(AG410&lt;=$J125,AG410&gt;$K125),Tarification!$D$9,IF(AND(AG410&lt;=$K125,AG410&gt;0),Tarification!$D$10,0)))</f>
        <v>0</v>
      </c>
      <c r="AH700" s="37">
        <f>IF(AND(AH410&lt;=$I125,AH410&gt;$J125),Tarification!$D$8,IF(AND(AH410&lt;=$J125,AH410&gt;$K125),Tarification!$D$9,IF(AND(AH410&lt;=$K125,AH410&gt;0),Tarification!$D$10,0)))</f>
        <v>0</v>
      </c>
      <c r="AI700" s="37">
        <f>IF(AND(AI410&lt;=$I125,AI410&gt;$J125),Tarification!$D$8,IF(AND(AI410&lt;=$J125,AI410&gt;$K125),Tarification!$D$9,IF(AND(AI410&lt;=$K125,AI410&gt;0),Tarification!$D$10,0)))</f>
        <v>0</v>
      </c>
      <c r="AJ700" s="37">
        <f>IF(AND(AJ410&lt;=$I125,AJ410&gt;$J125),Tarification!$D$8,IF(AND(AJ410&lt;=$J125,AJ410&gt;$K125),Tarification!$D$9,IF(AND(AJ410&lt;=$K125,AJ410&gt;0),Tarification!$D$10,0)))</f>
        <v>0</v>
      </c>
      <c r="AK700" s="37">
        <f>IF(AND(AK410&lt;=$I125,AK410&gt;$J125),Tarification!$D$8,IF(AND(AK410&lt;=$J125,AK410&gt;$K125),Tarification!$D$9,IF(AND(AK410&lt;=$K125,AK410&gt;0),Tarification!$D$10,0)))</f>
        <v>0</v>
      </c>
      <c r="AL700" s="37">
        <f>IF(AND(AL410&lt;=$I125,AL410&gt;$J125),Tarification!$D$8,IF(AND(AL410&lt;=$J125,AL410&gt;$K125),Tarification!$D$9,IF(AND(AL410&lt;=$K125,AL410&gt;0),Tarification!$D$10,0)))</f>
        <v>0</v>
      </c>
      <c r="AM700" s="37">
        <f>IF(AND(AM410&lt;=$I125,AM410&gt;$J125),Tarification!$D$8,IF(AND(AM410&lt;=$J125,AM410&gt;$K125),Tarification!$D$9,IF(AND(AM410&lt;=$K125,AM410&gt;0),Tarification!$D$10,0)))</f>
        <v>0</v>
      </c>
      <c r="AN700" s="37">
        <f>IF(AND(AN410&lt;=$I125,AN410&gt;$J125),Tarification!$D$8,IF(AND(AN410&lt;=$J125,AN410&gt;$K125),Tarification!$D$9,IF(AND(AN410&lt;=$K125,AN410&gt;0),Tarification!$D$10,0)))</f>
        <v>125000</v>
      </c>
      <c r="AQ700" s="101">
        <f t="shared" si="149"/>
        <v>38157.894736842107</v>
      </c>
    </row>
    <row r="701" spans="14:43" ht="15.6">
      <c r="N701" s="39" t="s">
        <v>26</v>
      </c>
      <c r="O701" s="39" t="s">
        <v>427</v>
      </c>
      <c r="P701" t="s">
        <v>730</v>
      </c>
      <c r="Q701" s="39"/>
      <c r="V701" s="37">
        <f>IF(AND(V411&lt;=$I126,V411&gt;$J126),Tarification!$D$8,IF(AND(V411&lt;=$J126,V411&gt;$K126),Tarification!$D$9,IF(AND(V411&lt;=$K126,V411&gt;0),Tarification!$D$10,0)))</f>
        <v>0</v>
      </c>
      <c r="W701" s="37">
        <f>IF(AND(W411&lt;=$I126,W411&gt;$J126),Tarification!$D$8,IF(AND(W411&lt;=$J126,W411&gt;$K126),Tarification!$D$9,IF(AND(W411&lt;=$K126,W411&gt;0),Tarification!$D$10,0)))</f>
        <v>0</v>
      </c>
      <c r="X701" s="37">
        <f>IF(AND(X411&lt;=$I126,X411&gt;$J126),Tarification!$D$8,IF(AND(X411&lt;=$J126,X411&gt;$K126),Tarification!$D$9,IF(AND(X411&lt;=$K126,X411&gt;0),Tarification!$D$10,0)))</f>
        <v>0</v>
      </c>
      <c r="Y701" s="37">
        <f>IF(AND(Y411&lt;=$I126,Y411&gt;$J126),Tarification!$D$8,IF(AND(Y411&lt;=$J126,Y411&gt;$K126),Tarification!$D$9,IF(AND(Y411&lt;=$K126,Y411&gt;0),Tarification!$D$10,0)))</f>
        <v>0</v>
      </c>
      <c r="Z701" s="37">
        <f>IF(AND(Z411&lt;=$I126,Z411&gt;$J126),Tarification!$D$8,IF(AND(Z411&lt;=$J126,Z411&gt;$K126),Tarification!$D$9,IF(AND(Z411&lt;=$K126,Z411&gt;0),Tarification!$D$10,0)))</f>
        <v>0</v>
      </c>
      <c r="AA701" s="37">
        <f>IF(AND(AA411&lt;=$I126,AA411&gt;$J126),Tarification!$D$8,IF(AND(AA411&lt;=$J126,AA411&gt;$K126),Tarification!$D$9,IF(AND(AA411&lt;=$K126,AA411&gt;0),Tarification!$D$10,0)))</f>
        <v>0</v>
      </c>
      <c r="AB701" s="37">
        <f>IF(AND(AB411&lt;=$I126,AB411&gt;$J126),Tarification!$D$8,IF(AND(AB411&lt;=$J126,AB411&gt;$K126),Tarification!$D$9,IF(AND(AB411&lt;=$K126,AB411&gt;0),Tarification!$D$10,0)))</f>
        <v>0</v>
      </c>
      <c r="AC701" s="37">
        <f>IF(AND(AC411&lt;=$I126,AC411&gt;$J126),Tarification!$D$8,IF(AND(AC411&lt;=$J126,AC411&gt;$K126),Tarification!$D$9,IF(AND(AC411&lt;=$K126,AC411&gt;0),Tarification!$D$10,0)))</f>
        <v>0</v>
      </c>
      <c r="AD701" s="37">
        <f>IF(AND(AD411&lt;=$I126,AD411&gt;$J126),Tarification!$D$8,IF(AND(AD411&lt;=$J126,AD411&gt;$K126),Tarification!$D$9,IF(AND(AD411&lt;=$K126,AD411&gt;0),Tarification!$D$10,0)))</f>
        <v>0</v>
      </c>
      <c r="AE701" s="37">
        <f>IF(AND(AE411&lt;=$I126,AE411&gt;$J126),Tarification!$D$8,IF(AND(AE411&lt;=$J126,AE411&gt;$K126),Tarification!$D$9,IF(AND(AE411&lt;=$K126,AE411&gt;0),Tarification!$D$10,0)))</f>
        <v>0</v>
      </c>
      <c r="AF701" s="37">
        <f>IF(AND(AF411&lt;=$I126,AF411&gt;$J126),Tarification!$D$8,IF(AND(AF411&lt;=$J126,AF411&gt;$K126),Tarification!$D$9,IF(AND(AF411&lt;=$K126,AF411&gt;0),Tarification!$D$10,0)))</f>
        <v>0</v>
      </c>
      <c r="AG701" s="37">
        <f>IF(AND(AG411&lt;=$I126,AG411&gt;$J126),Tarification!$D$8,IF(AND(AG411&lt;=$J126,AG411&gt;$K126),Tarification!$D$9,IF(AND(AG411&lt;=$K126,AG411&gt;0),Tarification!$D$10,0)))</f>
        <v>0</v>
      </c>
      <c r="AH701" s="37">
        <f>IF(AND(AH411&lt;=$I126,AH411&gt;$J126),Tarification!$D$8,IF(AND(AH411&lt;=$J126,AH411&gt;$K126),Tarification!$D$9,IF(AND(AH411&lt;=$K126,AH411&gt;0),Tarification!$D$10,0)))</f>
        <v>0</v>
      </c>
      <c r="AI701" s="37">
        <f>IF(AND(AI411&lt;=$I126,AI411&gt;$J126),Tarification!$D$8,IF(AND(AI411&lt;=$J126,AI411&gt;$K126),Tarification!$D$9,IF(AND(AI411&lt;=$K126,AI411&gt;0),Tarification!$D$10,0)))</f>
        <v>0</v>
      </c>
      <c r="AJ701" s="37">
        <f>IF(AND(AJ411&lt;=$I126,AJ411&gt;$J126),Tarification!$D$8,IF(AND(AJ411&lt;=$J126,AJ411&gt;$K126),Tarification!$D$9,IF(AND(AJ411&lt;=$K126,AJ411&gt;0),Tarification!$D$10,0)))</f>
        <v>0</v>
      </c>
      <c r="AK701" s="37">
        <f>IF(AND(AK411&lt;=$I126,AK411&gt;$J126),Tarification!$D$8,IF(AND(AK411&lt;=$J126,AK411&gt;$K126),Tarification!$D$9,IF(AND(AK411&lt;=$K126,AK411&gt;0),Tarification!$D$10,0)))</f>
        <v>0</v>
      </c>
      <c r="AL701" s="37">
        <f>IF(AND(AL411&lt;=$I126,AL411&gt;$J126),Tarification!$D$8,IF(AND(AL411&lt;=$J126,AL411&gt;$K126),Tarification!$D$9,IF(AND(AL411&lt;=$K126,AL411&gt;0),Tarification!$D$10,0)))</f>
        <v>0</v>
      </c>
      <c r="AM701" s="37">
        <f>IF(AND(AM411&lt;=$I126,AM411&gt;$J126),Tarification!$D$8,IF(AND(AM411&lt;=$J126,AM411&gt;$K126),Tarification!$D$9,IF(AND(AM411&lt;=$K126,AM411&gt;0),Tarification!$D$10,0)))</f>
        <v>0</v>
      </c>
      <c r="AN701" s="37">
        <f>IF(AND(AN411&lt;=$I126,AN411&gt;$J126),Tarification!$D$8,IF(AND(AN411&lt;=$J126,AN411&gt;$K126),Tarification!$D$9,IF(AND(AN411&lt;=$K126,AN411&gt;0),Tarification!$D$10,0)))</f>
        <v>0</v>
      </c>
      <c r="AQ701" s="101">
        <f t="shared" si="149"/>
        <v>0</v>
      </c>
    </row>
    <row r="702" spans="14:43" ht="15.6">
      <c r="N702" s="39" t="s">
        <v>26</v>
      </c>
      <c r="O702" s="39" t="s">
        <v>441</v>
      </c>
      <c r="P702" t="s">
        <v>731</v>
      </c>
      <c r="Q702" s="39"/>
      <c r="V702" s="37">
        <f>IF(AND(V412&lt;=$I127,V412&gt;$J127),Tarification!$D$8,IF(AND(V412&lt;=$J127,V412&gt;$K127),Tarification!$D$9,IF(AND(V412&lt;=$K127,V412&gt;0),Tarification!$D$10,0)))</f>
        <v>0</v>
      </c>
      <c r="W702" s="37">
        <f>IF(AND(W412&lt;=$I127,W412&gt;$J127),Tarification!$D$8,IF(AND(W412&lt;=$J127,W412&gt;$K127),Tarification!$D$9,IF(AND(W412&lt;=$K127,W412&gt;0),Tarification!$D$10,0)))</f>
        <v>0</v>
      </c>
      <c r="X702" s="37">
        <f>IF(AND(X412&lt;=$I127,X412&gt;$J127),Tarification!$D$8,IF(AND(X412&lt;=$J127,X412&gt;$K127),Tarification!$D$9,IF(AND(X412&lt;=$K127,X412&gt;0),Tarification!$D$10,0)))</f>
        <v>0</v>
      </c>
      <c r="Y702" s="37">
        <f>IF(AND(Y412&lt;=$I127,Y412&gt;$J127),Tarification!$D$8,IF(AND(Y412&lt;=$J127,Y412&gt;$K127),Tarification!$D$9,IF(AND(Y412&lt;=$K127,Y412&gt;0),Tarification!$D$10,0)))</f>
        <v>0</v>
      </c>
      <c r="Z702" s="37">
        <f>IF(AND(Z412&lt;=$I127,Z412&gt;$J127),Tarification!$D$8,IF(AND(Z412&lt;=$J127,Z412&gt;$K127),Tarification!$D$9,IF(AND(Z412&lt;=$K127,Z412&gt;0),Tarification!$D$10,0)))</f>
        <v>0</v>
      </c>
      <c r="AA702" s="37">
        <f>IF(AND(AA412&lt;=$I127,AA412&gt;$J127),Tarification!$D$8,IF(AND(AA412&lt;=$J127,AA412&gt;$K127),Tarification!$D$9,IF(AND(AA412&lt;=$K127,AA412&gt;0),Tarification!$D$10,0)))</f>
        <v>0</v>
      </c>
      <c r="AB702" s="37">
        <f>IF(AND(AB412&lt;=$I127,AB412&gt;$J127),Tarification!$D$8,IF(AND(AB412&lt;=$J127,AB412&gt;$K127),Tarification!$D$9,IF(AND(AB412&lt;=$K127,AB412&gt;0),Tarification!$D$10,0)))</f>
        <v>0</v>
      </c>
      <c r="AC702" s="37">
        <f>IF(AND(AC412&lt;=$I127,AC412&gt;$J127),Tarification!$D$8,IF(AND(AC412&lt;=$J127,AC412&gt;$K127),Tarification!$D$9,IF(AND(AC412&lt;=$K127,AC412&gt;0),Tarification!$D$10,0)))</f>
        <v>0</v>
      </c>
      <c r="AD702" s="37">
        <f>IF(AND(AD412&lt;=$I127,AD412&gt;$J127),Tarification!$D$8,IF(AND(AD412&lt;=$J127,AD412&gt;$K127),Tarification!$D$9,IF(AND(AD412&lt;=$K127,AD412&gt;0),Tarification!$D$10,0)))</f>
        <v>0</v>
      </c>
      <c r="AE702" s="37">
        <f>IF(AND(AE412&lt;=$I127,AE412&gt;$J127),Tarification!$D$8,IF(AND(AE412&lt;=$J127,AE412&gt;$K127),Tarification!$D$9,IF(AND(AE412&lt;=$K127,AE412&gt;0),Tarification!$D$10,0)))</f>
        <v>0</v>
      </c>
      <c r="AF702" s="37">
        <f>IF(AND(AF412&lt;=$I127,AF412&gt;$J127),Tarification!$D$8,IF(AND(AF412&lt;=$J127,AF412&gt;$K127),Tarification!$D$9,IF(AND(AF412&lt;=$K127,AF412&gt;0),Tarification!$D$10,0)))</f>
        <v>0</v>
      </c>
      <c r="AG702" s="37">
        <f>IF(AND(AG412&lt;=$I127,AG412&gt;$J127),Tarification!$D$8,IF(AND(AG412&lt;=$J127,AG412&gt;$K127),Tarification!$D$9,IF(AND(AG412&lt;=$K127,AG412&gt;0),Tarification!$D$10,0)))</f>
        <v>0</v>
      </c>
      <c r="AH702" s="37">
        <f>IF(AND(AH412&lt;=$I127,AH412&gt;$J127),Tarification!$D$8,IF(AND(AH412&lt;=$J127,AH412&gt;$K127),Tarification!$D$9,IF(AND(AH412&lt;=$K127,AH412&gt;0),Tarification!$D$10,0)))</f>
        <v>0</v>
      </c>
      <c r="AI702" s="37">
        <f>IF(AND(AI412&lt;=$I127,AI412&gt;$J127),Tarification!$D$8,IF(AND(AI412&lt;=$J127,AI412&gt;$K127),Tarification!$D$9,IF(AND(AI412&lt;=$K127,AI412&gt;0),Tarification!$D$10,0)))</f>
        <v>0</v>
      </c>
      <c r="AJ702" s="37">
        <f>IF(AND(AJ412&lt;=$I127,AJ412&gt;$J127),Tarification!$D$8,IF(AND(AJ412&lt;=$J127,AJ412&gt;$K127),Tarification!$D$9,IF(AND(AJ412&lt;=$K127,AJ412&gt;0),Tarification!$D$10,0)))</f>
        <v>0</v>
      </c>
      <c r="AK702" s="37">
        <f>IF(AND(AK412&lt;=$I127,AK412&gt;$J127),Tarification!$D$8,IF(AND(AK412&lt;=$J127,AK412&gt;$K127),Tarification!$D$9,IF(AND(AK412&lt;=$K127,AK412&gt;0),Tarification!$D$10,0)))</f>
        <v>0</v>
      </c>
      <c r="AL702" s="37">
        <f>IF(AND(AL412&lt;=$I127,AL412&gt;$J127),Tarification!$D$8,IF(AND(AL412&lt;=$J127,AL412&gt;$K127),Tarification!$D$9,IF(AND(AL412&lt;=$K127,AL412&gt;0),Tarification!$D$10,0)))</f>
        <v>0</v>
      </c>
      <c r="AM702" s="37">
        <f>IF(AND(AM412&lt;=$I127,AM412&gt;$J127),Tarification!$D$8,IF(AND(AM412&lt;=$J127,AM412&gt;$K127),Tarification!$D$9,IF(AND(AM412&lt;=$K127,AM412&gt;0),Tarification!$D$10,0)))</f>
        <v>0</v>
      </c>
      <c r="AN702" s="37">
        <f>IF(AND(AN412&lt;=$I127,AN412&gt;$J127),Tarification!$D$8,IF(AND(AN412&lt;=$J127,AN412&gt;$K127),Tarification!$D$9,IF(AND(AN412&lt;=$K127,AN412&gt;0),Tarification!$D$10,0)))</f>
        <v>0</v>
      </c>
      <c r="AQ702" s="101">
        <f t="shared" si="149"/>
        <v>0</v>
      </c>
    </row>
    <row r="703" spans="14:43" ht="15.6">
      <c r="N703" s="39" t="s">
        <v>26</v>
      </c>
      <c r="O703" s="39" t="s">
        <v>441</v>
      </c>
      <c r="P703" t="s">
        <v>732</v>
      </c>
      <c r="Q703" s="39"/>
      <c r="V703" s="37">
        <f>IF(AND(V413&lt;=$I128,V413&gt;$J128),Tarification!$D$8,IF(AND(V413&lt;=$J128,V413&gt;$K128),Tarification!$D$9,IF(AND(V413&lt;=$K128,V413&gt;0),Tarification!$D$10,0)))</f>
        <v>0</v>
      </c>
      <c r="W703" s="37">
        <f>IF(AND(W413&lt;=$I128,W413&gt;$J128),Tarification!$D$8,IF(AND(W413&lt;=$J128,W413&gt;$K128),Tarification!$D$9,IF(AND(W413&lt;=$K128,W413&gt;0),Tarification!$D$10,0)))</f>
        <v>0</v>
      </c>
      <c r="X703" s="37">
        <f>IF(AND(X413&lt;=$I128,X413&gt;$J128),Tarification!$D$8,IF(AND(X413&lt;=$J128,X413&gt;$K128),Tarification!$D$9,IF(AND(X413&lt;=$K128,X413&gt;0),Tarification!$D$10,0)))</f>
        <v>0</v>
      </c>
      <c r="Y703" s="37">
        <f>IF(AND(Y413&lt;=$I128,Y413&gt;$J128),Tarification!$D$8,IF(AND(Y413&lt;=$J128,Y413&gt;$K128),Tarification!$D$9,IF(AND(Y413&lt;=$K128,Y413&gt;0),Tarification!$D$10,0)))</f>
        <v>0</v>
      </c>
      <c r="Z703" s="37">
        <f>IF(AND(Z413&lt;=$I128,Z413&gt;$J128),Tarification!$D$8,IF(AND(Z413&lt;=$J128,Z413&gt;$K128),Tarification!$D$9,IF(AND(Z413&lt;=$K128,Z413&gt;0),Tarification!$D$10,0)))</f>
        <v>0</v>
      </c>
      <c r="AA703" s="37">
        <f>IF(AND(AA413&lt;=$I128,AA413&gt;$J128),Tarification!$D$8,IF(AND(AA413&lt;=$J128,AA413&gt;$K128),Tarification!$D$9,IF(AND(AA413&lt;=$K128,AA413&gt;0),Tarification!$D$10,0)))</f>
        <v>0</v>
      </c>
      <c r="AB703" s="37">
        <f>IF(AND(AB413&lt;=$I128,AB413&gt;$J128),Tarification!$D$8,IF(AND(AB413&lt;=$J128,AB413&gt;$K128),Tarification!$D$9,IF(AND(AB413&lt;=$K128,AB413&gt;0),Tarification!$D$10,0)))</f>
        <v>0</v>
      </c>
      <c r="AC703" s="37">
        <f>IF(AND(AC413&lt;=$I128,AC413&gt;$J128),Tarification!$D$8,IF(AND(AC413&lt;=$J128,AC413&gt;$K128),Tarification!$D$9,IF(AND(AC413&lt;=$K128,AC413&gt;0),Tarification!$D$10,0)))</f>
        <v>0</v>
      </c>
      <c r="AD703" s="37">
        <f>IF(AND(AD413&lt;=$I128,AD413&gt;$J128),Tarification!$D$8,IF(AND(AD413&lt;=$J128,AD413&gt;$K128),Tarification!$D$9,IF(AND(AD413&lt;=$K128,AD413&gt;0),Tarification!$D$10,0)))</f>
        <v>0</v>
      </c>
      <c r="AE703" s="37">
        <f>IF(AND(AE413&lt;=$I128,AE413&gt;$J128),Tarification!$D$8,IF(AND(AE413&lt;=$J128,AE413&gt;$K128),Tarification!$D$9,IF(AND(AE413&lt;=$K128,AE413&gt;0),Tarification!$D$10,0)))</f>
        <v>50000</v>
      </c>
      <c r="AF703" s="37">
        <f>IF(AND(AF413&lt;=$I128,AF413&gt;$J128),Tarification!$D$8,IF(AND(AF413&lt;=$J128,AF413&gt;$K128),Tarification!$D$9,IF(AND(AF413&lt;=$K128,AF413&gt;0),Tarification!$D$10,0)))</f>
        <v>0</v>
      </c>
      <c r="AG703" s="37">
        <f>IF(AND(AG413&lt;=$I128,AG413&gt;$J128),Tarification!$D$8,IF(AND(AG413&lt;=$J128,AG413&gt;$K128),Tarification!$D$9,IF(AND(AG413&lt;=$K128,AG413&gt;0),Tarification!$D$10,0)))</f>
        <v>0</v>
      </c>
      <c r="AH703" s="37">
        <f>IF(AND(AH413&lt;=$I128,AH413&gt;$J128),Tarification!$D$8,IF(AND(AH413&lt;=$J128,AH413&gt;$K128),Tarification!$D$9,IF(AND(AH413&lt;=$K128,AH413&gt;0),Tarification!$D$10,0)))</f>
        <v>0</v>
      </c>
      <c r="AI703" s="37">
        <f>IF(AND(AI413&lt;=$I128,AI413&gt;$J128),Tarification!$D$8,IF(AND(AI413&lt;=$J128,AI413&gt;$K128),Tarification!$D$9,IF(AND(AI413&lt;=$K128,AI413&gt;0),Tarification!$D$10,0)))</f>
        <v>0</v>
      </c>
      <c r="AJ703" s="37">
        <f>IF(AND(AJ413&lt;=$I128,AJ413&gt;$J128),Tarification!$D$8,IF(AND(AJ413&lt;=$J128,AJ413&gt;$K128),Tarification!$D$9,IF(AND(AJ413&lt;=$K128,AJ413&gt;0),Tarification!$D$10,0)))</f>
        <v>0</v>
      </c>
      <c r="AK703" s="37">
        <f>IF(AND(AK413&lt;=$I128,AK413&gt;$J128),Tarification!$D$8,IF(AND(AK413&lt;=$J128,AK413&gt;$K128),Tarification!$D$9,IF(AND(AK413&lt;=$K128,AK413&gt;0),Tarification!$D$10,0)))</f>
        <v>0</v>
      </c>
      <c r="AL703" s="37">
        <f>IF(AND(AL413&lt;=$I128,AL413&gt;$J128),Tarification!$D$8,IF(AND(AL413&lt;=$J128,AL413&gt;$K128),Tarification!$D$9,IF(AND(AL413&lt;=$K128,AL413&gt;0),Tarification!$D$10,0)))</f>
        <v>0</v>
      </c>
      <c r="AM703" s="37">
        <f>IF(AND(AM413&lt;=$I128,AM413&gt;$J128),Tarification!$D$8,IF(AND(AM413&lt;=$J128,AM413&gt;$K128),Tarification!$D$9,IF(AND(AM413&lt;=$K128,AM413&gt;0),Tarification!$D$10,0)))</f>
        <v>0</v>
      </c>
      <c r="AN703" s="37">
        <f>IF(AND(AN413&lt;=$I128,AN413&gt;$J128),Tarification!$D$8,IF(AND(AN413&lt;=$J128,AN413&gt;$K128),Tarification!$D$9,IF(AND(AN413&lt;=$K128,AN413&gt;0),Tarification!$D$10,0)))</f>
        <v>0</v>
      </c>
      <c r="AQ703" s="101">
        <f t="shared" si="149"/>
        <v>2631.5789473684213</v>
      </c>
    </row>
    <row r="704" spans="14:43" ht="15.6">
      <c r="N704" s="39" t="s">
        <v>27</v>
      </c>
      <c r="O704" s="39" t="s">
        <v>530</v>
      </c>
      <c r="P704" t="s">
        <v>733</v>
      </c>
      <c r="Q704" s="39"/>
      <c r="V704" s="37">
        <f>IF(AND(V414&lt;=$I129,V414&gt;$J129),Tarification!$D$8,IF(AND(V414&lt;=$J129,V414&gt;$K129),Tarification!$D$9,IF(AND(V414&lt;=$K129,V414&gt;0),Tarification!$D$10,0)))</f>
        <v>0</v>
      </c>
      <c r="W704" s="37">
        <f>IF(AND(W414&lt;=$I129,W414&gt;$J129),Tarification!$D$8,IF(AND(W414&lt;=$J129,W414&gt;$K129),Tarification!$D$9,IF(AND(W414&lt;=$K129,W414&gt;0),Tarification!$D$10,0)))</f>
        <v>50000</v>
      </c>
      <c r="X704" s="37">
        <f>IF(AND(X414&lt;=$I129,X414&gt;$J129),Tarification!$D$8,IF(AND(X414&lt;=$J129,X414&gt;$K129),Tarification!$D$9,IF(AND(X414&lt;=$K129,X414&gt;0),Tarification!$D$10,0)))</f>
        <v>0</v>
      </c>
      <c r="Y704" s="37">
        <f>IF(AND(Y414&lt;=$I129,Y414&gt;$J129),Tarification!$D$8,IF(AND(Y414&lt;=$J129,Y414&gt;$K129),Tarification!$D$9,IF(AND(Y414&lt;=$K129,Y414&gt;0),Tarification!$D$10,0)))</f>
        <v>0</v>
      </c>
      <c r="Z704" s="37">
        <f>IF(AND(Z414&lt;=$I129,Z414&gt;$J129),Tarification!$D$8,IF(AND(Z414&lt;=$J129,Z414&gt;$K129),Tarification!$D$9,IF(AND(Z414&lt;=$K129,Z414&gt;0),Tarification!$D$10,0)))</f>
        <v>125000</v>
      </c>
      <c r="AA704" s="37">
        <f>IF(AND(AA414&lt;=$I129,AA414&gt;$J129),Tarification!$D$8,IF(AND(AA414&lt;=$J129,AA414&gt;$K129),Tarification!$D$9,IF(AND(AA414&lt;=$K129,AA414&gt;0),Tarification!$D$10,0)))</f>
        <v>0</v>
      </c>
      <c r="AB704" s="37">
        <f>IF(AND(AB414&lt;=$I129,AB414&gt;$J129),Tarification!$D$8,IF(AND(AB414&lt;=$J129,AB414&gt;$K129),Tarification!$D$9,IF(AND(AB414&lt;=$K129,AB414&gt;0),Tarification!$D$10,0)))</f>
        <v>0</v>
      </c>
      <c r="AC704" s="37">
        <f>IF(AND(AC414&lt;=$I129,AC414&gt;$J129),Tarification!$D$8,IF(AND(AC414&lt;=$J129,AC414&gt;$K129),Tarification!$D$9,IF(AND(AC414&lt;=$K129,AC414&gt;0),Tarification!$D$10,0)))</f>
        <v>50000</v>
      </c>
      <c r="AD704" s="37">
        <f>IF(AND(AD414&lt;=$I129,AD414&gt;$J129),Tarification!$D$8,IF(AND(AD414&lt;=$J129,AD414&gt;$K129),Tarification!$D$9,IF(AND(AD414&lt;=$K129,AD414&gt;0),Tarification!$D$10,0)))</f>
        <v>125000</v>
      </c>
      <c r="AE704" s="37">
        <f>IF(AND(AE414&lt;=$I129,AE414&gt;$J129),Tarification!$D$8,IF(AND(AE414&lt;=$J129,AE414&gt;$K129),Tarification!$D$9,IF(AND(AE414&lt;=$K129,AE414&gt;0),Tarification!$D$10,0)))</f>
        <v>50000</v>
      </c>
      <c r="AF704" s="37">
        <f>IF(AND(AF414&lt;=$I129,AF414&gt;$J129),Tarification!$D$8,IF(AND(AF414&lt;=$J129,AF414&gt;$K129),Tarification!$D$9,IF(AND(AF414&lt;=$K129,AF414&gt;0),Tarification!$D$10,0)))</f>
        <v>125000</v>
      </c>
      <c r="AG704" s="37">
        <f>IF(AND(AG414&lt;=$I129,AG414&gt;$J129),Tarification!$D$8,IF(AND(AG414&lt;=$J129,AG414&gt;$K129),Tarification!$D$9,IF(AND(AG414&lt;=$K129,AG414&gt;0),Tarification!$D$10,0)))</f>
        <v>0</v>
      </c>
      <c r="AH704" s="37">
        <f>IF(AND(AH414&lt;=$I129,AH414&gt;$J129),Tarification!$D$8,IF(AND(AH414&lt;=$J129,AH414&gt;$K129),Tarification!$D$9,IF(AND(AH414&lt;=$K129,AH414&gt;0),Tarification!$D$10,0)))</f>
        <v>0</v>
      </c>
      <c r="AI704" s="37">
        <f>IF(AND(AI414&lt;=$I129,AI414&gt;$J129),Tarification!$D$8,IF(AND(AI414&lt;=$J129,AI414&gt;$K129),Tarification!$D$9,IF(AND(AI414&lt;=$K129,AI414&gt;0),Tarification!$D$10,0)))</f>
        <v>0</v>
      </c>
      <c r="AJ704" s="37">
        <f>IF(AND(AJ414&lt;=$I129,AJ414&gt;$J129),Tarification!$D$8,IF(AND(AJ414&lt;=$J129,AJ414&gt;$K129),Tarification!$D$9,IF(AND(AJ414&lt;=$K129,AJ414&gt;0),Tarification!$D$10,0)))</f>
        <v>50000</v>
      </c>
      <c r="AK704" s="37">
        <f>IF(AND(AK414&lt;=$I129,AK414&gt;$J129),Tarification!$D$8,IF(AND(AK414&lt;=$J129,AK414&gt;$K129),Tarification!$D$9,IF(AND(AK414&lt;=$K129,AK414&gt;0),Tarification!$D$10,0)))</f>
        <v>0</v>
      </c>
      <c r="AL704" s="37">
        <f>IF(AND(AL414&lt;=$I129,AL414&gt;$J129),Tarification!$D$8,IF(AND(AL414&lt;=$J129,AL414&gt;$K129),Tarification!$D$9,IF(AND(AL414&lt;=$K129,AL414&gt;0),Tarification!$D$10,0)))</f>
        <v>0</v>
      </c>
      <c r="AM704" s="37">
        <f>IF(AND(AM414&lt;=$I129,AM414&gt;$J129),Tarification!$D$8,IF(AND(AM414&lt;=$J129,AM414&gt;$K129),Tarification!$D$9,IF(AND(AM414&lt;=$K129,AM414&gt;0),Tarification!$D$10,0)))</f>
        <v>0</v>
      </c>
      <c r="AN704" s="37">
        <f>IF(AND(AN414&lt;=$I129,AN414&gt;$J129),Tarification!$D$8,IF(AND(AN414&lt;=$J129,AN414&gt;$K129),Tarification!$D$9,IF(AND(AN414&lt;=$K129,AN414&gt;0),Tarification!$D$10,0)))</f>
        <v>50000</v>
      </c>
      <c r="AQ704" s="101">
        <f t="shared" si="149"/>
        <v>32894.73684210526</v>
      </c>
    </row>
    <row r="705" spans="14:43" ht="15.6">
      <c r="N705" s="39" t="s">
        <v>27</v>
      </c>
      <c r="O705" s="39" t="s">
        <v>530</v>
      </c>
      <c r="P705" t="s">
        <v>734</v>
      </c>
      <c r="Q705" s="39"/>
      <c r="V705" s="37">
        <f>IF(AND(V415&lt;=$I130,V415&gt;$J130),Tarification!$D$8,IF(AND(V415&lt;=$J130,V415&gt;$K130),Tarification!$D$9,IF(AND(V415&lt;=$K130,V415&gt;0),Tarification!$D$10,0)))</f>
        <v>0</v>
      </c>
      <c r="W705" s="37">
        <f>IF(AND(W415&lt;=$I130,W415&gt;$J130),Tarification!$D$8,IF(AND(W415&lt;=$J130,W415&gt;$K130),Tarification!$D$9,IF(AND(W415&lt;=$K130,W415&gt;0),Tarification!$D$10,0)))</f>
        <v>0</v>
      </c>
      <c r="X705" s="37">
        <f>IF(AND(X415&lt;=$I130,X415&gt;$J130),Tarification!$D$8,IF(AND(X415&lt;=$J130,X415&gt;$K130),Tarification!$D$9,IF(AND(X415&lt;=$K130,X415&gt;0),Tarification!$D$10,0)))</f>
        <v>0</v>
      </c>
      <c r="Y705" s="37">
        <f>IF(AND(Y415&lt;=$I130,Y415&gt;$J130),Tarification!$D$8,IF(AND(Y415&lt;=$J130,Y415&gt;$K130),Tarification!$D$9,IF(AND(Y415&lt;=$K130,Y415&gt;0),Tarification!$D$10,0)))</f>
        <v>0</v>
      </c>
      <c r="Z705" s="37">
        <f>IF(AND(Z415&lt;=$I130,Z415&gt;$J130),Tarification!$D$8,IF(AND(Z415&lt;=$J130,Z415&gt;$K130),Tarification!$D$9,IF(AND(Z415&lt;=$K130,Z415&gt;0),Tarification!$D$10,0)))</f>
        <v>50000</v>
      </c>
      <c r="AA705" s="37">
        <f>IF(AND(AA415&lt;=$I130,AA415&gt;$J130),Tarification!$D$8,IF(AND(AA415&lt;=$J130,AA415&gt;$K130),Tarification!$D$9,IF(AND(AA415&lt;=$K130,AA415&gt;0),Tarification!$D$10,0)))</f>
        <v>0</v>
      </c>
      <c r="AB705" s="37">
        <f>IF(AND(AB415&lt;=$I130,AB415&gt;$J130),Tarification!$D$8,IF(AND(AB415&lt;=$J130,AB415&gt;$K130),Tarification!$D$9,IF(AND(AB415&lt;=$K130,AB415&gt;0),Tarification!$D$10,0)))</f>
        <v>0</v>
      </c>
      <c r="AC705" s="37">
        <f>IF(AND(AC415&lt;=$I130,AC415&gt;$J130),Tarification!$D$8,IF(AND(AC415&lt;=$J130,AC415&gt;$K130),Tarification!$D$9,IF(AND(AC415&lt;=$K130,AC415&gt;0),Tarification!$D$10,0)))</f>
        <v>0</v>
      </c>
      <c r="AD705" s="37">
        <f>IF(AND(AD415&lt;=$I130,AD415&gt;$J130),Tarification!$D$8,IF(AND(AD415&lt;=$J130,AD415&gt;$K130),Tarification!$D$9,IF(AND(AD415&lt;=$K130,AD415&gt;0),Tarification!$D$10,0)))</f>
        <v>125000</v>
      </c>
      <c r="AE705" s="37">
        <f>IF(AND(AE415&lt;=$I130,AE415&gt;$J130),Tarification!$D$8,IF(AND(AE415&lt;=$J130,AE415&gt;$K130),Tarification!$D$9,IF(AND(AE415&lt;=$K130,AE415&gt;0),Tarification!$D$10,0)))</f>
        <v>50000</v>
      </c>
      <c r="AF705" s="37">
        <f>IF(AND(AF415&lt;=$I130,AF415&gt;$J130),Tarification!$D$8,IF(AND(AF415&lt;=$J130,AF415&gt;$K130),Tarification!$D$9,IF(AND(AF415&lt;=$K130,AF415&gt;0),Tarification!$D$10,0)))</f>
        <v>0</v>
      </c>
      <c r="AG705" s="37">
        <f>IF(AND(AG415&lt;=$I130,AG415&gt;$J130),Tarification!$D$8,IF(AND(AG415&lt;=$J130,AG415&gt;$K130),Tarification!$D$9,IF(AND(AG415&lt;=$K130,AG415&gt;0),Tarification!$D$10,0)))</f>
        <v>50000</v>
      </c>
      <c r="AH705" s="37">
        <f>IF(AND(AH415&lt;=$I130,AH415&gt;$J130),Tarification!$D$8,IF(AND(AH415&lt;=$J130,AH415&gt;$K130),Tarification!$D$9,IF(AND(AH415&lt;=$K130,AH415&gt;0),Tarification!$D$10,0)))</f>
        <v>0</v>
      </c>
      <c r="AI705" s="37">
        <f>IF(AND(AI415&lt;=$I130,AI415&gt;$J130),Tarification!$D$8,IF(AND(AI415&lt;=$J130,AI415&gt;$K130),Tarification!$D$9,IF(AND(AI415&lt;=$K130,AI415&gt;0),Tarification!$D$10,0)))</f>
        <v>0</v>
      </c>
      <c r="AJ705" s="37">
        <f>IF(AND(AJ415&lt;=$I130,AJ415&gt;$J130),Tarification!$D$8,IF(AND(AJ415&lt;=$J130,AJ415&gt;$K130),Tarification!$D$9,IF(AND(AJ415&lt;=$K130,AJ415&gt;0),Tarification!$D$10,0)))</f>
        <v>0</v>
      </c>
      <c r="AK705" s="37">
        <f>IF(AND(AK415&lt;=$I130,AK415&gt;$J130),Tarification!$D$8,IF(AND(AK415&lt;=$J130,AK415&gt;$K130),Tarification!$D$9,IF(AND(AK415&lt;=$K130,AK415&gt;0),Tarification!$D$10,0)))</f>
        <v>0</v>
      </c>
      <c r="AL705" s="37">
        <f>IF(AND(AL415&lt;=$I130,AL415&gt;$J130),Tarification!$D$8,IF(AND(AL415&lt;=$J130,AL415&gt;$K130),Tarification!$D$9,IF(AND(AL415&lt;=$K130,AL415&gt;0),Tarification!$D$10,0)))</f>
        <v>0</v>
      </c>
      <c r="AM705" s="37">
        <f>IF(AND(AM415&lt;=$I130,AM415&gt;$J130),Tarification!$D$8,IF(AND(AM415&lt;=$J130,AM415&gt;$K130),Tarification!$D$9,IF(AND(AM415&lt;=$K130,AM415&gt;0),Tarification!$D$10,0)))</f>
        <v>0</v>
      </c>
      <c r="AN705" s="37">
        <f>IF(AND(AN415&lt;=$I130,AN415&gt;$J130),Tarification!$D$8,IF(AND(AN415&lt;=$J130,AN415&gt;$K130),Tarification!$D$9,IF(AND(AN415&lt;=$K130,AN415&gt;0),Tarification!$D$10,0)))</f>
        <v>0</v>
      </c>
      <c r="AQ705" s="101">
        <f t="shared" si="149"/>
        <v>14473.684210526315</v>
      </c>
    </row>
    <row r="706" spans="14:43" ht="15.6">
      <c r="N706" s="39" t="s">
        <v>27</v>
      </c>
      <c r="O706" s="39" t="s">
        <v>468</v>
      </c>
      <c r="P706" t="s">
        <v>735</v>
      </c>
      <c r="Q706" s="39"/>
      <c r="V706" s="37">
        <f>IF(AND(V416&lt;=$I131,V416&gt;$J131),Tarification!$D$8,IF(AND(V416&lt;=$J131,V416&gt;$K131),Tarification!$D$9,IF(AND(V416&lt;=$K131,V416&gt;0),Tarification!$D$10,0)))</f>
        <v>0</v>
      </c>
      <c r="W706" s="37">
        <f>IF(AND(W416&lt;=$I131,W416&gt;$J131),Tarification!$D$8,IF(AND(W416&lt;=$J131,W416&gt;$K131),Tarification!$D$9,IF(AND(W416&lt;=$K131,W416&gt;0),Tarification!$D$10,0)))</f>
        <v>0</v>
      </c>
      <c r="X706" s="37">
        <f>IF(AND(X416&lt;=$I131,X416&gt;$J131),Tarification!$D$8,IF(AND(X416&lt;=$J131,X416&gt;$K131),Tarification!$D$9,IF(AND(X416&lt;=$K131,X416&gt;0),Tarification!$D$10,0)))</f>
        <v>0</v>
      </c>
      <c r="Y706" s="37">
        <f>IF(AND(Y416&lt;=$I131,Y416&gt;$J131),Tarification!$D$8,IF(AND(Y416&lt;=$J131,Y416&gt;$K131),Tarification!$D$9,IF(AND(Y416&lt;=$K131,Y416&gt;0),Tarification!$D$10,0)))</f>
        <v>0</v>
      </c>
      <c r="Z706" s="37">
        <f>IF(AND(Z416&lt;=$I131,Z416&gt;$J131),Tarification!$D$8,IF(AND(Z416&lt;=$J131,Z416&gt;$K131),Tarification!$D$9,IF(AND(Z416&lt;=$K131,Z416&gt;0),Tarification!$D$10,0)))</f>
        <v>0</v>
      </c>
      <c r="AA706" s="37">
        <f>IF(AND(AA416&lt;=$I131,AA416&gt;$J131),Tarification!$D$8,IF(AND(AA416&lt;=$J131,AA416&gt;$K131),Tarification!$D$9,IF(AND(AA416&lt;=$K131,AA416&gt;0),Tarification!$D$10,0)))</f>
        <v>0</v>
      </c>
      <c r="AB706" s="37">
        <f>IF(AND(AB416&lt;=$I131,AB416&gt;$J131),Tarification!$D$8,IF(AND(AB416&lt;=$J131,AB416&gt;$K131),Tarification!$D$9,IF(AND(AB416&lt;=$K131,AB416&gt;0),Tarification!$D$10,0)))</f>
        <v>0</v>
      </c>
      <c r="AC706" s="37">
        <f>IF(AND(AC416&lt;=$I131,AC416&gt;$J131),Tarification!$D$8,IF(AND(AC416&lt;=$J131,AC416&gt;$K131),Tarification!$D$9,IF(AND(AC416&lt;=$K131,AC416&gt;0),Tarification!$D$10,0)))</f>
        <v>0</v>
      </c>
      <c r="AD706" s="37">
        <f>IF(AND(AD416&lt;=$I131,AD416&gt;$J131),Tarification!$D$8,IF(AND(AD416&lt;=$J131,AD416&gt;$K131),Tarification!$D$9,IF(AND(AD416&lt;=$K131,AD416&gt;0),Tarification!$D$10,0)))</f>
        <v>50000</v>
      </c>
      <c r="AE706" s="37">
        <f>IF(AND(AE416&lt;=$I131,AE416&gt;$J131),Tarification!$D$8,IF(AND(AE416&lt;=$J131,AE416&gt;$K131),Tarification!$D$9,IF(AND(AE416&lt;=$K131,AE416&gt;0),Tarification!$D$10,0)))</f>
        <v>0</v>
      </c>
      <c r="AF706" s="37">
        <f>IF(AND(AF416&lt;=$I131,AF416&gt;$J131),Tarification!$D$8,IF(AND(AF416&lt;=$J131,AF416&gt;$K131),Tarification!$D$9,IF(AND(AF416&lt;=$K131,AF416&gt;0),Tarification!$D$10,0)))</f>
        <v>0</v>
      </c>
      <c r="AG706" s="37">
        <f>IF(AND(AG416&lt;=$I131,AG416&gt;$J131),Tarification!$D$8,IF(AND(AG416&lt;=$J131,AG416&gt;$K131),Tarification!$D$9,IF(AND(AG416&lt;=$K131,AG416&gt;0),Tarification!$D$10,0)))</f>
        <v>0</v>
      </c>
      <c r="AH706" s="37">
        <f>IF(AND(AH416&lt;=$I131,AH416&gt;$J131),Tarification!$D$8,IF(AND(AH416&lt;=$J131,AH416&gt;$K131),Tarification!$D$9,IF(AND(AH416&lt;=$K131,AH416&gt;0),Tarification!$D$10,0)))</f>
        <v>0</v>
      </c>
      <c r="AI706" s="37">
        <f>IF(AND(AI416&lt;=$I131,AI416&gt;$J131),Tarification!$D$8,IF(AND(AI416&lt;=$J131,AI416&gt;$K131),Tarification!$D$9,IF(AND(AI416&lt;=$K131,AI416&gt;0),Tarification!$D$10,0)))</f>
        <v>0</v>
      </c>
      <c r="AJ706" s="37">
        <f>IF(AND(AJ416&lt;=$I131,AJ416&gt;$J131),Tarification!$D$8,IF(AND(AJ416&lt;=$J131,AJ416&gt;$K131),Tarification!$D$9,IF(AND(AJ416&lt;=$K131,AJ416&gt;0),Tarification!$D$10,0)))</f>
        <v>0</v>
      </c>
      <c r="AK706" s="37">
        <f>IF(AND(AK416&lt;=$I131,AK416&gt;$J131),Tarification!$D$8,IF(AND(AK416&lt;=$J131,AK416&gt;$K131),Tarification!$D$9,IF(AND(AK416&lt;=$K131,AK416&gt;0),Tarification!$D$10,0)))</f>
        <v>0</v>
      </c>
      <c r="AL706" s="37">
        <f>IF(AND(AL416&lt;=$I131,AL416&gt;$J131),Tarification!$D$8,IF(AND(AL416&lt;=$J131,AL416&gt;$K131),Tarification!$D$9,IF(AND(AL416&lt;=$K131,AL416&gt;0),Tarification!$D$10,0)))</f>
        <v>0</v>
      </c>
      <c r="AM706" s="37">
        <f>IF(AND(AM416&lt;=$I131,AM416&gt;$J131),Tarification!$D$8,IF(AND(AM416&lt;=$J131,AM416&gt;$K131),Tarification!$D$9,IF(AND(AM416&lt;=$K131,AM416&gt;0),Tarification!$D$10,0)))</f>
        <v>0</v>
      </c>
      <c r="AN706" s="37">
        <f>IF(AND(AN416&lt;=$I131,AN416&gt;$J131),Tarification!$D$8,IF(AND(AN416&lt;=$J131,AN416&gt;$K131),Tarification!$D$9,IF(AND(AN416&lt;=$K131,AN416&gt;0),Tarification!$D$10,0)))</f>
        <v>0</v>
      </c>
      <c r="AQ706" s="101">
        <f t="shared" si="149"/>
        <v>2631.5789473684213</v>
      </c>
    </row>
    <row r="707" spans="14:43" ht="15.6">
      <c r="N707" s="39" t="s">
        <v>27</v>
      </c>
      <c r="O707" s="39" t="s">
        <v>172</v>
      </c>
      <c r="P707" t="s">
        <v>736</v>
      </c>
      <c r="Q707" s="39"/>
      <c r="V707" s="37">
        <f>IF(AND(V417&lt;=$I132,V417&gt;$J132),Tarification!$D$8,IF(AND(V417&lt;=$J132,V417&gt;$K132),Tarification!$D$9,IF(AND(V417&lt;=$K132,V417&gt;0),Tarification!$D$10,0)))</f>
        <v>0</v>
      </c>
      <c r="W707" s="37">
        <f>IF(AND(W417&lt;=$I132,W417&gt;$J132),Tarification!$D$8,IF(AND(W417&lt;=$J132,W417&gt;$K132),Tarification!$D$9,IF(AND(W417&lt;=$K132,W417&gt;0),Tarification!$D$10,0)))</f>
        <v>0</v>
      </c>
      <c r="X707" s="37">
        <f>IF(AND(X417&lt;=$I132,X417&gt;$J132),Tarification!$D$8,IF(AND(X417&lt;=$J132,X417&gt;$K132),Tarification!$D$9,IF(AND(X417&lt;=$K132,X417&gt;0),Tarification!$D$10,0)))</f>
        <v>0</v>
      </c>
      <c r="Y707" s="37">
        <f>IF(AND(Y417&lt;=$I132,Y417&gt;$J132),Tarification!$D$8,IF(AND(Y417&lt;=$J132,Y417&gt;$K132),Tarification!$D$9,IF(AND(Y417&lt;=$K132,Y417&gt;0),Tarification!$D$10,0)))</f>
        <v>0</v>
      </c>
      <c r="Z707" s="37">
        <f>IF(AND(Z417&lt;=$I132,Z417&gt;$J132),Tarification!$D$8,IF(AND(Z417&lt;=$J132,Z417&gt;$K132),Tarification!$D$9,IF(AND(Z417&lt;=$K132,Z417&gt;0),Tarification!$D$10,0)))</f>
        <v>0</v>
      </c>
      <c r="AA707" s="37">
        <f>IF(AND(AA417&lt;=$I132,AA417&gt;$J132),Tarification!$D$8,IF(AND(AA417&lt;=$J132,AA417&gt;$K132),Tarification!$D$9,IF(AND(AA417&lt;=$K132,AA417&gt;0),Tarification!$D$10,0)))</f>
        <v>0</v>
      </c>
      <c r="AB707" s="37">
        <f>IF(AND(AB417&lt;=$I132,AB417&gt;$J132),Tarification!$D$8,IF(AND(AB417&lt;=$J132,AB417&gt;$K132),Tarification!$D$9,IF(AND(AB417&lt;=$K132,AB417&gt;0),Tarification!$D$10,0)))</f>
        <v>0</v>
      </c>
      <c r="AC707" s="37">
        <f>IF(AND(AC417&lt;=$I132,AC417&gt;$J132),Tarification!$D$8,IF(AND(AC417&lt;=$J132,AC417&gt;$K132),Tarification!$D$9,IF(AND(AC417&lt;=$K132,AC417&gt;0),Tarification!$D$10,0)))</f>
        <v>0</v>
      </c>
      <c r="AD707" s="37">
        <f>IF(AND(AD417&lt;=$I132,AD417&gt;$J132),Tarification!$D$8,IF(AND(AD417&lt;=$J132,AD417&gt;$K132),Tarification!$D$9,IF(AND(AD417&lt;=$K132,AD417&gt;0),Tarification!$D$10,0)))</f>
        <v>0</v>
      </c>
      <c r="AE707" s="37">
        <f>IF(AND(AE417&lt;=$I132,AE417&gt;$J132),Tarification!$D$8,IF(AND(AE417&lt;=$J132,AE417&gt;$K132),Tarification!$D$9,IF(AND(AE417&lt;=$K132,AE417&gt;0),Tarification!$D$10,0)))</f>
        <v>0</v>
      </c>
      <c r="AF707" s="37">
        <f>IF(AND(AF417&lt;=$I132,AF417&gt;$J132),Tarification!$D$8,IF(AND(AF417&lt;=$J132,AF417&gt;$K132),Tarification!$D$9,IF(AND(AF417&lt;=$K132,AF417&gt;0),Tarification!$D$10,0)))</f>
        <v>0</v>
      </c>
      <c r="AG707" s="37">
        <f>IF(AND(AG417&lt;=$I132,AG417&gt;$J132),Tarification!$D$8,IF(AND(AG417&lt;=$J132,AG417&gt;$K132),Tarification!$D$9,IF(AND(AG417&lt;=$K132,AG417&gt;0),Tarification!$D$10,0)))</f>
        <v>0</v>
      </c>
      <c r="AH707" s="37">
        <f>IF(AND(AH417&lt;=$I132,AH417&gt;$J132),Tarification!$D$8,IF(AND(AH417&lt;=$J132,AH417&gt;$K132),Tarification!$D$9,IF(AND(AH417&lt;=$K132,AH417&gt;0),Tarification!$D$10,0)))</f>
        <v>0</v>
      </c>
      <c r="AI707" s="37">
        <f>IF(AND(AI417&lt;=$I132,AI417&gt;$J132),Tarification!$D$8,IF(AND(AI417&lt;=$J132,AI417&gt;$K132),Tarification!$D$9,IF(AND(AI417&lt;=$K132,AI417&gt;0),Tarification!$D$10,0)))</f>
        <v>0</v>
      </c>
      <c r="AJ707" s="37">
        <f>IF(AND(AJ417&lt;=$I132,AJ417&gt;$J132),Tarification!$D$8,IF(AND(AJ417&lt;=$J132,AJ417&gt;$K132),Tarification!$D$9,IF(AND(AJ417&lt;=$K132,AJ417&gt;0),Tarification!$D$10,0)))</f>
        <v>0</v>
      </c>
      <c r="AK707" s="37">
        <f>IF(AND(AK417&lt;=$I132,AK417&gt;$J132),Tarification!$D$8,IF(AND(AK417&lt;=$J132,AK417&gt;$K132),Tarification!$D$9,IF(AND(AK417&lt;=$K132,AK417&gt;0),Tarification!$D$10,0)))</f>
        <v>0</v>
      </c>
      <c r="AL707" s="37">
        <f>IF(AND(AL417&lt;=$I132,AL417&gt;$J132),Tarification!$D$8,IF(AND(AL417&lt;=$J132,AL417&gt;$K132),Tarification!$D$9,IF(AND(AL417&lt;=$K132,AL417&gt;0),Tarification!$D$10,0)))</f>
        <v>0</v>
      </c>
      <c r="AM707" s="37">
        <f>IF(AND(AM417&lt;=$I132,AM417&gt;$J132),Tarification!$D$8,IF(AND(AM417&lt;=$J132,AM417&gt;$K132),Tarification!$D$9,IF(AND(AM417&lt;=$K132,AM417&gt;0),Tarification!$D$10,0)))</f>
        <v>0</v>
      </c>
      <c r="AN707" s="37">
        <f>IF(AND(AN417&lt;=$I132,AN417&gt;$J132),Tarification!$D$8,IF(AND(AN417&lt;=$J132,AN417&gt;$K132),Tarification!$D$9,IF(AND(AN417&lt;=$K132,AN417&gt;0),Tarification!$D$10,0)))</f>
        <v>0</v>
      </c>
      <c r="AQ707" s="101">
        <f t="shared" si="149"/>
        <v>0</v>
      </c>
    </row>
    <row r="708" spans="14:43" ht="15.6">
      <c r="N708" s="39" t="s">
        <v>27</v>
      </c>
      <c r="O708" s="39" t="s">
        <v>517</v>
      </c>
      <c r="P708" t="s">
        <v>737</v>
      </c>
      <c r="Q708" s="39"/>
      <c r="V708" s="37">
        <f>IF(AND(V418&lt;=$I133,V418&gt;$J133),Tarification!$D$8,IF(AND(V418&lt;=$J133,V418&gt;$K133),Tarification!$D$9,IF(AND(V418&lt;=$K133,V418&gt;0),Tarification!$D$10,0)))</f>
        <v>0</v>
      </c>
      <c r="W708" s="37">
        <f>IF(AND(W418&lt;=$I133,W418&gt;$J133),Tarification!$D$8,IF(AND(W418&lt;=$J133,W418&gt;$K133),Tarification!$D$9,IF(AND(W418&lt;=$K133,W418&gt;0),Tarification!$D$10,0)))</f>
        <v>0</v>
      </c>
      <c r="X708" s="37">
        <f>IF(AND(X418&lt;=$I133,X418&gt;$J133),Tarification!$D$8,IF(AND(X418&lt;=$J133,X418&gt;$K133),Tarification!$D$9,IF(AND(X418&lt;=$K133,X418&gt;0),Tarification!$D$10,0)))</f>
        <v>0</v>
      </c>
      <c r="Y708" s="37">
        <f>IF(AND(Y418&lt;=$I133,Y418&gt;$J133),Tarification!$D$8,IF(AND(Y418&lt;=$J133,Y418&gt;$K133),Tarification!$D$9,IF(AND(Y418&lt;=$K133,Y418&gt;0),Tarification!$D$10,0)))</f>
        <v>0</v>
      </c>
      <c r="Z708" s="37">
        <f>IF(AND(Z418&lt;=$I133,Z418&gt;$J133),Tarification!$D$8,IF(AND(Z418&lt;=$J133,Z418&gt;$K133),Tarification!$D$9,IF(AND(Z418&lt;=$K133,Z418&gt;0),Tarification!$D$10,0)))</f>
        <v>0</v>
      </c>
      <c r="AA708" s="37">
        <f>IF(AND(AA418&lt;=$I133,AA418&gt;$J133),Tarification!$D$8,IF(AND(AA418&lt;=$J133,AA418&gt;$K133),Tarification!$D$9,IF(AND(AA418&lt;=$K133,AA418&gt;0),Tarification!$D$10,0)))</f>
        <v>0</v>
      </c>
      <c r="AB708" s="37">
        <f>IF(AND(AB418&lt;=$I133,AB418&gt;$J133),Tarification!$D$8,IF(AND(AB418&lt;=$J133,AB418&gt;$K133),Tarification!$D$9,IF(AND(AB418&lt;=$K133,AB418&gt;0),Tarification!$D$10,0)))</f>
        <v>0</v>
      </c>
      <c r="AC708" s="37">
        <f>IF(AND(AC418&lt;=$I133,AC418&gt;$J133),Tarification!$D$8,IF(AND(AC418&lt;=$J133,AC418&gt;$K133),Tarification!$D$9,IF(AND(AC418&lt;=$K133,AC418&gt;0),Tarification!$D$10,0)))</f>
        <v>125000</v>
      </c>
      <c r="AD708" s="37">
        <f>IF(AND(AD418&lt;=$I133,AD418&gt;$J133),Tarification!$D$8,IF(AND(AD418&lt;=$J133,AD418&gt;$K133),Tarification!$D$9,IF(AND(AD418&lt;=$K133,AD418&gt;0),Tarification!$D$10,0)))</f>
        <v>125000</v>
      </c>
      <c r="AE708" s="37">
        <f>IF(AND(AE418&lt;=$I133,AE418&gt;$J133),Tarification!$D$8,IF(AND(AE418&lt;=$J133,AE418&gt;$K133),Tarification!$D$9,IF(AND(AE418&lt;=$K133,AE418&gt;0),Tarification!$D$10,0)))</f>
        <v>125000</v>
      </c>
      <c r="AF708" s="37">
        <f>IF(AND(AF418&lt;=$I133,AF418&gt;$J133),Tarification!$D$8,IF(AND(AF418&lt;=$J133,AF418&gt;$K133),Tarification!$D$9,IF(AND(AF418&lt;=$K133,AF418&gt;0),Tarification!$D$10,0)))</f>
        <v>125000</v>
      </c>
      <c r="AG708" s="37">
        <f>IF(AND(AG418&lt;=$I133,AG418&gt;$J133),Tarification!$D$8,IF(AND(AG418&lt;=$J133,AG418&gt;$K133),Tarification!$D$9,IF(AND(AG418&lt;=$K133,AG418&gt;0),Tarification!$D$10,0)))</f>
        <v>0</v>
      </c>
      <c r="AH708" s="37">
        <f>IF(AND(AH418&lt;=$I133,AH418&gt;$J133),Tarification!$D$8,IF(AND(AH418&lt;=$J133,AH418&gt;$K133),Tarification!$D$9,IF(AND(AH418&lt;=$K133,AH418&gt;0),Tarification!$D$10,0)))</f>
        <v>0</v>
      </c>
      <c r="AI708" s="37">
        <f>IF(AND(AI418&lt;=$I133,AI418&gt;$J133),Tarification!$D$8,IF(AND(AI418&lt;=$J133,AI418&gt;$K133),Tarification!$D$9,IF(AND(AI418&lt;=$K133,AI418&gt;0),Tarification!$D$10,0)))</f>
        <v>0</v>
      </c>
      <c r="AJ708" s="37">
        <f>IF(AND(AJ418&lt;=$I133,AJ418&gt;$J133),Tarification!$D$8,IF(AND(AJ418&lt;=$J133,AJ418&gt;$K133),Tarification!$D$9,IF(AND(AJ418&lt;=$K133,AJ418&gt;0),Tarification!$D$10,0)))</f>
        <v>50000</v>
      </c>
      <c r="AK708" s="37">
        <f>IF(AND(AK418&lt;=$I133,AK418&gt;$J133),Tarification!$D$8,IF(AND(AK418&lt;=$J133,AK418&gt;$K133),Tarification!$D$9,IF(AND(AK418&lt;=$K133,AK418&gt;0),Tarification!$D$10,0)))</f>
        <v>0</v>
      </c>
      <c r="AL708" s="37">
        <f>IF(AND(AL418&lt;=$I133,AL418&gt;$J133),Tarification!$D$8,IF(AND(AL418&lt;=$J133,AL418&gt;$K133),Tarification!$D$9,IF(AND(AL418&lt;=$K133,AL418&gt;0),Tarification!$D$10,0)))</f>
        <v>0</v>
      </c>
      <c r="AM708" s="37">
        <f>IF(AND(AM418&lt;=$I133,AM418&gt;$J133),Tarification!$D$8,IF(AND(AM418&lt;=$J133,AM418&gt;$K133),Tarification!$D$9,IF(AND(AM418&lt;=$K133,AM418&gt;0),Tarification!$D$10,0)))</f>
        <v>0</v>
      </c>
      <c r="AN708" s="37">
        <f>IF(AND(AN418&lt;=$I133,AN418&gt;$J133),Tarification!$D$8,IF(AND(AN418&lt;=$J133,AN418&gt;$K133),Tarification!$D$9,IF(AND(AN418&lt;=$K133,AN418&gt;0),Tarification!$D$10,0)))</f>
        <v>50000</v>
      </c>
      <c r="AQ708" s="101">
        <f t="shared" si="149"/>
        <v>31578.947368421053</v>
      </c>
    </row>
    <row r="709" spans="14:43" ht="15.6">
      <c r="N709" s="39" t="s">
        <v>27</v>
      </c>
      <c r="O709" s="39" t="s">
        <v>484</v>
      </c>
      <c r="P709" t="s">
        <v>738</v>
      </c>
      <c r="Q709" s="39"/>
      <c r="V709" s="37">
        <f>IF(AND(V419&lt;=$I134,V419&gt;$J134),Tarification!$D$8,IF(AND(V419&lt;=$J134,V419&gt;$K134),Tarification!$D$9,IF(AND(V419&lt;=$K134,V419&gt;0),Tarification!$D$10,0)))</f>
        <v>0</v>
      </c>
      <c r="W709" s="37">
        <f>IF(AND(W419&lt;=$I134,W419&gt;$J134),Tarification!$D$8,IF(AND(W419&lt;=$J134,W419&gt;$K134),Tarification!$D$9,IF(AND(W419&lt;=$K134,W419&gt;0),Tarification!$D$10,0)))</f>
        <v>0</v>
      </c>
      <c r="X709" s="37">
        <f>IF(AND(X419&lt;=$I134,X419&gt;$J134),Tarification!$D$8,IF(AND(X419&lt;=$J134,X419&gt;$K134),Tarification!$D$9,IF(AND(X419&lt;=$K134,X419&gt;0),Tarification!$D$10,0)))</f>
        <v>0</v>
      </c>
      <c r="Y709" s="37">
        <f>IF(AND(Y419&lt;=$I134,Y419&gt;$J134),Tarification!$D$8,IF(AND(Y419&lt;=$J134,Y419&gt;$K134),Tarification!$D$9,IF(AND(Y419&lt;=$K134,Y419&gt;0),Tarification!$D$10,0)))</f>
        <v>0</v>
      </c>
      <c r="Z709" s="37">
        <f>IF(AND(Z419&lt;=$I134,Z419&gt;$J134),Tarification!$D$8,IF(AND(Z419&lt;=$J134,Z419&gt;$K134),Tarification!$D$9,IF(AND(Z419&lt;=$K134,Z419&gt;0),Tarification!$D$10,0)))</f>
        <v>0</v>
      </c>
      <c r="AA709" s="37">
        <f>IF(AND(AA419&lt;=$I134,AA419&gt;$J134),Tarification!$D$8,IF(AND(AA419&lt;=$J134,AA419&gt;$K134),Tarification!$D$9,IF(AND(AA419&lt;=$K134,AA419&gt;0),Tarification!$D$10,0)))</f>
        <v>0</v>
      </c>
      <c r="AB709" s="37">
        <f>IF(AND(AB419&lt;=$I134,AB419&gt;$J134),Tarification!$D$8,IF(AND(AB419&lt;=$J134,AB419&gt;$K134),Tarification!$D$9,IF(AND(AB419&lt;=$K134,AB419&gt;0),Tarification!$D$10,0)))</f>
        <v>0</v>
      </c>
      <c r="AC709" s="37">
        <f>IF(AND(AC419&lt;=$I134,AC419&gt;$J134),Tarification!$D$8,IF(AND(AC419&lt;=$J134,AC419&gt;$K134),Tarification!$D$9,IF(AND(AC419&lt;=$K134,AC419&gt;0),Tarification!$D$10,0)))</f>
        <v>0</v>
      </c>
      <c r="AD709" s="37">
        <f>IF(AND(AD419&lt;=$I134,AD419&gt;$J134),Tarification!$D$8,IF(AND(AD419&lt;=$J134,AD419&gt;$K134),Tarification!$D$9,IF(AND(AD419&lt;=$K134,AD419&gt;0),Tarification!$D$10,0)))</f>
        <v>50000</v>
      </c>
      <c r="AE709" s="37">
        <f>IF(AND(AE419&lt;=$I134,AE419&gt;$J134),Tarification!$D$8,IF(AND(AE419&lt;=$J134,AE419&gt;$K134),Tarification!$D$9,IF(AND(AE419&lt;=$K134,AE419&gt;0),Tarification!$D$10,0)))</f>
        <v>0</v>
      </c>
      <c r="AF709" s="37">
        <f>IF(AND(AF419&lt;=$I134,AF419&gt;$J134),Tarification!$D$8,IF(AND(AF419&lt;=$J134,AF419&gt;$K134),Tarification!$D$9,IF(AND(AF419&lt;=$K134,AF419&gt;0),Tarification!$D$10,0)))</f>
        <v>0</v>
      </c>
      <c r="AG709" s="37">
        <f>IF(AND(AG419&lt;=$I134,AG419&gt;$J134),Tarification!$D$8,IF(AND(AG419&lt;=$J134,AG419&gt;$K134),Tarification!$D$9,IF(AND(AG419&lt;=$K134,AG419&gt;0),Tarification!$D$10,0)))</f>
        <v>0</v>
      </c>
      <c r="AH709" s="37">
        <f>IF(AND(AH419&lt;=$I134,AH419&gt;$J134),Tarification!$D$8,IF(AND(AH419&lt;=$J134,AH419&gt;$K134),Tarification!$D$9,IF(AND(AH419&lt;=$K134,AH419&gt;0),Tarification!$D$10,0)))</f>
        <v>0</v>
      </c>
      <c r="AI709" s="37">
        <f>IF(AND(AI419&lt;=$I134,AI419&gt;$J134),Tarification!$D$8,IF(AND(AI419&lt;=$J134,AI419&gt;$K134),Tarification!$D$9,IF(AND(AI419&lt;=$K134,AI419&gt;0),Tarification!$D$10,0)))</f>
        <v>0</v>
      </c>
      <c r="AJ709" s="37">
        <f>IF(AND(AJ419&lt;=$I134,AJ419&gt;$J134),Tarification!$D$8,IF(AND(AJ419&lt;=$J134,AJ419&gt;$K134),Tarification!$D$9,IF(AND(AJ419&lt;=$K134,AJ419&gt;0),Tarification!$D$10,0)))</f>
        <v>0</v>
      </c>
      <c r="AK709" s="37">
        <f>IF(AND(AK419&lt;=$I134,AK419&gt;$J134),Tarification!$D$8,IF(AND(AK419&lt;=$J134,AK419&gt;$K134),Tarification!$D$9,IF(AND(AK419&lt;=$K134,AK419&gt;0),Tarification!$D$10,0)))</f>
        <v>0</v>
      </c>
      <c r="AL709" s="37">
        <f>IF(AND(AL419&lt;=$I134,AL419&gt;$J134),Tarification!$D$8,IF(AND(AL419&lt;=$J134,AL419&gt;$K134),Tarification!$D$9,IF(AND(AL419&lt;=$K134,AL419&gt;0),Tarification!$D$10,0)))</f>
        <v>0</v>
      </c>
      <c r="AM709" s="37">
        <f>IF(AND(AM419&lt;=$I134,AM419&gt;$J134),Tarification!$D$8,IF(AND(AM419&lt;=$J134,AM419&gt;$K134),Tarification!$D$9,IF(AND(AM419&lt;=$K134,AM419&gt;0),Tarification!$D$10,0)))</f>
        <v>0</v>
      </c>
      <c r="AN709" s="37">
        <f>IF(AND(AN419&lt;=$I134,AN419&gt;$J134),Tarification!$D$8,IF(AND(AN419&lt;=$J134,AN419&gt;$K134),Tarification!$D$9,IF(AND(AN419&lt;=$K134,AN419&gt;0),Tarification!$D$10,0)))</f>
        <v>0</v>
      </c>
      <c r="AQ709" s="101">
        <f t="shared" si="149"/>
        <v>2631.5789473684213</v>
      </c>
    </row>
    <row r="710" spans="14:43" ht="15.6">
      <c r="N710" s="39" t="s">
        <v>27</v>
      </c>
      <c r="O710" s="39" t="s">
        <v>417</v>
      </c>
      <c r="P710" t="s">
        <v>739</v>
      </c>
      <c r="Q710" s="39"/>
      <c r="V710" s="37">
        <f>IF(AND(V420&lt;=$I135,V420&gt;$J135),Tarification!$D$8,IF(AND(V420&lt;=$J135,V420&gt;$K135),Tarification!$D$9,IF(AND(V420&lt;=$K135,V420&gt;0),Tarification!$D$10,0)))</f>
        <v>0</v>
      </c>
      <c r="W710" s="37">
        <f>IF(AND(W420&lt;=$I135,W420&gt;$J135),Tarification!$D$8,IF(AND(W420&lt;=$J135,W420&gt;$K135),Tarification!$D$9,IF(AND(W420&lt;=$K135,W420&gt;0),Tarification!$D$10,0)))</f>
        <v>50000</v>
      </c>
      <c r="X710" s="37">
        <f>IF(AND(X420&lt;=$I135,X420&gt;$J135),Tarification!$D$8,IF(AND(X420&lt;=$J135,X420&gt;$K135),Tarification!$D$9,IF(AND(X420&lt;=$K135,X420&gt;0),Tarification!$D$10,0)))</f>
        <v>0</v>
      </c>
      <c r="Y710" s="37">
        <f>IF(AND(Y420&lt;=$I135,Y420&gt;$J135),Tarification!$D$8,IF(AND(Y420&lt;=$J135,Y420&gt;$K135),Tarification!$D$9,IF(AND(Y420&lt;=$K135,Y420&gt;0),Tarification!$D$10,0)))</f>
        <v>0</v>
      </c>
      <c r="Z710" s="37">
        <f>IF(AND(Z420&lt;=$I135,Z420&gt;$J135),Tarification!$D$8,IF(AND(Z420&lt;=$J135,Z420&gt;$K135),Tarification!$D$9,IF(AND(Z420&lt;=$K135,Z420&gt;0),Tarification!$D$10,0)))</f>
        <v>50000</v>
      </c>
      <c r="AA710" s="37">
        <f>IF(AND(AA420&lt;=$I135,AA420&gt;$J135),Tarification!$D$8,IF(AND(AA420&lt;=$J135,AA420&gt;$K135),Tarification!$D$9,IF(AND(AA420&lt;=$K135,AA420&gt;0),Tarification!$D$10,0)))</f>
        <v>50000</v>
      </c>
      <c r="AB710" s="37">
        <f>IF(AND(AB420&lt;=$I135,AB420&gt;$J135),Tarification!$D$8,IF(AND(AB420&lt;=$J135,AB420&gt;$K135),Tarification!$D$9,IF(AND(AB420&lt;=$K135,AB420&gt;0),Tarification!$D$10,0)))</f>
        <v>0</v>
      </c>
      <c r="AC710" s="37">
        <f>IF(AND(AC420&lt;=$I135,AC420&gt;$J135),Tarification!$D$8,IF(AND(AC420&lt;=$J135,AC420&gt;$K135),Tarification!$D$9,IF(AND(AC420&lt;=$K135,AC420&gt;0),Tarification!$D$10,0)))</f>
        <v>50000</v>
      </c>
      <c r="AD710" s="37">
        <f>IF(AND(AD420&lt;=$I135,AD420&gt;$J135),Tarification!$D$8,IF(AND(AD420&lt;=$J135,AD420&gt;$K135),Tarification!$D$9,IF(AND(AD420&lt;=$K135,AD420&gt;0),Tarification!$D$10,0)))</f>
        <v>50000</v>
      </c>
      <c r="AE710" s="37">
        <f>IF(AND(AE420&lt;=$I135,AE420&gt;$J135),Tarification!$D$8,IF(AND(AE420&lt;=$J135,AE420&gt;$K135),Tarification!$D$9,IF(AND(AE420&lt;=$K135,AE420&gt;0),Tarification!$D$10,0)))</f>
        <v>0</v>
      </c>
      <c r="AF710" s="37">
        <f>IF(AND(AF420&lt;=$I135,AF420&gt;$J135),Tarification!$D$8,IF(AND(AF420&lt;=$J135,AF420&gt;$K135),Tarification!$D$9,IF(AND(AF420&lt;=$K135,AF420&gt;0),Tarification!$D$10,0)))</f>
        <v>50000</v>
      </c>
      <c r="AG710" s="37">
        <f>IF(AND(AG420&lt;=$I135,AG420&gt;$J135),Tarification!$D$8,IF(AND(AG420&lt;=$J135,AG420&gt;$K135),Tarification!$D$9,IF(AND(AG420&lt;=$K135,AG420&gt;0),Tarification!$D$10,0)))</f>
        <v>0</v>
      </c>
      <c r="AH710" s="37">
        <f>IF(AND(AH420&lt;=$I135,AH420&gt;$J135),Tarification!$D$8,IF(AND(AH420&lt;=$J135,AH420&gt;$K135),Tarification!$D$9,IF(AND(AH420&lt;=$K135,AH420&gt;0),Tarification!$D$10,0)))</f>
        <v>0</v>
      </c>
      <c r="AI710" s="37">
        <f>IF(AND(AI420&lt;=$I135,AI420&gt;$J135),Tarification!$D$8,IF(AND(AI420&lt;=$J135,AI420&gt;$K135),Tarification!$D$9,IF(AND(AI420&lt;=$K135,AI420&gt;0),Tarification!$D$10,0)))</f>
        <v>0</v>
      </c>
      <c r="AJ710" s="37">
        <f>IF(AND(AJ420&lt;=$I135,AJ420&gt;$J135),Tarification!$D$8,IF(AND(AJ420&lt;=$J135,AJ420&gt;$K135),Tarification!$D$9,IF(AND(AJ420&lt;=$K135,AJ420&gt;0),Tarification!$D$10,0)))</f>
        <v>0</v>
      </c>
      <c r="AK710" s="37">
        <f>IF(AND(AK420&lt;=$I135,AK420&gt;$J135),Tarification!$D$8,IF(AND(AK420&lt;=$J135,AK420&gt;$K135),Tarification!$D$9,IF(AND(AK420&lt;=$K135,AK420&gt;0),Tarification!$D$10,0)))</f>
        <v>0</v>
      </c>
      <c r="AL710" s="37">
        <f>IF(AND(AL420&lt;=$I135,AL420&gt;$J135),Tarification!$D$8,IF(AND(AL420&lt;=$J135,AL420&gt;$K135),Tarification!$D$9,IF(AND(AL420&lt;=$K135,AL420&gt;0),Tarification!$D$10,0)))</f>
        <v>0</v>
      </c>
      <c r="AM710" s="37">
        <f>IF(AND(AM420&lt;=$I135,AM420&gt;$J135),Tarification!$D$8,IF(AND(AM420&lt;=$J135,AM420&gt;$K135),Tarification!$D$9,IF(AND(AM420&lt;=$K135,AM420&gt;0),Tarification!$D$10,0)))</f>
        <v>0</v>
      </c>
      <c r="AN710" s="37">
        <f>IF(AND(AN420&lt;=$I135,AN420&gt;$J135),Tarification!$D$8,IF(AND(AN420&lt;=$J135,AN420&gt;$K135),Tarification!$D$9,IF(AND(AN420&lt;=$K135,AN420&gt;0),Tarification!$D$10,0)))</f>
        <v>0</v>
      </c>
      <c r="AQ710" s="101">
        <f t="shared" si="149"/>
        <v>15789.473684210527</v>
      </c>
    </row>
    <row r="711" spans="14:43" ht="15.6">
      <c r="N711" s="39" t="s">
        <v>27</v>
      </c>
      <c r="O711" s="39" t="s">
        <v>331</v>
      </c>
      <c r="P711" t="s">
        <v>740</v>
      </c>
      <c r="Q711" s="39"/>
      <c r="V711" s="37">
        <f>IF(AND(V421&lt;=$I136,V421&gt;$J136),Tarification!$D$8,IF(AND(V421&lt;=$J136,V421&gt;$K136),Tarification!$D$9,IF(AND(V421&lt;=$K136,V421&gt;0),Tarification!$D$10,0)))</f>
        <v>0</v>
      </c>
      <c r="W711" s="37">
        <f>IF(AND(W421&lt;=$I136,W421&gt;$J136),Tarification!$D$8,IF(AND(W421&lt;=$J136,W421&gt;$K136),Tarification!$D$9,IF(AND(W421&lt;=$K136,W421&gt;0),Tarification!$D$10,0)))</f>
        <v>0</v>
      </c>
      <c r="X711" s="37">
        <f>IF(AND(X421&lt;=$I136,X421&gt;$J136),Tarification!$D$8,IF(AND(X421&lt;=$J136,X421&gt;$K136),Tarification!$D$9,IF(AND(X421&lt;=$K136,X421&gt;0),Tarification!$D$10,0)))</f>
        <v>0</v>
      </c>
      <c r="Y711" s="37">
        <f>IF(AND(Y421&lt;=$I136,Y421&gt;$J136),Tarification!$D$8,IF(AND(Y421&lt;=$J136,Y421&gt;$K136),Tarification!$D$9,IF(AND(Y421&lt;=$K136,Y421&gt;0),Tarification!$D$10,0)))</f>
        <v>0</v>
      </c>
      <c r="Z711" s="37">
        <f>IF(AND(Z421&lt;=$I136,Z421&gt;$J136),Tarification!$D$8,IF(AND(Z421&lt;=$J136,Z421&gt;$K136),Tarification!$D$9,IF(AND(Z421&lt;=$K136,Z421&gt;0),Tarification!$D$10,0)))</f>
        <v>0</v>
      </c>
      <c r="AA711" s="37">
        <f>IF(AND(AA421&lt;=$I136,AA421&gt;$J136),Tarification!$D$8,IF(AND(AA421&lt;=$J136,AA421&gt;$K136),Tarification!$D$9,IF(AND(AA421&lt;=$K136,AA421&gt;0),Tarification!$D$10,0)))</f>
        <v>0</v>
      </c>
      <c r="AB711" s="37">
        <f>IF(AND(AB421&lt;=$I136,AB421&gt;$J136),Tarification!$D$8,IF(AND(AB421&lt;=$J136,AB421&gt;$K136),Tarification!$D$9,IF(AND(AB421&lt;=$K136,AB421&gt;0),Tarification!$D$10,0)))</f>
        <v>0</v>
      </c>
      <c r="AC711" s="37">
        <f>IF(AND(AC421&lt;=$I136,AC421&gt;$J136),Tarification!$D$8,IF(AND(AC421&lt;=$J136,AC421&gt;$K136),Tarification!$D$9,IF(AND(AC421&lt;=$K136,AC421&gt;0),Tarification!$D$10,0)))</f>
        <v>0</v>
      </c>
      <c r="AD711" s="37">
        <f>IF(AND(AD421&lt;=$I136,AD421&gt;$J136),Tarification!$D$8,IF(AND(AD421&lt;=$J136,AD421&gt;$K136),Tarification!$D$9,IF(AND(AD421&lt;=$K136,AD421&gt;0),Tarification!$D$10,0)))</f>
        <v>0</v>
      </c>
      <c r="AE711" s="37">
        <f>IF(AND(AE421&lt;=$I136,AE421&gt;$J136),Tarification!$D$8,IF(AND(AE421&lt;=$J136,AE421&gt;$K136),Tarification!$D$9,IF(AND(AE421&lt;=$K136,AE421&gt;0),Tarification!$D$10,0)))</f>
        <v>0</v>
      </c>
      <c r="AF711" s="37">
        <f>IF(AND(AF421&lt;=$I136,AF421&gt;$J136),Tarification!$D$8,IF(AND(AF421&lt;=$J136,AF421&gt;$K136),Tarification!$D$9,IF(AND(AF421&lt;=$K136,AF421&gt;0),Tarification!$D$10,0)))</f>
        <v>0</v>
      </c>
      <c r="AG711" s="37">
        <f>IF(AND(AG421&lt;=$I136,AG421&gt;$J136),Tarification!$D$8,IF(AND(AG421&lt;=$J136,AG421&gt;$K136),Tarification!$D$9,IF(AND(AG421&lt;=$K136,AG421&gt;0),Tarification!$D$10,0)))</f>
        <v>0</v>
      </c>
      <c r="AH711" s="37">
        <f>IF(AND(AH421&lt;=$I136,AH421&gt;$J136),Tarification!$D$8,IF(AND(AH421&lt;=$J136,AH421&gt;$K136),Tarification!$D$9,IF(AND(AH421&lt;=$K136,AH421&gt;0),Tarification!$D$10,0)))</f>
        <v>0</v>
      </c>
      <c r="AI711" s="37">
        <f>IF(AND(AI421&lt;=$I136,AI421&gt;$J136),Tarification!$D$8,IF(AND(AI421&lt;=$J136,AI421&gt;$K136),Tarification!$D$9,IF(AND(AI421&lt;=$K136,AI421&gt;0),Tarification!$D$10,0)))</f>
        <v>0</v>
      </c>
      <c r="AJ711" s="37">
        <f>IF(AND(AJ421&lt;=$I136,AJ421&gt;$J136),Tarification!$D$8,IF(AND(AJ421&lt;=$J136,AJ421&gt;$K136),Tarification!$D$9,IF(AND(AJ421&lt;=$K136,AJ421&gt;0),Tarification!$D$10,0)))</f>
        <v>0</v>
      </c>
      <c r="AK711" s="37">
        <f>IF(AND(AK421&lt;=$I136,AK421&gt;$J136),Tarification!$D$8,IF(AND(AK421&lt;=$J136,AK421&gt;$K136),Tarification!$D$9,IF(AND(AK421&lt;=$K136,AK421&gt;0),Tarification!$D$10,0)))</f>
        <v>0</v>
      </c>
      <c r="AL711" s="37">
        <f>IF(AND(AL421&lt;=$I136,AL421&gt;$J136),Tarification!$D$8,IF(AND(AL421&lt;=$J136,AL421&gt;$K136),Tarification!$D$9,IF(AND(AL421&lt;=$K136,AL421&gt;0),Tarification!$D$10,0)))</f>
        <v>0</v>
      </c>
      <c r="AM711" s="37">
        <f>IF(AND(AM421&lt;=$I136,AM421&gt;$J136),Tarification!$D$8,IF(AND(AM421&lt;=$J136,AM421&gt;$K136),Tarification!$D$9,IF(AND(AM421&lt;=$K136,AM421&gt;0),Tarification!$D$10,0)))</f>
        <v>0</v>
      </c>
      <c r="AN711" s="37">
        <f>IF(AND(AN421&lt;=$I136,AN421&gt;$J136),Tarification!$D$8,IF(AND(AN421&lt;=$J136,AN421&gt;$K136),Tarification!$D$9,IF(AND(AN421&lt;=$K136,AN421&gt;0),Tarification!$D$10,0)))</f>
        <v>0</v>
      </c>
      <c r="AQ711" s="101">
        <f t="shared" si="149"/>
        <v>0</v>
      </c>
    </row>
    <row r="712" spans="14:43" ht="15.6">
      <c r="N712" s="39" t="s">
        <v>27</v>
      </c>
      <c r="O712" s="39" t="s">
        <v>475</v>
      </c>
      <c r="P712" t="s">
        <v>741</v>
      </c>
      <c r="Q712" s="39"/>
      <c r="V712" s="37">
        <f>IF(AND(V422&lt;=$I137,V422&gt;$J137),Tarification!$D$8,IF(AND(V422&lt;=$J137,V422&gt;$K137),Tarification!$D$9,IF(AND(V422&lt;=$K137,V422&gt;0),Tarification!$D$10,0)))</f>
        <v>0</v>
      </c>
      <c r="W712" s="37">
        <f>IF(AND(W422&lt;=$I137,W422&gt;$J137),Tarification!$D$8,IF(AND(W422&lt;=$J137,W422&gt;$K137),Tarification!$D$9,IF(AND(W422&lt;=$K137,W422&gt;0),Tarification!$D$10,0)))</f>
        <v>0</v>
      </c>
      <c r="X712" s="37">
        <f>IF(AND(X422&lt;=$I137,X422&gt;$J137),Tarification!$D$8,IF(AND(X422&lt;=$J137,X422&gt;$K137),Tarification!$D$9,IF(AND(X422&lt;=$K137,X422&gt;0),Tarification!$D$10,0)))</f>
        <v>0</v>
      </c>
      <c r="Y712" s="37">
        <f>IF(AND(Y422&lt;=$I137,Y422&gt;$J137),Tarification!$D$8,IF(AND(Y422&lt;=$J137,Y422&gt;$K137),Tarification!$D$9,IF(AND(Y422&lt;=$K137,Y422&gt;0),Tarification!$D$10,0)))</f>
        <v>0</v>
      </c>
      <c r="Z712" s="37">
        <f>IF(AND(Z422&lt;=$I137,Z422&gt;$J137),Tarification!$D$8,IF(AND(Z422&lt;=$J137,Z422&gt;$K137),Tarification!$D$9,IF(AND(Z422&lt;=$K137,Z422&gt;0),Tarification!$D$10,0)))</f>
        <v>0</v>
      </c>
      <c r="AA712" s="37">
        <f>IF(AND(AA422&lt;=$I137,AA422&gt;$J137),Tarification!$D$8,IF(AND(AA422&lt;=$J137,AA422&gt;$K137),Tarification!$D$9,IF(AND(AA422&lt;=$K137,AA422&gt;0),Tarification!$D$10,0)))</f>
        <v>0</v>
      </c>
      <c r="AB712" s="37">
        <f>IF(AND(AB422&lt;=$I137,AB422&gt;$J137),Tarification!$D$8,IF(AND(AB422&lt;=$J137,AB422&gt;$K137),Tarification!$D$9,IF(AND(AB422&lt;=$K137,AB422&gt;0),Tarification!$D$10,0)))</f>
        <v>0</v>
      </c>
      <c r="AC712" s="37">
        <f>IF(AND(AC422&lt;=$I137,AC422&gt;$J137),Tarification!$D$8,IF(AND(AC422&lt;=$J137,AC422&gt;$K137),Tarification!$D$9,IF(AND(AC422&lt;=$K137,AC422&gt;0),Tarification!$D$10,0)))</f>
        <v>50000</v>
      </c>
      <c r="AD712" s="37">
        <f>IF(AND(AD422&lt;=$I137,AD422&gt;$J137),Tarification!$D$8,IF(AND(AD422&lt;=$J137,AD422&gt;$K137),Tarification!$D$9,IF(AND(AD422&lt;=$K137,AD422&gt;0),Tarification!$D$10,0)))</f>
        <v>50000</v>
      </c>
      <c r="AE712" s="37">
        <f>IF(AND(AE422&lt;=$I137,AE422&gt;$J137),Tarification!$D$8,IF(AND(AE422&lt;=$J137,AE422&gt;$K137),Tarification!$D$9,IF(AND(AE422&lt;=$K137,AE422&gt;0),Tarification!$D$10,0)))</f>
        <v>0</v>
      </c>
      <c r="AF712" s="37">
        <f>IF(AND(AF422&lt;=$I137,AF422&gt;$J137),Tarification!$D$8,IF(AND(AF422&lt;=$J137,AF422&gt;$K137),Tarification!$D$9,IF(AND(AF422&lt;=$K137,AF422&gt;0),Tarification!$D$10,0)))</f>
        <v>0</v>
      </c>
      <c r="AG712" s="37">
        <f>IF(AND(AG422&lt;=$I137,AG422&gt;$J137),Tarification!$D$8,IF(AND(AG422&lt;=$J137,AG422&gt;$K137),Tarification!$D$9,IF(AND(AG422&lt;=$K137,AG422&gt;0),Tarification!$D$10,0)))</f>
        <v>0</v>
      </c>
      <c r="AH712" s="37">
        <f>IF(AND(AH422&lt;=$I137,AH422&gt;$J137),Tarification!$D$8,IF(AND(AH422&lt;=$J137,AH422&gt;$K137),Tarification!$D$9,IF(AND(AH422&lt;=$K137,AH422&gt;0),Tarification!$D$10,0)))</f>
        <v>0</v>
      </c>
      <c r="AI712" s="37">
        <f>IF(AND(AI422&lt;=$I137,AI422&gt;$J137),Tarification!$D$8,IF(AND(AI422&lt;=$J137,AI422&gt;$K137),Tarification!$D$9,IF(AND(AI422&lt;=$K137,AI422&gt;0),Tarification!$D$10,0)))</f>
        <v>0</v>
      </c>
      <c r="AJ712" s="37">
        <f>IF(AND(AJ422&lt;=$I137,AJ422&gt;$J137),Tarification!$D$8,IF(AND(AJ422&lt;=$J137,AJ422&gt;$K137),Tarification!$D$9,IF(AND(AJ422&lt;=$K137,AJ422&gt;0),Tarification!$D$10,0)))</f>
        <v>50000</v>
      </c>
      <c r="AK712" s="37">
        <f>IF(AND(AK422&lt;=$I137,AK422&gt;$J137),Tarification!$D$8,IF(AND(AK422&lt;=$J137,AK422&gt;$K137),Tarification!$D$9,IF(AND(AK422&lt;=$K137,AK422&gt;0),Tarification!$D$10,0)))</f>
        <v>0</v>
      </c>
      <c r="AL712" s="37">
        <f>IF(AND(AL422&lt;=$I137,AL422&gt;$J137),Tarification!$D$8,IF(AND(AL422&lt;=$J137,AL422&gt;$K137),Tarification!$D$9,IF(AND(AL422&lt;=$K137,AL422&gt;0),Tarification!$D$10,0)))</f>
        <v>0</v>
      </c>
      <c r="AM712" s="37">
        <f>IF(AND(AM422&lt;=$I137,AM422&gt;$J137),Tarification!$D$8,IF(AND(AM422&lt;=$J137,AM422&gt;$K137),Tarification!$D$9,IF(AND(AM422&lt;=$K137,AM422&gt;0),Tarification!$D$10,0)))</f>
        <v>0</v>
      </c>
      <c r="AN712" s="37">
        <f>IF(AND(AN422&lt;=$I137,AN422&gt;$J137),Tarification!$D$8,IF(AND(AN422&lt;=$J137,AN422&gt;$K137),Tarification!$D$9,IF(AND(AN422&lt;=$K137,AN422&gt;0),Tarification!$D$10,0)))</f>
        <v>50000</v>
      </c>
      <c r="AQ712" s="101">
        <f t="shared" ref="AQ712:AQ775" si="150">AVERAGE(V712:AN712)</f>
        <v>10526.315789473685</v>
      </c>
    </row>
    <row r="713" spans="14:43" ht="15.6">
      <c r="N713" s="39" t="s">
        <v>27</v>
      </c>
      <c r="O713" s="39" t="s">
        <v>489</v>
      </c>
      <c r="P713" t="s">
        <v>742</v>
      </c>
      <c r="Q713" s="39"/>
      <c r="V713" s="37">
        <f>IF(AND(V423&lt;=$I138,V423&gt;$J138),Tarification!$D$8,IF(AND(V423&lt;=$J138,V423&gt;$K138),Tarification!$D$9,IF(AND(V423&lt;=$K138,V423&gt;0),Tarification!$D$10,0)))</f>
        <v>0</v>
      </c>
      <c r="W713" s="37">
        <f>IF(AND(W423&lt;=$I138,W423&gt;$J138),Tarification!$D$8,IF(AND(W423&lt;=$J138,W423&gt;$K138),Tarification!$D$9,IF(AND(W423&lt;=$K138,W423&gt;0),Tarification!$D$10,0)))</f>
        <v>0</v>
      </c>
      <c r="X713" s="37">
        <f>IF(AND(X423&lt;=$I138,X423&gt;$J138),Tarification!$D$8,IF(AND(X423&lt;=$J138,X423&gt;$K138),Tarification!$D$9,IF(AND(X423&lt;=$K138,X423&gt;0),Tarification!$D$10,0)))</f>
        <v>0</v>
      </c>
      <c r="Y713" s="37">
        <f>IF(AND(Y423&lt;=$I138,Y423&gt;$J138),Tarification!$D$8,IF(AND(Y423&lt;=$J138,Y423&gt;$K138),Tarification!$D$9,IF(AND(Y423&lt;=$K138,Y423&gt;0),Tarification!$D$10,0)))</f>
        <v>0</v>
      </c>
      <c r="Z713" s="37">
        <f>IF(AND(Z423&lt;=$I138,Z423&gt;$J138),Tarification!$D$8,IF(AND(Z423&lt;=$J138,Z423&gt;$K138),Tarification!$D$9,IF(AND(Z423&lt;=$K138,Z423&gt;0),Tarification!$D$10,0)))</f>
        <v>0</v>
      </c>
      <c r="AA713" s="37">
        <f>IF(AND(AA423&lt;=$I138,AA423&gt;$J138),Tarification!$D$8,IF(AND(AA423&lt;=$J138,AA423&gt;$K138),Tarification!$D$9,IF(AND(AA423&lt;=$K138,AA423&gt;0),Tarification!$D$10,0)))</f>
        <v>0</v>
      </c>
      <c r="AB713" s="37">
        <f>IF(AND(AB423&lt;=$I138,AB423&gt;$J138),Tarification!$D$8,IF(AND(AB423&lt;=$J138,AB423&gt;$K138),Tarification!$D$9,IF(AND(AB423&lt;=$K138,AB423&gt;0),Tarification!$D$10,0)))</f>
        <v>0</v>
      </c>
      <c r="AC713" s="37">
        <f>IF(AND(AC423&lt;=$I138,AC423&gt;$J138),Tarification!$D$8,IF(AND(AC423&lt;=$J138,AC423&gt;$K138),Tarification!$D$9,IF(AND(AC423&lt;=$K138,AC423&gt;0),Tarification!$D$10,0)))</f>
        <v>0</v>
      </c>
      <c r="AD713" s="37">
        <f>IF(AND(AD423&lt;=$I138,AD423&gt;$J138),Tarification!$D$8,IF(AND(AD423&lt;=$J138,AD423&gt;$K138),Tarification!$D$9,IF(AND(AD423&lt;=$K138,AD423&gt;0),Tarification!$D$10,0)))</f>
        <v>0</v>
      </c>
      <c r="AE713" s="37">
        <f>IF(AND(AE423&lt;=$I138,AE423&gt;$J138),Tarification!$D$8,IF(AND(AE423&lt;=$J138,AE423&gt;$K138),Tarification!$D$9,IF(AND(AE423&lt;=$K138,AE423&gt;0),Tarification!$D$10,0)))</f>
        <v>0</v>
      </c>
      <c r="AF713" s="37">
        <f>IF(AND(AF423&lt;=$I138,AF423&gt;$J138),Tarification!$D$8,IF(AND(AF423&lt;=$J138,AF423&gt;$K138),Tarification!$D$9,IF(AND(AF423&lt;=$K138,AF423&gt;0),Tarification!$D$10,0)))</f>
        <v>0</v>
      </c>
      <c r="AG713" s="37">
        <f>IF(AND(AG423&lt;=$I138,AG423&gt;$J138),Tarification!$D$8,IF(AND(AG423&lt;=$J138,AG423&gt;$K138),Tarification!$D$9,IF(AND(AG423&lt;=$K138,AG423&gt;0),Tarification!$D$10,0)))</f>
        <v>0</v>
      </c>
      <c r="AH713" s="37">
        <f>IF(AND(AH423&lt;=$I138,AH423&gt;$J138),Tarification!$D$8,IF(AND(AH423&lt;=$J138,AH423&gt;$K138),Tarification!$D$9,IF(AND(AH423&lt;=$K138,AH423&gt;0),Tarification!$D$10,0)))</f>
        <v>0</v>
      </c>
      <c r="AI713" s="37">
        <f>IF(AND(AI423&lt;=$I138,AI423&gt;$J138),Tarification!$D$8,IF(AND(AI423&lt;=$J138,AI423&gt;$K138),Tarification!$D$9,IF(AND(AI423&lt;=$K138,AI423&gt;0),Tarification!$D$10,0)))</f>
        <v>0</v>
      </c>
      <c r="AJ713" s="37">
        <f>IF(AND(AJ423&lt;=$I138,AJ423&gt;$J138),Tarification!$D$8,IF(AND(AJ423&lt;=$J138,AJ423&gt;$K138),Tarification!$D$9,IF(AND(AJ423&lt;=$K138,AJ423&gt;0),Tarification!$D$10,0)))</f>
        <v>0</v>
      </c>
      <c r="AK713" s="37">
        <f>IF(AND(AK423&lt;=$I138,AK423&gt;$J138),Tarification!$D$8,IF(AND(AK423&lt;=$J138,AK423&gt;$K138),Tarification!$D$9,IF(AND(AK423&lt;=$K138,AK423&gt;0),Tarification!$D$10,0)))</f>
        <v>0</v>
      </c>
      <c r="AL713" s="37">
        <f>IF(AND(AL423&lt;=$I138,AL423&gt;$J138),Tarification!$D$8,IF(AND(AL423&lt;=$J138,AL423&gt;$K138),Tarification!$D$9,IF(AND(AL423&lt;=$K138,AL423&gt;0),Tarification!$D$10,0)))</f>
        <v>0</v>
      </c>
      <c r="AM713" s="37">
        <f>IF(AND(AM423&lt;=$I138,AM423&gt;$J138),Tarification!$D$8,IF(AND(AM423&lt;=$J138,AM423&gt;$K138),Tarification!$D$9,IF(AND(AM423&lt;=$K138,AM423&gt;0),Tarification!$D$10,0)))</f>
        <v>0</v>
      </c>
      <c r="AN713" s="37">
        <f>IF(AND(AN423&lt;=$I138,AN423&gt;$J138),Tarification!$D$8,IF(AND(AN423&lt;=$J138,AN423&gt;$K138),Tarification!$D$9,IF(AND(AN423&lt;=$K138,AN423&gt;0),Tarification!$D$10,0)))</f>
        <v>0</v>
      </c>
      <c r="AQ713" s="101">
        <f t="shared" si="150"/>
        <v>0</v>
      </c>
    </row>
    <row r="714" spans="14:43" ht="15.6">
      <c r="N714" s="39" t="s">
        <v>27</v>
      </c>
      <c r="O714" s="39" t="s">
        <v>542</v>
      </c>
      <c r="P714" t="s">
        <v>544</v>
      </c>
      <c r="Q714" s="39"/>
      <c r="V714" s="37">
        <f>IF(AND(V424&lt;=$I139,V424&gt;$J139),Tarification!$D$8,IF(AND(V424&lt;=$J139,V424&gt;$K139),Tarification!$D$9,IF(AND(V424&lt;=$K139,V424&gt;0),Tarification!$D$10,0)))</f>
        <v>0</v>
      </c>
      <c r="W714" s="37">
        <f>IF(AND(W424&lt;=$I139,W424&gt;$J139),Tarification!$D$8,IF(AND(W424&lt;=$J139,W424&gt;$K139),Tarification!$D$9,IF(AND(W424&lt;=$K139,W424&gt;0),Tarification!$D$10,0)))</f>
        <v>50000</v>
      </c>
      <c r="X714" s="37">
        <f>IF(AND(X424&lt;=$I139,X424&gt;$J139),Tarification!$D$8,IF(AND(X424&lt;=$J139,X424&gt;$K139),Tarification!$D$9,IF(AND(X424&lt;=$K139,X424&gt;0),Tarification!$D$10,0)))</f>
        <v>0</v>
      </c>
      <c r="Y714" s="37">
        <f>IF(AND(Y424&lt;=$I139,Y424&gt;$J139),Tarification!$D$8,IF(AND(Y424&lt;=$J139,Y424&gt;$K139),Tarification!$D$9,IF(AND(Y424&lt;=$K139,Y424&gt;0),Tarification!$D$10,0)))</f>
        <v>0</v>
      </c>
      <c r="Z714" s="37">
        <f>IF(AND(Z424&lt;=$I139,Z424&gt;$J139),Tarification!$D$8,IF(AND(Z424&lt;=$J139,Z424&gt;$K139),Tarification!$D$9,IF(AND(Z424&lt;=$K139,Z424&gt;0),Tarification!$D$10,0)))</f>
        <v>50000</v>
      </c>
      <c r="AA714" s="37">
        <f>IF(AND(AA424&lt;=$I139,AA424&gt;$J139),Tarification!$D$8,IF(AND(AA424&lt;=$J139,AA424&gt;$K139),Tarification!$D$9,IF(AND(AA424&lt;=$K139,AA424&gt;0),Tarification!$D$10,0)))</f>
        <v>50000</v>
      </c>
      <c r="AB714" s="37">
        <f>IF(AND(AB424&lt;=$I139,AB424&gt;$J139),Tarification!$D$8,IF(AND(AB424&lt;=$J139,AB424&gt;$K139),Tarification!$D$9,IF(AND(AB424&lt;=$K139,AB424&gt;0),Tarification!$D$10,0)))</f>
        <v>0</v>
      </c>
      <c r="AC714" s="37">
        <f>IF(AND(AC424&lt;=$I139,AC424&gt;$J139),Tarification!$D$8,IF(AND(AC424&lt;=$J139,AC424&gt;$K139),Tarification!$D$9,IF(AND(AC424&lt;=$K139,AC424&gt;0),Tarification!$D$10,0)))</f>
        <v>0</v>
      </c>
      <c r="AD714" s="37">
        <f>IF(AND(AD424&lt;=$I139,AD424&gt;$J139),Tarification!$D$8,IF(AND(AD424&lt;=$J139,AD424&gt;$K139),Tarification!$D$9,IF(AND(AD424&lt;=$K139,AD424&gt;0),Tarification!$D$10,0)))</f>
        <v>50000</v>
      </c>
      <c r="AE714" s="37">
        <f>IF(AND(AE424&lt;=$I139,AE424&gt;$J139),Tarification!$D$8,IF(AND(AE424&lt;=$J139,AE424&gt;$K139),Tarification!$D$9,IF(AND(AE424&lt;=$K139,AE424&gt;0),Tarification!$D$10,0)))</f>
        <v>0</v>
      </c>
      <c r="AF714" s="37">
        <f>IF(AND(AF424&lt;=$I139,AF424&gt;$J139),Tarification!$D$8,IF(AND(AF424&lt;=$J139,AF424&gt;$K139),Tarification!$D$9,IF(AND(AF424&lt;=$K139,AF424&gt;0),Tarification!$D$10,0)))</f>
        <v>50000</v>
      </c>
      <c r="AG714" s="37">
        <f>IF(AND(AG424&lt;=$I139,AG424&gt;$J139),Tarification!$D$8,IF(AND(AG424&lt;=$J139,AG424&gt;$K139),Tarification!$D$9,IF(AND(AG424&lt;=$K139,AG424&gt;0),Tarification!$D$10,0)))</f>
        <v>0</v>
      </c>
      <c r="AH714" s="37">
        <f>IF(AND(AH424&lt;=$I139,AH424&gt;$J139),Tarification!$D$8,IF(AND(AH424&lt;=$J139,AH424&gt;$K139),Tarification!$D$9,IF(AND(AH424&lt;=$K139,AH424&gt;0),Tarification!$D$10,0)))</f>
        <v>0</v>
      </c>
      <c r="AI714" s="37">
        <f>IF(AND(AI424&lt;=$I139,AI424&gt;$J139),Tarification!$D$8,IF(AND(AI424&lt;=$J139,AI424&gt;$K139),Tarification!$D$9,IF(AND(AI424&lt;=$K139,AI424&gt;0),Tarification!$D$10,0)))</f>
        <v>0</v>
      </c>
      <c r="AJ714" s="37">
        <f>IF(AND(AJ424&lt;=$I139,AJ424&gt;$J139),Tarification!$D$8,IF(AND(AJ424&lt;=$J139,AJ424&gt;$K139),Tarification!$D$9,IF(AND(AJ424&lt;=$K139,AJ424&gt;0),Tarification!$D$10,0)))</f>
        <v>0</v>
      </c>
      <c r="AK714" s="37">
        <f>IF(AND(AK424&lt;=$I139,AK424&gt;$J139),Tarification!$D$8,IF(AND(AK424&lt;=$J139,AK424&gt;$K139),Tarification!$D$9,IF(AND(AK424&lt;=$K139,AK424&gt;0),Tarification!$D$10,0)))</f>
        <v>0</v>
      </c>
      <c r="AL714" s="37">
        <f>IF(AND(AL424&lt;=$I139,AL424&gt;$J139),Tarification!$D$8,IF(AND(AL424&lt;=$J139,AL424&gt;$K139),Tarification!$D$9,IF(AND(AL424&lt;=$K139,AL424&gt;0),Tarification!$D$10,0)))</f>
        <v>0</v>
      </c>
      <c r="AM714" s="37">
        <f>IF(AND(AM424&lt;=$I139,AM424&gt;$J139),Tarification!$D$8,IF(AND(AM424&lt;=$J139,AM424&gt;$K139),Tarification!$D$9,IF(AND(AM424&lt;=$K139,AM424&gt;0),Tarification!$D$10,0)))</f>
        <v>0</v>
      </c>
      <c r="AN714" s="37">
        <f>IF(AND(AN424&lt;=$I139,AN424&gt;$J139),Tarification!$D$8,IF(AND(AN424&lt;=$J139,AN424&gt;$K139),Tarification!$D$9,IF(AND(AN424&lt;=$K139,AN424&gt;0),Tarification!$D$10,0)))</f>
        <v>0</v>
      </c>
      <c r="AQ714" s="101">
        <f t="shared" si="150"/>
        <v>13157.894736842105</v>
      </c>
    </row>
    <row r="715" spans="14:43" ht="15.6">
      <c r="N715" s="39" t="s">
        <v>27</v>
      </c>
      <c r="O715" s="39" t="s">
        <v>613</v>
      </c>
      <c r="P715" t="s">
        <v>743</v>
      </c>
      <c r="Q715" s="39"/>
      <c r="V715" s="37">
        <f>IF(AND(V425&lt;=$I140,V425&gt;$J140),Tarification!$D$8,IF(AND(V425&lt;=$J140,V425&gt;$K140),Tarification!$D$9,IF(AND(V425&lt;=$K140,V425&gt;0),Tarification!$D$10,0)))</f>
        <v>0</v>
      </c>
      <c r="W715" s="37">
        <f>IF(AND(W425&lt;=$I140,W425&gt;$J140),Tarification!$D$8,IF(AND(W425&lt;=$J140,W425&gt;$K140),Tarification!$D$9,IF(AND(W425&lt;=$K140,W425&gt;0),Tarification!$D$10,0)))</f>
        <v>0</v>
      </c>
      <c r="X715" s="37">
        <f>IF(AND(X425&lt;=$I140,X425&gt;$J140),Tarification!$D$8,IF(AND(X425&lt;=$J140,X425&gt;$K140),Tarification!$D$9,IF(AND(X425&lt;=$K140,X425&gt;0),Tarification!$D$10,0)))</f>
        <v>0</v>
      </c>
      <c r="Y715" s="37">
        <f>IF(AND(Y425&lt;=$I140,Y425&gt;$J140),Tarification!$D$8,IF(AND(Y425&lt;=$J140,Y425&gt;$K140),Tarification!$D$9,IF(AND(Y425&lt;=$K140,Y425&gt;0),Tarification!$D$10,0)))</f>
        <v>0</v>
      </c>
      <c r="Z715" s="37">
        <f>IF(AND(Z425&lt;=$I140,Z425&gt;$J140),Tarification!$D$8,IF(AND(Z425&lt;=$J140,Z425&gt;$K140),Tarification!$D$9,IF(AND(Z425&lt;=$K140,Z425&gt;0),Tarification!$D$10,0)))</f>
        <v>0</v>
      </c>
      <c r="AA715" s="37">
        <f>IF(AND(AA425&lt;=$I140,AA425&gt;$J140),Tarification!$D$8,IF(AND(AA425&lt;=$J140,AA425&gt;$K140),Tarification!$D$9,IF(AND(AA425&lt;=$K140,AA425&gt;0),Tarification!$D$10,0)))</f>
        <v>0</v>
      </c>
      <c r="AB715" s="37">
        <f>IF(AND(AB425&lt;=$I140,AB425&gt;$J140),Tarification!$D$8,IF(AND(AB425&lt;=$J140,AB425&gt;$K140),Tarification!$D$9,IF(AND(AB425&lt;=$K140,AB425&gt;0),Tarification!$D$10,0)))</f>
        <v>0</v>
      </c>
      <c r="AC715" s="37">
        <f>IF(AND(AC425&lt;=$I140,AC425&gt;$J140),Tarification!$D$8,IF(AND(AC425&lt;=$J140,AC425&gt;$K140),Tarification!$D$9,IF(AND(AC425&lt;=$K140,AC425&gt;0),Tarification!$D$10,0)))</f>
        <v>125000</v>
      </c>
      <c r="AD715" s="37">
        <f>IF(AND(AD425&lt;=$I140,AD425&gt;$J140),Tarification!$D$8,IF(AND(AD425&lt;=$J140,AD425&gt;$K140),Tarification!$D$9,IF(AND(AD425&lt;=$K140,AD425&gt;0),Tarification!$D$10,0)))</f>
        <v>50000</v>
      </c>
      <c r="AE715" s="37">
        <f>IF(AND(AE425&lt;=$I140,AE425&gt;$J140),Tarification!$D$8,IF(AND(AE425&lt;=$J140,AE425&gt;$K140),Tarification!$D$9,IF(AND(AE425&lt;=$K140,AE425&gt;0),Tarification!$D$10,0)))</f>
        <v>125000</v>
      </c>
      <c r="AF715" s="37">
        <f>IF(AND(AF425&lt;=$I140,AF425&gt;$J140),Tarification!$D$8,IF(AND(AF425&lt;=$J140,AF425&gt;$K140),Tarification!$D$9,IF(AND(AF425&lt;=$K140,AF425&gt;0),Tarification!$D$10,0)))</f>
        <v>0</v>
      </c>
      <c r="AG715" s="37">
        <f>IF(AND(AG425&lt;=$I140,AG425&gt;$J140),Tarification!$D$8,IF(AND(AG425&lt;=$J140,AG425&gt;$K140),Tarification!$D$9,IF(AND(AG425&lt;=$K140,AG425&gt;0),Tarification!$D$10,0)))</f>
        <v>50000</v>
      </c>
      <c r="AH715" s="37">
        <f>IF(AND(AH425&lt;=$I140,AH425&gt;$J140),Tarification!$D$8,IF(AND(AH425&lt;=$J140,AH425&gt;$K140),Tarification!$D$9,IF(AND(AH425&lt;=$K140,AH425&gt;0),Tarification!$D$10,0)))</f>
        <v>50000</v>
      </c>
      <c r="AI715" s="37">
        <f>IF(AND(AI425&lt;=$I140,AI425&gt;$J140),Tarification!$D$8,IF(AND(AI425&lt;=$J140,AI425&gt;$K140),Tarification!$D$9,IF(AND(AI425&lt;=$K140,AI425&gt;0),Tarification!$D$10,0)))</f>
        <v>0</v>
      </c>
      <c r="AJ715" s="37">
        <f>IF(AND(AJ425&lt;=$I140,AJ425&gt;$J140),Tarification!$D$8,IF(AND(AJ425&lt;=$J140,AJ425&gt;$K140),Tarification!$D$9,IF(AND(AJ425&lt;=$K140,AJ425&gt;0),Tarification!$D$10,0)))</f>
        <v>0</v>
      </c>
      <c r="AK715" s="37">
        <f>IF(AND(AK425&lt;=$I140,AK425&gt;$J140),Tarification!$D$8,IF(AND(AK425&lt;=$J140,AK425&gt;$K140),Tarification!$D$9,IF(AND(AK425&lt;=$K140,AK425&gt;0),Tarification!$D$10,0)))</f>
        <v>0</v>
      </c>
      <c r="AL715" s="37">
        <f>IF(AND(AL425&lt;=$I140,AL425&gt;$J140),Tarification!$D$8,IF(AND(AL425&lt;=$J140,AL425&gt;$K140),Tarification!$D$9,IF(AND(AL425&lt;=$K140,AL425&gt;0),Tarification!$D$10,0)))</f>
        <v>0</v>
      </c>
      <c r="AM715" s="37">
        <f>IF(AND(AM425&lt;=$I140,AM425&gt;$J140),Tarification!$D$8,IF(AND(AM425&lt;=$J140,AM425&gt;$K140),Tarification!$D$9,IF(AND(AM425&lt;=$K140,AM425&gt;0),Tarification!$D$10,0)))</f>
        <v>0</v>
      </c>
      <c r="AN715" s="37">
        <f>IF(AND(AN425&lt;=$I140,AN425&gt;$J140),Tarification!$D$8,IF(AND(AN425&lt;=$J140,AN425&gt;$K140),Tarification!$D$9,IF(AND(AN425&lt;=$K140,AN425&gt;0),Tarification!$D$10,0)))</f>
        <v>250000</v>
      </c>
      <c r="AQ715" s="101">
        <f t="shared" si="150"/>
        <v>34210.526315789473</v>
      </c>
    </row>
    <row r="716" spans="14:43" ht="15.6">
      <c r="N716" s="39" t="s">
        <v>27</v>
      </c>
      <c r="O716" s="39" t="s">
        <v>517</v>
      </c>
      <c r="P716" t="s">
        <v>744</v>
      </c>
      <c r="Q716" s="39"/>
      <c r="V716" s="37">
        <f>IF(AND(V426&lt;=$I141,V426&gt;$J141),Tarification!$D$8,IF(AND(V426&lt;=$J141,V426&gt;$K141),Tarification!$D$9,IF(AND(V426&lt;=$K141,V426&gt;0),Tarification!$D$10,0)))</f>
        <v>0</v>
      </c>
      <c r="W716" s="37">
        <f>IF(AND(W426&lt;=$I141,W426&gt;$J141),Tarification!$D$8,IF(AND(W426&lt;=$J141,W426&gt;$K141),Tarification!$D$9,IF(AND(W426&lt;=$K141,W426&gt;0),Tarification!$D$10,0)))</f>
        <v>0</v>
      </c>
      <c r="X716" s="37">
        <f>IF(AND(X426&lt;=$I141,X426&gt;$J141),Tarification!$D$8,IF(AND(X426&lt;=$J141,X426&gt;$K141),Tarification!$D$9,IF(AND(X426&lt;=$K141,X426&gt;0),Tarification!$D$10,0)))</f>
        <v>0</v>
      </c>
      <c r="Y716" s="37">
        <f>IF(AND(Y426&lt;=$I141,Y426&gt;$J141),Tarification!$D$8,IF(AND(Y426&lt;=$J141,Y426&gt;$K141),Tarification!$D$9,IF(AND(Y426&lt;=$K141,Y426&gt;0),Tarification!$D$10,0)))</f>
        <v>0</v>
      </c>
      <c r="Z716" s="37">
        <f>IF(AND(Z426&lt;=$I141,Z426&gt;$J141),Tarification!$D$8,IF(AND(Z426&lt;=$J141,Z426&gt;$K141),Tarification!$D$9,IF(AND(Z426&lt;=$K141,Z426&gt;0),Tarification!$D$10,0)))</f>
        <v>0</v>
      </c>
      <c r="AA716" s="37">
        <f>IF(AND(AA426&lt;=$I141,AA426&gt;$J141),Tarification!$D$8,IF(AND(AA426&lt;=$J141,AA426&gt;$K141),Tarification!$D$9,IF(AND(AA426&lt;=$K141,AA426&gt;0),Tarification!$D$10,0)))</f>
        <v>0</v>
      </c>
      <c r="AB716" s="37">
        <f>IF(AND(AB426&lt;=$I141,AB426&gt;$J141),Tarification!$D$8,IF(AND(AB426&lt;=$J141,AB426&gt;$K141),Tarification!$D$9,IF(AND(AB426&lt;=$K141,AB426&gt;0),Tarification!$D$10,0)))</f>
        <v>0</v>
      </c>
      <c r="AC716" s="37">
        <f>IF(AND(AC426&lt;=$I141,AC426&gt;$J141),Tarification!$D$8,IF(AND(AC426&lt;=$J141,AC426&gt;$K141),Tarification!$D$9,IF(AND(AC426&lt;=$K141,AC426&gt;0),Tarification!$D$10,0)))</f>
        <v>50000</v>
      </c>
      <c r="AD716" s="37">
        <f>IF(AND(AD426&lt;=$I141,AD426&gt;$J141),Tarification!$D$8,IF(AND(AD426&lt;=$J141,AD426&gt;$K141),Tarification!$D$9,IF(AND(AD426&lt;=$K141,AD426&gt;0),Tarification!$D$10,0)))</f>
        <v>125000</v>
      </c>
      <c r="AE716" s="37">
        <f>IF(AND(AE426&lt;=$I141,AE426&gt;$J141),Tarification!$D$8,IF(AND(AE426&lt;=$J141,AE426&gt;$K141),Tarification!$D$9,IF(AND(AE426&lt;=$K141,AE426&gt;0),Tarification!$D$10,0)))</f>
        <v>50000</v>
      </c>
      <c r="AF716" s="37">
        <f>IF(AND(AF426&lt;=$I141,AF426&gt;$J141),Tarification!$D$8,IF(AND(AF426&lt;=$J141,AF426&gt;$K141),Tarification!$D$9,IF(AND(AF426&lt;=$K141,AF426&gt;0),Tarification!$D$10,0)))</f>
        <v>125000</v>
      </c>
      <c r="AG716" s="37">
        <f>IF(AND(AG426&lt;=$I141,AG426&gt;$J141),Tarification!$D$8,IF(AND(AG426&lt;=$J141,AG426&gt;$K141),Tarification!$D$9,IF(AND(AG426&lt;=$K141,AG426&gt;0),Tarification!$D$10,0)))</f>
        <v>0</v>
      </c>
      <c r="AH716" s="37">
        <f>IF(AND(AH426&lt;=$I141,AH426&gt;$J141),Tarification!$D$8,IF(AND(AH426&lt;=$J141,AH426&gt;$K141),Tarification!$D$9,IF(AND(AH426&lt;=$K141,AH426&gt;0),Tarification!$D$10,0)))</f>
        <v>0</v>
      </c>
      <c r="AI716" s="37">
        <f>IF(AND(AI426&lt;=$I141,AI426&gt;$J141),Tarification!$D$8,IF(AND(AI426&lt;=$J141,AI426&gt;$K141),Tarification!$D$9,IF(AND(AI426&lt;=$K141,AI426&gt;0),Tarification!$D$10,0)))</f>
        <v>0</v>
      </c>
      <c r="AJ716" s="37">
        <f>IF(AND(AJ426&lt;=$I141,AJ426&gt;$J141),Tarification!$D$8,IF(AND(AJ426&lt;=$J141,AJ426&gt;$K141),Tarification!$D$9,IF(AND(AJ426&lt;=$K141,AJ426&gt;0),Tarification!$D$10,0)))</f>
        <v>50000</v>
      </c>
      <c r="AK716" s="37">
        <f>IF(AND(AK426&lt;=$I141,AK426&gt;$J141),Tarification!$D$8,IF(AND(AK426&lt;=$J141,AK426&gt;$K141),Tarification!$D$9,IF(AND(AK426&lt;=$K141,AK426&gt;0),Tarification!$D$10,0)))</f>
        <v>0</v>
      </c>
      <c r="AL716" s="37">
        <f>IF(AND(AL426&lt;=$I141,AL426&gt;$J141),Tarification!$D$8,IF(AND(AL426&lt;=$J141,AL426&gt;$K141),Tarification!$D$9,IF(AND(AL426&lt;=$K141,AL426&gt;0),Tarification!$D$10,0)))</f>
        <v>0</v>
      </c>
      <c r="AM716" s="37">
        <f>IF(AND(AM426&lt;=$I141,AM426&gt;$J141),Tarification!$D$8,IF(AND(AM426&lt;=$J141,AM426&gt;$K141),Tarification!$D$9,IF(AND(AM426&lt;=$K141,AM426&gt;0),Tarification!$D$10,0)))</f>
        <v>0</v>
      </c>
      <c r="AN716" s="37">
        <f>IF(AND(AN426&lt;=$I141,AN426&gt;$J141),Tarification!$D$8,IF(AND(AN426&lt;=$J141,AN426&gt;$K141),Tarification!$D$9,IF(AND(AN426&lt;=$K141,AN426&gt;0),Tarification!$D$10,0)))</f>
        <v>125000</v>
      </c>
      <c r="AQ716" s="101">
        <f t="shared" si="150"/>
        <v>27631.57894736842</v>
      </c>
    </row>
    <row r="717" spans="14:43" ht="15.6">
      <c r="N717" s="39" t="s">
        <v>27</v>
      </c>
      <c r="O717" s="39" t="s">
        <v>561</v>
      </c>
      <c r="P717" t="s">
        <v>745</v>
      </c>
      <c r="Q717" s="39"/>
      <c r="V717" s="37">
        <f>IF(AND(V427&lt;=$I142,V427&gt;$J142),Tarification!$D$8,IF(AND(V427&lt;=$J142,V427&gt;$K142),Tarification!$D$9,IF(AND(V427&lt;=$K142,V427&gt;0),Tarification!$D$10,0)))</f>
        <v>0</v>
      </c>
      <c r="W717" s="37">
        <f>IF(AND(W427&lt;=$I142,W427&gt;$J142),Tarification!$D$8,IF(AND(W427&lt;=$J142,W427&gt;$K142),Tarification!$D$9,IF(AND(W427&lt;=$K142,W427&gt;0),Tarification!$D$10,0)))</f>
        <v>0</v>
      </c>
      <c r="X717" s="37">
        <f>IF(AND(X427&lt;=$I142,X427&gt;$J142),Tarification!$D$8,IF(AND(X427&lt;=$J142,X427&gt;$K142),Tarification!$D$9,IF(AND(X427&lt;=$K142,X427&gt;0),Tarification!$D$10,0)))</f>
        <v>0</v>
      </c>
      <c r="Y717" s="37">
        <f>IF(AND(Y427&lt;=$I142,Y427&gt;$J142),Tarification!$D$8,IF(AND(Y427&lt;=$J142,Y427&gt;$K142),Tarification!$D$9,IF(AND(Y427&lt;=$K142,Y427&gt;0),Tarification!$D$10,0)))</f>
        <v>0</v>
      </c>
      <c r="Z717" s="37">
        <f>IF(AND(Z427&lt;=$I142,Z427&gt;$J142),Tarification!$D$8,IF(AND(Z427&lt;=$J142,Z427&gt;$K142),Tarification!$D$9,IF(AND(Z427&lt;=$K142,Z427&gt;0),Tarification!$D$10,0)))</f>
        <v>0</v>
      </c>
      <c r="AA717" s="37">
        <f>IF(AND(AA427&lt;=$I142,AA427&gt;$J142),Tarification!$D$8,IF(AND(AA427&lt;=$J142,AA427&gt;$K142),Tarification!$D$9,IF(AND(AA427&lt;=$K142,AA427&gt;0),Tarification!$D$10,0)))</f>
        <v>0</v>
      </c>
      <c r="AB717" s="37">
        <f>IF(AND(AB427&lt;=$I142,AB427&gt;$J142),Tarification!$D$8,IF(AND(AB427&lt;=$J142,AB427&gt;$K142),Tarification!$D$9,IF(AND(AB427&lt;=$K142,AB427&gt;0),Tarification!$D$10,0)))</f>
        <v>0</v>
      </c>
      <c r="AC717" s="37">
        <f>IF(AND(AC427&lt;=$I142,AC427&gt;$J142),Tarification!$D$8,IF(AND(AC427&lt;=$J142,AC427&gt;$K142),Tarification!$D$9,IF(AND(AC427&lt;=$K142,AC427&gt;0),Tarification!$D$10,0)))</f>
        <v>0</v>
      </c>
      <c r="AD717" s="37">
        <f>IF(AND(AD427&lt;=$I142,AD427&gt;$J142),Tarification!$D$8,IF(AND(AD427&lt;=$J142,AD427&gt;$K142),Tarification!$D$9,IF(AND(AD427&lt;=$K142,AD427&gt;0),Tarification!$D$10,0)))</f>
        <v>0</v>
      </c>
      <c r="AE717" s="37">
        <f>IF(AND(AE427&lt;=$I142,AE427&gt;$J142),Tarification!$D$8,IF(AND(AE427&lt;=$J142,AE427&gt;$K142),Tarification!$D$9,IF(AND(AE427&lt;=$K142,AE427&gt;0),Tarification!$D$10,0)))</f>
        <v>0</v>
      </c>
      <c r="AF717" s="37">
        <f>IF(AND(AF427&lt;=$I142,AF427&gt;$J142),Tarification!$D$8,IF(AND(AF427&lt;=$J142,AF427&gt;$K142),Tarification!$D$9,IF(AND(AF427&lt;=$K142,AF427&gt;0),Tarification!$D$10,0)))</f>
        <v>0</v>
      </c>
      <c r="AG717" s="37">
        <f>IF(AND(AG427&lt;=$I142,AG427&gt;$J142),Tarification!$D$8,IF(AND(AG427&lt;=$J142,AG427&gt;$K142),Tarification!$D$9,IF(AND(AG427&lt;=$K142,AG427&gt;0),Tarification!$D$10,0)))</f>
        <v>0</v>
      </c>
      <c r="AH717" s="37">
        <f>IF(AND(AH427&lt;=$I142,AH427&gt;$J142),Tarification!$D$8,IF(AND(AH427&lt;=$J142,AH427&gt;$K142),Tarification!$D$9,IF(AND(AH427&lt;=$K142,AH427&gt;0),Tarification!$D$10,0)))</f>
        <v>0</v>
      </c>
      <c r="AI717" s="37">
        <f>IF(AND(AI427&lt;=$I142,AI427&gt;$J142),Tarification!$D$8,IF(AND(AI427&lt;=$J142,AI427&gt;$K142),Tarification!$D$9,IF(AND(AI427&lt;=$K142,AI427&gt;0),Tarification!$D$10,0)))</f>
        <v>0</v>
      </c>
      <c r="AJ717" s="37">
        <f>IF(AND(AJ427&lt;=$I142,AJ427&gt;$J142),Tarification!$D$8,IF(AND(AJ427&lt;=$J142,AJ427&gt;$K142),Tarification!$D$9,IF(AND(AJ427&lt;=$K142,AJ427&gt;0),Tarification!$D$10,0)))</f>
        <v>0</v>
      </c>
      <c r="AK717" s="37">
        <f>IF(AND(AK427&lt;=$I142,AK427&gt;$J142),Tarification!$D$8,IF(AND(AK427&lt;=$J142,AK427&gt;$K142),Tarification!$D$9,IF(AND(AK427&lt;=$K142,AK427&gt;0),Tarification!$D$10,0)))</f>
        <v>0</v>
      </c>
      <c r="AL717" s="37">
        <f>IF(AND(AL427&lt;=$I142,AL427&gt;$J142),Tarification!$D$8,IF(AND(AL427&lt;=$J142,AL427&gt;$K142),Tarification!$D$9,IF(AND(AL427&lt;=$K142,AL427&gt;0),Tarification!$D$10,0)))</f>
        <v>0</v>
      </c>
      <c r="AM717" s="37">
        <f>IF(AND(AM427&lt;=$I142,AM427&gt;$J142),Tarification!$D$8,IF(AND(AM427&lt;=$J142,AM427&gt;$K142),Tarification!$D$9,IF(AND(AM427&lt;=$K142,AM427&gt;0),Tarification!$D$10,0)))</f>
        <v>0</v>
      </c>
      <c r="AN717" s="37">
        <f>IF(AND(AN427&lt;=$I142,AN427&gt;$J142),Tarification!$D$8,IF(AND(AN427&lt;=$J142,AN427&gt;$K142),Tarification!$D$9,IF(AND(AN427&lt;=$K142,AN427&gt;0),Tarification!$D$10,0)))</f>
        <v>0</v>
      </c>
      <c r="AQ717" s="101">
        <f t="shared" si="150"/>
        <v>0</v>
      </c>
    </row>
    <row r="718" spans="14:43" ht="15.6">
      <c r="N718" s="39" t="s">
        <v>27</v>
      </c>
      <c r="O718" s="39" t="s">
        <v>445</v>
      </c>
      <c r="P718" t="s">
        <v>746</v>
      </c>
      <c r="Q718" s="39"/>
      <c r="V718" s="37">
        <f>IF(AND(V428&lt;=$I143,V428&gt;$J143),Tarification!$D$8,IF(AND(V428&lt;=$J143,V428&gt;$K143),Tarification!$D$9,IF(AND(V428&lt;=$K143,V428&gt;0),Tarification!$D$10,0)))</f>
        <v>0</v>
      </c>
      <c r="W718" s="37">
        <f>IF(AND(W428&lt;=$I143,W428&gt;$J143),Tarification!$D$8,IF(AND(W428&lt;=$J143,W428&gt;$K143),Tarification!$D$9,IF(AND(W428&lt;=$K143,W428&gt;0),Tarification!$D$10,0)))</f>
        <v>0</v>
      </c>
      <c r="X718" s="37">
        <f>IF(AND(X428&lt;=$I143,X428&gt;$J143),Tarification!$D$8,IF(AND(X428&lt;=$J143,X428&gt;$K143),Tarification!$D$9,IF(AND(X428&lt;=$K143,X428&gt;0),Tarification!$D$10,0)))</f>
        <v>0</v>
      </c>
      <c r="Y718" s="37">
        <f>IF(AND(Y428&lt;=$I143,Y428&gt;$J143),Tarification!$D$8,IF(AND(Y428&lt;=$J143,Y428&gt;$K143),Tarification!$D$9,IF(AND(Y428&lt;=$K143,Y428&gt;0),Tarification!$D$10,0)))</f>
        <v>0</v>
      </c>
      <c r="Z718" s="37">
        <f>IF(AND(Z428&lt;=$I143,Z428&gt;$J143),Tarification!$D$8,IF(AND(Z428&lt;=$J143,Z428&gt;$K143),Tarification!$D$9,IF(AND(Z428&lt;=$K143,Z428&gt;0),Tarification!$D$10,0)))</f>
        <v>0</v>
      </c>
      <c r="AA718" s="37">
        <f>IF(AND(AA428&lt;=$I143,AA428&gt;$J143),Tarification!$D$8,IF(AND(AA428&lt;=$J143,AA428&gt;$K143),Tarification!$D$9,IF(AND(AA428&lt;=$K143,AA428&gt;0),Tarification!$D$10,0)))</f>
        <v>0</v>
      </c>
      <c r="AB718" s="37">
        <f>IF(AND(AB428&lt;=$I143,AB428&gt;$J143),Tarification!$D$8,IF(AND(AB428&lt;=$J143,AB428&gt;$K143),Tarification!$D$9,IF(AND(AB428&lt;=$K143,AB428&gt;0),Tarification!$D$10,0)))</f>
        <v>0</v>
      </c>
      <c r="AC718" s="37">
        <f>IF(AND(AC428&lt;=$I143,AC428&gt;$J143),Tarification!$D$8,IF(AND(AC428&lt;=$J143,AC428&gt;$K143),Tarification!$D$9,IF(AND(AC428&lt;=$K143,AC428&gt;0),Tarification!$D$10,0)))</f>
        <v>0</v>
      </c>
      <c r="AD718" s="37">
        <f>IF(AND(AD428&lt;=$I143,AD428&gt;$J143),Tarification!$D$8,IF(AND(AD428&lt;=$J143,AD428&gt;$K143),Tarification!$D$9,IF(AND(AD428&lt;=$K143,AD428&gt;0),Tarification!$D$10,0)))</f>
        <v>50000</v>
      </c>
      <c r="AE718" s="37">
        <f>IF(AND(AE428&lt;=$I143,AE428&gt;$J143),Tarification!$D$8,IF(AND(AE428&lt;=$J143,AE428&gt;$K143),Tarification!$D$9,IF(AND(AE428&lt;=$K143,AE428&gt;0),Tarification!$D$10,0)))</f>
        <v>0</v>
      </c>
      <c r="AF718" s="37">
        <f>IF(AND(AF428&lt;=$I143,AF428&gt;$J143),Tarification!$D$8,IF(AND(AF428&lt;=$J143,AF428&gt;$K143),Tarification!$D$9,IF(AND(AF428&lt;=$K143,AF428&gt;0),Tarification!$D$10,0)))</f>
        <v>50000</v>
      </c>
      <c r="AG718" s="37">
        <f>IF(AND(AG428&lt;=$I143,AG428&gt;$J143),Tarification!$D$8,IF(AND(AG428&lt;=$J143,AG428&gt;$K143),Tarification!$D$9,IF(AND(AG428&lt;=$K143,AG428&gt;0),Tarification!$D$10,0)))</f>
        <v>0</v>
      </c>
      <c r="AH718" s="37">
        <f>IF(AND(AH428&lt;=$I143,AH428&gt;$J143),Tarification!$D$8,IF(AND(AH428&lt;=$J143,AH428&gt;$K143),Tarification!$D$9,IF(AND(AH428&lt;=$K143,AH428&gt;0),Tarification!$D$10,0)))</f>
        <v>0</v>
      </c>
      <c r="AI718" s="37">
        <f>IF(AND(AI428&lt;=$I143,AI428&gt;$J143),Tarification!$D$8,IF(AND(AI428&lt;=$J143,AI428&gt;$K143),Tarification!$D$9,IF(AND(AI428&lt;=$K143,AI428&gt;0),Tarification!$D$10,0)))</f>
        <v>0</v>
      </c>
      <c r="AJ718" s="37">
        <f>IF(AND(AJ428&lt;=$I143,AJ428&gt;$J143),Tarification!$D$8,IF(AND(AJ428&lt;=$J143,AJ428&gt;$K143),Tarification!$D$9,IF(AND(AJ428&lt;=$K143,AJ428&gt;0),Tarification!$D$10,0)))</f>
        <v>0</v>
      </c>
      <c r="AK718" s="37">
        <f>IF(AND(AK428&lt;=$I143,AK428&gt;$J143),Tarification!$D$8,IF(AND(AK428&lt;=$J143,AK428&gt;$K143),Tarification!$D$9,IF(AND(AK428&lt;=$K143,AK428&gt;0),Tarification!$D$10,0)))</f>
        <v>0</v>
      </c>
      <c r="AL718" s="37">
        <f>IF(AND(AL428&lt;=$I143,AL428&gt;$J143),Tarification!$D$8,IF(AND(AL428&lt;=$J143,AL428&gt;$K143),Tarification!$D$9,IF(AND(AL428&lt;=$K143,AL428&gt;0),Tarification!$D$10,0)))</f>
        <v>0</v>
      </c>
      <c r="AM718" s="37">
        <f>IF(AND(AM428&lt;=$I143,AM428&gt;$J143),Tarification!$D$8,IF(AND(AM428&lt;=$J143,AM428&gt;$K143),Tarification!$D$9,IF(AND(AM428&lt;=$K143,AM428&gt;0),Tarification!$D$10,0)))</f>
        <v>0</v>
      </c>
      <c r="AN718" s="37">
        <f>IF(AND(AN428&lt;=$I143,AN428&gt;$J143),Tarification!$D$8,IF(AND(AN428&lt;=$J143,AN428&gt;$K143),Tarification!$D$9,IF(AND(AN428&lt;=$K143,AN428&gt;0),Tarification!$D$10,0)))</f>
        <v>0</v>
      </c>
      <c r="AQ718" s="101">
        <f t="shared" si="150"/>
        <v>5263.1578947368425</v>
      </c>
    </row>
    <row r="719" spans="14:43" ht="15.6">
      <c r="N719" s="39" t="s">
        <v>27</v>
      </c>
      <c r="O719" s="39" t="s">
        <v>561</v>
      </c>
      <c r="P719" t="s">
        <v>747</v>
      </c>
      <c r="Q719" s="39"/>
      <c r="V719" s="37">
        <f>IF(AND(V429&lt;=$I144,V429&gt;$J144),Tarification!$D$8,IF(AND(V429&lt;=$J144,V429&gt;$K144),Tarification!$D$9,IF(AND(V429&lt;=$K144,V429&gt;0),Tarification!$D$10,0)))</f>
        <v>0</v>
      </c>
      <c r="W719" s="37">
        <f>IF(AND(W429&lt;=$I144,W429&gt;$J144),Tarification!$D$8,IF(AND(W429&lt;=$J144,W429&gt;$K144),Tarification!$D$9,IF(AND(W429&lt;=$K144,W429&gt;0),Tarification!$D$10,0)))</f>
        <v>0</v>
      </c>
      <c r="X719" s="37">
        <f>IF(AND(X429&lt;=$I144,X429&gt;$J144),Tarification!$D$8,IF(AND(X429&lt;=$J144,X429&gt;$K144),Tarification!$D$9,IF(AND(X429&lt;=$K144,X429&gt;0),Tarification!$D$10,0)))</f>
        <v>0</v>
      </c>
      <c r="Y719" s="37">
        <f>IF(AND(Y429&lt;=$I144,Y429&gt;$J144),Tarification!$D$8,IF(AND(Y429&lt;=$J144,Y429&gt;$K144),Tarification!$D$9,IF(AND(Y429&lt;=$K144,Y429&gt;0),Tarification!$D$10,0)))</f>
        <v>0</v>
      </c>
      <c r="Z719" s="37">
        <f>IF(AND(Z429&lt;=$I144,Z429&gt;$J144),Tarification!$D$8,IF(AND(Z429&lt;=$J144,Z429&gt;$K144),Tarification!$D$9,IF(AND(Z429&lt;=$K144,Z429&gt;0),Tarification!$D$10,0)))</f>
        <v>0</v>
      </c>
      <c r="AA719" s="37">
        <f>IF(AND(AA429&lt;=$I144,AA429&gt;$J144),Tarification!$D$8,IF(AND(AA429&lt;=$J144,AA429&gt;$K144),Tarification!$D$9,IF(AND(AA429&lt;=$K144,AA429&gt;0),Tarification!$D$10,0)))</f>
        <v>0</v>
      </c>
      <c r="AB719" s="37">
        <f>IF(AND(AB429&lt;=$I144,AB429&gt;$J144),Tarification!$D$8,IF(AND(AB429&lt;=$J144,AB429&gt;$K144),Tarification!$D$9,IF(AND(AB429&lt;=$K144,AB429&gt;0),Tarification!$D$10,0)))</f>
        <v>0</v>
      </c>
      <c r="AC719" s="37">
        <f>IF(AND(AC429&lt;=$I144,AC429&gt;$J144),Tarification!$D$8,IF(AND(AC429&lt;=$J144,AC429&gt;$K144),Tarification!$D$9,IF(AND(AC429&lt;=$K144,AC429&gt;0),Tarification!$D$10,0)))</f>
        <v>0</v>
      </c>
      <c r="AD719" s="37">
        <f>IF(AND(AD429&lt;=$I144,AD429&gt;$J144),Tarification!$D$8,IF(AND(AD429&lt;=$J144,AD429&gt;$K144),Tarification!$D$9,IF(AND(AD429&lt;=$K144,AD429&gt;0),Tarification!$D$10,0)))</f>
        <v>0</v>
      </c>
      <c r="AE719" s="37">
        <f>IF(AND(AE429&lt;=$I144,AE429&gt;$J144),Tarification!$D$8,IF(AND(AE429&lt;=$J144,AE429&gt;$K144),Tarification!$D$9,IF(AND(AE429&lt;=$K144,AE429&gt;0),Tarification!$D$10,0)))</f>
        <v>0</v>
      </c>
      <c r="AF719" s="37">
        <f>IF(AND(AF429&lt;=$I144,AF429&gt;$J144),Tarification!$D$8,IF(AND(AF429&lt;=$J144,AF429&gt;$K144),Tarification!$D$9,IF(AND(AF429&lt;=$K144,AF429&gt;0),Tarification!$D$10,0)))</f>
        <v>0</v>
      </c>
      <c r="AG719" s="37">
        <f>IF(AND(AG429&lt;=$I144,AG429&gt;$J144),Tarification!$D$8,IF(AND(AG429&lt;=$J144,AG429&gt;$K144),Tarification!$D$9,IF(AND(AG429&lt;=$K144,AG429&gt;0),Tarification!$D$10,0)))</f>
        <v>0</v>
      </c>
      <c r="AH719" s="37">
        <f>IF(AND(AH429&lt;=$I144,AH429&gt;$J144),Tarification!$D$8,IF(AND(AH429&lt;=$J144,AH429&gt;$K144),Tarification!$D$9,IF(AND(AH429&lt;=$K144,AH429&gt;0),Tarification!$D$10,0)))</f>
        <v>0</v>
      </c>
      <c r="AI719" s="37">
        <f>IF(AND(AI429&lt;=$I144,AI429&gt;$J144),Tarification!$D$8,IF(AND(AI429&lt;=$J144,AI429&gt;$K144),Tarification!$D$9,IF(AND(AI429&lt;=$K144,AI429&gt;0),Tarification!$D$10,0)))</f>
        <v>0</v>
      </c>
      <c r="AJ719" s="37">
        <f>IF(AND(AJ429&lt;=$I144,AJ429&gt;$J144),Tarification!$D$8,IF(AND(AJ429&lt;=$J144,AJ429&gt;$K144),Tarification!$D$9,IF(AND(AJ429&lt;=$K144,AJ429&gt;0),Tarification!$D$10,0)))</f>
        <v>0</v>
      </c>
      <c r="AK719" s="37">
        <f>IF(AND(AK429&lt;=$I144,AK429&gt;$J144),Tarification!$D$8,IF(AND(AK429&lt;=$J144,AK429&gt;$K144),Tarification!$D$9,IF(AND(AK429&lt;=$K144,AK429&gt;0),Tarification!$D$10,0)))</f>
        <v>0</v>
      </c>
      <c r="AL719" s="37">
        <f>IF(AND(AL429&lt;=$I144,AL429&gt;$J144),Tarification!$D$8,IF(AND(AL429&lt;=$J144,AL429&gt;$K144),Tarification!$D$9,IF(AND(AL429&lt;=$K144,AL429&gt;0),Tarification!$D$10,0)))</f>
        <v>0</v>
      </c>
      <c r="AM719" s="37">
        <f>IF(AND(AM429&lt;=$I144,AM429&gt;$J144),Tarification!$D$8,IF(AND(AM429&lt;=$J144,AM429&gt;$K144),Tarification!$D$9,IF(AND(AM429&lt;=$K144,AM429&gt;0),Tarification!$D$10,0)))</f>
        <v>0</v>
      </c>
      <c r="AN719" s="37">
        <f>IF(AND(AN429&lt;=$I144,AN429&gt;$J144),Tarification!$D$8,IF(AND(AN429&lt;=$J144,AN429&gt;$K144),Tarification!$D$9,IF(AND(AN429&lt;=$K144,AN429&gt;0),Tarification!$D$10,0)))</f>
        <v>0</v>
      </c>
      <c r="AQ719" s="101">
        <f t="shared" si="150"/>
        <v>0</v>
      </c>
    </row>
    <row r="720" spans="14:43" ht="15.6">
      <c r="N720" s="39" t="s">
        <v>26</v>
      </c>
      <c r="O720" s="39" t="s">
        <v>508</v>
      </c>
      <c r="P720" t="s">
        <v>652</v>
      </c>
      <c r="Q720" s="39"/>
      <c r="V720" s="37">
        <f>IF(AND(V430&lt;=$I145,V430&gt;$J145),Tarification!$D$8,IF(AND(V430&lt;=$J145,V430&gt;$K145),Tarification!$D$9,IF(AND(V430&lt;=$K145,V430&gt;0),Tarification!$D$10,0)))</f>
        <v>0</v>
      </c>
      <c r="W720" s="37">
        <f>IF(AND(W430&lt;=$I145,W430&gt;$J145),Tarification!$D$8,IF(AND(W430&lt;=$J145,W430&gt;$K145),Tarification!$D$9,IF(AND(W430&lt;=$K145,W430&gt;0),Tarification!$D$10,0)))</f>
        <v>0</v>
      </c>
      <c r="X720" s="37">
        <f>IF(AND(X430&lt;=$I145,X430&gt;$J145),Tarification!$D$8,IF(AND(X430&lt;=$J145,X430&gt;$K145),Tarification!$D$9,IF(AND(X430&lt;=$K145,X430&gt;0),Tarification!$D$10,0)))</f>
        <v>0</v>
      </c>
      <c r="Y720" s="37">
        <f>IF(AND(Y430&lt;=$I145,Y430&gt;$J145),Tarification!$D$8,IF(AND(Y430&lt;=$J145,Y430&gt;$K145),Tarification!$D$9,IF(AND(Y430&lt;=$K145,Y430&gt;0),Tarification!$D$10,0)))</f>
        <v>50000</v>
      </c>
      <c r="Z720" s="37">
        <f>IF(AND(Z430&lt;=$I145,Z430&gt;$J145),Tarification!$D$8,IF(AND(Z430&lt;=$J145,Z430&gt;$K145),Tarification!$D$9,IF(AND(Z430&lt;=$K145,Z430&gt;0),Tarification!$D$10,0)))</f>
        <v>0</v>
      </c>
      <c r="AA720" s="37">
        <f>IF(AND(AA430&lt;=$I145,AA430&gt;$J145),Tarification!$D$8,IF(AND(AA430&lt;=$J145,AA430&gt;$K145),Tarification!$D$9,IF(AND(AA430&lt;=$K145,AA430&gt;0),Tarification!$D$10,0)))</f>
        <v>0</v>
      </c>
      <c r="AB720" s="37">
        <f>IF(AND(AB430&lt;=$I145,AB430&gt;$J145),Tarification!$D$8,IF(AND(AB430&lt;=$J145,AB430&gt;$K145),Tarification!$D$9,IF(AND(AB430&lt;=$K145,AB430&gt;0),Tarification!$D$10,0)))</f>
        <v>0</v>
      </c>
      <c r="AC720" s="37">
        <f>IF(AND(AC430&lt;=$I145,AC430&gt;$J145),Tarification!$D$8,IF(AND(AC430&lt;=$J145,AC430&gt;$K145),Tarification!$D$9,IF(AND(AC430&lt;=$K145,AC430&gt;0),Tarification!$D$10,0)))</f>
        <v>125000</v>
      </c>
      <c r="AD720" s="37">
        <f>IF(AND(AD430&lt;=$I145,AD430&gt;$J145),Tarification!$D$8,IF(AND(AD430&lt;=$J145,AD430&gt;$K145),Tarification!$D$9,IF(AND(AD430&lt;=$K145,AD430&gt;0),Tarification!$D$10,0)))</f>
        <v>125000</v>
      </c>
      <c r="AE720" s="37">
        <f>IF(AND(AE430&lt;=$I145,AE430&gt;$J145),Tarification!$D$8,IF(AND(AE430&lt;=$J145,AE430&gt;$K145),Tarification!$D$9,IF(AND(AE430&lt;=$K145,AE430&gt;0),Tarification!$D$10,0)))</f>
        <v>125000</v>
      </c>
      <c r="AF720" s="37">
        <f>IF(AND(AF430&lt;=$I145,AF430&gt;$J145),Tarification!$D$8,IF(AND(AF430&lt;=$J145,AF430&gt;$K145),Tarification!$D$9,IF(AND(AF430&lt;=$K145,AF430&gt;0),Tarification!$D$10,0)))</f>
        <v>50000</v>
      </c>
      <c r="AG720" s="37">
        <f>IF(AND(AG430&lt;=$I145,AG430&gt;$J145),Tarification!$D$8,IF(AND(AG430&lt;=$J145,AG430&gt;$K145),Tarification!$D$9,IF(AND(AG430&lt;=$K145,AG430&gt;0),Tarification!$D$10,0)))</f>
        <v>0</v>
      </c>
      <c r="AH720" s="37">
        <f>IF(AND(AH430&lt;=$I145,AH430&gt;$J145),Tarification!$D$8,IF(AND(AH430&lt;=$J145,AH430&gt;$K145),Tarification!$D$9,IF(AND(AH430&lt;=$K145,AH430&gt;0),Tarification!$D$10,0)))</f>
        <v>0</v>
      </c>
      <c r="AI720" s="37">
        <f>IF(AND(AI430&lt;=$I145,AI430&gt;$J145),Tarification!$D$8,IF(AND(AI430&lt;=$J145,AI430&gt;$K145),Tarification!$D$9,IF(AND(AI430&lt;=$K145,AI430&gt;0),Tarification!$D$10,0)))</f>
        <v>0</v>
      </c>
      <c r="AJ720" s="37">
        <f>IF(AND(AJ430&lt;=$I145,AJ430&gt;$J145),Tarification!$D$8,IF(AND(AJ430&lt;=$J145,AJ430&gt;$K145),Tarification!$D$9,IF(AND(AJ430&lt;=$K145,AJ430&gt;0),Tarification!$D$10,0)))</f>
        <v>50000</v>
      </c>
      <c r="AK720" s="37">
        <f>IF(AND(AK430&lt;=$I145,AK430&gt;$J145),Tarification!$D$8,IF(AND(AK430&lt;=$J145,AK430&gt;$K145),Tarification!$D$9,IF(AND(AK430&lt;=$K145,AK430&gt;0),Tarification!$D$10,0)))</f>
        <v>0</v>
      </c>
      <c r="AL720" s="37">
        <f>IF(AND(AL430&lt;=$I145,AL430&gt;$J145),Tarification!$D$8,IF(AND(AL430&lt;=$J145,AL430&gt;$K145),Tarification!$D$9,IF(AND(AL430&lt;=$K145,AL430&gt;0),Tarification!$D$10,0)))</f>
        <v>0</v>
      </c>
      <c r="AM720" s="37">
        <f>IF(AND(AM430&lt;=$I145,AM430&gt;$J145),Tarification!$D$8,IF(AND(AM430&lt;=$J145,AM430&gt;$K145),Tarification!$D$9,IF(AND(AM430&lt;=$K145,AM430&gt;0),Tarification!$D$10,0)))</f>
        <v>0</v>
      </c>
      <c r="AN720" s="37">
        <f>IF(AND(AN430&lt;=$I145,AN430&gt;$J145),Tarification!$D$8,IF(AND(AN430&lt;=$J145,AN430&gt;$K145),Tarification!$D$9,IF(AND(AN430&lt;=$K145,AN430&gt;0),Tarification!$D$10,0)))</f>
        <v>50000</v>
      </c>
      <c r="AQ720" s="101">
        <f t="shared" si="150"/>
        <v>30263.157894736843</v>
      </c>
    </row>
    <row r="721" spans="14:43" ht="15.6">
      <c r="N721" s="39" t="s">
        <v>27</v>
      </c>
      <c r="O721" s="39" t="s">
        <v>555</v>
      </c>
      <c r="P721" t="s">
        <v>748</v>
      </c>
      <c r="Q721" s="39"/>
      <c r="V721" s="37">
        <f>IF(AND(V431&lt;=$I146,V431&gt;$J146),Tarification!$D$8,IF(AND(V431&lt;=$J146,V431&gt;$K146),Tarification!$D$9,IF(AND(V431&lt;=$K146,V431&gt;0),Tarification!$D$10,0)))</f>
        <v>0</v>
      </c>
      <c r="W721" s="37">
        <f>IF(AND(W431&lt;=$I146,W431&gt;$J146),Tarification!$D$8,IF(AND(W431&lt;=$J146,W431&gt;$K146),Tarification!$D$9,IF(AND(W431&lt;=$K146,W431&gt;0),Tarification!$D$10,0)))</f>
        <v>50000</v>
      </c>
      <c r="X721" s="37">
        <f>IF(AND(X431&lt;=$I146,X431&gt;$J146),Tarification!$D$8,IF(AND(X431&lt;=$J146,X431&gt;$K146),Tarification!$D$9,IF(AND(X431&lt;=$K146,X431&gt;0),Tarification!$D$10,0)))</f>
        <v>0</v>
      </c>
      <c r="Y721" s="37">
        <f>IF(AND(Y431&lt;=$I146,Y431&gt;$J146),Tarification!$D$8,IF(AND(Y431&lt;=$J146,Y431&gt;$K146),Tarification!$D$9,IF(AND(Y431&lt;=$K146,Y431&gt;0),Tarification!$D$10,0)))</f>
        <v>0</v>
      </c>
      <c r="Z721" s="37">
        <f>IF(AND(Z431&lt;=$I146,Z431&gt;$J146),Tarification!$D$8,IF(AND(Z431&lt;=$J146,Z431&gt;$K146),Tarification!$D$9,IF(AND(Z431&lt;=$K146,Z431&gt;0),Tarification!$D$10,0)))</f>
        <v>50000</v>
      </c>
      <c r="AA721" s="37">
        <f>IF(AND(AA431&lt;=$I146,AA431&gt;$J146),Tarification!$D$8,IF(AND(AA431&lt;=$J146,AA431&gt;$K146),Tarification!$D$9,IF(AND(AA431&lt;=$K146,AA431&gt;0),Tarification!$D$10,0)))</f>
        <v>0</v>
      </c>
      <c r="AB721" s="37">
        <f>IF(AND(AB431&lt;=$I146,AB431&gt;$J146),Tarification!$D$8,IF(AND(AB431&lt;=$J146,AB431&gt;$K146),Tarification!$D$9,IF(AND(AB431&lt;=$K146,AB431&gt;0),Tarification!$D$10,0)))</f>
        <v>0</v>
      </c>
      <c r="AC721" s="37">
        <f>IF(AND(AC431&lt;=$I146,AC431&gt;$J146),Tarification!$D$8,IF(AND(AC431&lt;=$J146,AC431&gt;$K146),Tarification!$D$9,IF(AND(AC431&lt;=$K146,AC431&gt;0),Tarification!$D$10,0)))</f>
        <v>0</v>
      </c>
      <c r="AD721" s="37">
        <f>IF(AND(AD431&lt;=$I146,AD431&gt;$J146),Tarification!$D$8,IF(AND(AD431&lt;=$J146,AD431&gt;$K146),Tarification!$D$9,IF(AND(AD431&lt;=$K146,AD431&gt;0),Tarification!$D$10,0)))</f>
        <v>50000</v>
      </c>
      <c r="AE721" s="37">
        <f>IF(AND(AE431&lt;=$I146,AE431&gt;$J146),Tarification!$D$8,IF(AND(AE431&lt;=$J146,AE431&gt;$K146),Tarification!$D$9,IF(AND(AE431&lt;=$K146,AE431&gt;0),Tarification!$D$10,0)))</f>
        <v>125000</v>
      </c>
      <c r="AF721" s="37">
        <f>IF(AND(AF431&lt;=$I146,AF431&gt;$J146),Tarification!$D$8,IF(AND(AF431&lt;=$J146,AF431&gt;$K146),Tarification!$D$9,IF(AND(AF431&lt;=$K146,AF431&gt;0),Tarification!$D$10,0)))</f>
        <v>50000</v>
      </c>
      <c r="AG721" s="37">
        <f>IF(AND(AG431&lt;=$I146,AG431&gt;$J146),Tarification!$D$8,IF(AND(AG431&lt;=$J146,AG431&gt;$K146),Tarification!$D$9,IF(AND(AG431&lt;=$K146,AG431&gt;0),Tarification!$D$10,0)))</f>
        <v>0</v>
      </c>
      <c r="AH721" s="37">
        <f>IF(AND(AH431&lt;=$I146,AH431&gt;$J146),Tarification!$D$8,IF(AND(AH431&lt;=$J146,AH431&gt;$K146),Tarification!$D$9,IF(AND(AH431&lt;=$K146,AH431&gt;0),Tarification!$D$10,0)))</f>
        <v>0</v>
      </c>
      <c r="AI721" s="37">
        <f>IF(AND(AI431&lt;=$I146,AI431&gt;$J146),Tarification!$D$8,IF(AND(AI431&lt;=$J146,AI431&gt;$K146),Tarification!$D$9,IF(AND(AI431&lt;=$K146,AI431&gt;0),Tarification!$D$10,0)))</f>
        <v>0</v>
      </c>
      <c r="AJ721" s="37">
        <f>IF(AND(AJ431&lt;=$I146,AJ431&gt;$J146),Tarification!$D$8,IF(AND(AJ431&lt;=$J146,AJ431&gt;$K146),Tarification!$D$9,IF(AND(AJ431&lt;=$K146,AJ431&gt;0),Tarification!$D$10,0)))</f>
        <v>0</v>
      </c>
      <c r="AK721" s="37">
        <f>IF(AND(AK431&lt;=$I146,AK431&gt;$J146),Tarification!$D$8,IF(AND(AK431&lt;=$J146,AK431&gt;$K146),Tarification!$D$9,IF(AND(AK431&lt;=$K146,AK431&gt;0),Tarification!$D$10,0)))</f>
        <v>0</v>
      </c>
      <c r="AL721" s="37">
        <f>IF(AND(AL431&lt;=$I146,AL431&gt;$J146),Tarification!$D$8,IF(AND(AL431&lt;=$J146,AL431&gt;$K146),Tarification!$D$9,IF(AND(AL431&lt;=$K146,AL431&gt;0),Tarification!$D$10,0)))</f>
        <v>0</v>
      </c>
      <c r="AM721" s="37">
        <f>IF(AND(AM431&lt;=$I146,AM431&gt;$J146),Tarification!$D$8,IF(AND(AM431&lt;=$J146,AM431&gt;$K146),Tarification!$D$9,IF(AND(AM431&lt;=$K146,AM431&gt;0),Tarification!$D$10,0)))</f>
        <v>0</v>
      </c>
      <c r="AN721" s="37">
        <f>IF(AND(AN431&lt;=$I146,AN431&gt;$J146),Tarification!$D$8,IF(AND(AN431&lt;=$J146,AN431&gt;$K146),Tarification!$D$9,IF(AND(AN431&lt;=$K146,AN431&gt;0),Tarification!$D$10,0)))</f>
        <v>0</v>
      </c>
      <c r="AQ721" s="101">
        <f t="shared" si="150"/>
        <v>17105.263157894737</v>
      </c>
    </row>
    <row r="722" spans="14:43" ht="15.6">
      <c r="N722" s="39" t="s">
        <v>27</v>
      </c>
      <c r="O722" s="39" t="s">
        <v>464</v>
      </c>
      <c r="P722" t="s">
        <v>749</v>
      </c>
      <c r="Q722" s="39"/>
      <c r="V722" s="37">
        <f>IF(AND(V432&lt;=$I147,V432&gt;$J147),Tarification!$D$8,IF(AND(V432&lt;=$J147,V432&gt;$K147),Tarification!$D$9,IF(AND(V432&lt;=$K147,V432&gt;0),Tarification!$D$10,0)))</f>
        <v>0</v>
      </c>
      <c r="W722" s="37">
        <f>IF(AND(W432&lt;=$I147,W432&gt;$J147),Tarification!$D$8,IF(AND(W432&lt;=$J147,W432&gt;$K147),Tarification!$D$9,IF(AND(W432&lt;=$K147,W432&gt;0),Tarification!$D$10,0)))</f>
        <v>0</v>
      </c>
      <c r="X722" s="37">
        <f>IF(AND(X432&lt;=$I147,X432&gt;$J147),Tarification!$D$8,IF(AND(X432&lt;=$J147,X432&gt;$K147),Tarification!$D$9,IF(AND(X432&lt;=$K147,X432&gt;0),Tarification!$D$10,0)))</f>
        <v>0</v>
      </c>
      <c r="Y722" s="37">
        <f>IF(AND(Y432&lt;=$I147,Y432&gt;$J147),Tarification!$D$8,IF(AND(Y432&lt;=$J147,Y432&gt;$K147),Tarification!$D$9,IF(AND(Y432&lt;=$K147,Y432&gt;0),Tarification!$D$10,0)))</f>
        <v>0</v>
      </c>
      <c r="Z722" s="37">
        <f>IF(AND(Z432&lt;=$I147,Z432&gt;$J147),Tarification!$D$8,IF(AND(Z432&lt;=$J147,Z432&gt;$K147),Tarification!$D$9,IF(AND(Z432&lt;=$K147,Z432&gt;0),Tarification!$D$10,0)))</f>
        <v>0</v>
      </c>
      <c r="AA722" s="37">
        <f>IF(AND(AA432&lt;=$I147,AA432&gt;$J147),Tarification!$D$8,IF(AND(AA432&lt;=$J147,AA432&gt;$K147),Tarification!$D$9,IF(AND(AA432&lt;=$K147,AA432&gt;0),Tarification!$D$10,0)))</f>
        <v>0</v>
      </c>
      <c r="AB722" s="37">
        <f>IF(AND(AB432&lt;=$I147,AB432&gt;$J147),Tarification!$D$8,IF(AND(AB432&lt;=$J147,AB432&gt;$K147),Tarification!$D$9,IF(AND(AB432&lt;=$K147,AB432&gt;0),Tarification!$D$10,0)))</f>
        <v>0</v>
      </c>
      <c r="AC722" s="37">
        <f>IF(AND(AC432&lt;=$I147,AC432&gt;$J147),Tarification!$D$8,IF(AND(AC432&lt;=$J147,AC432&gt;$K147),Tarification!$D$9,IF(AND(AC432&lt;=$K147,AC432&gt;0),Tarification!$D$10,0)))</f>
        <v>0</v>
      </c>
      <c r="AD722" s="37">
        <f>IF(AND(AD432&lt;=$I147,AD432&gt;$J147),Tarification!$D$8,IF(AND(AD432&lt;=$J147,AD432&gt;$K147),Tarification!$D$9,IF(AND(AD432&lt;=$K147,AD432&gt;0),Tarification!$D$10,0)))</f>
        <v>50000</v>
      </c>
      <c r="AE722" s="37">
        <f>IF(AND(AE432&lt;=$I147,AE432&gt;$J147),Tarification!$D$8,IF(AND(AE432&lt;=$J147,AE432&gt;$K147),Tarification!$D$9,IF(AND(AE432&lt;=$K147,AE432&gt;0),Tarification!$D$10,0)))</f>
        <v>0</v>
      </c>
      <c r="AF722" s="37">
        <f>IF(AND(AF432&lt;=$I147,AF432&gt;$J147),Tarification!$D$8,IF(AND(AF432&lt;=$J147,AF432&gt;$K147),Tarification!$D$9,IF(AND(AF432&lt;=$K147,AF432&gt;0),Tarification!$D$10,0)))</f>
        <v>0</v>
      </c>
      <c r="AG722" s="37">
        <f>IF(AND(AG432&lt;=$I147,AG432&gt;$J147),Tarification!$D$8,IF(AND(AG432&lt;=$J147,AG432&gt;$K147),Tarification!$D$9,IF(AND(AG432&lt;=$K147,AG432&gt;0),Tarification!$D$10,0)))</f>
        <v>0</v>
      </c>
      <c r="AH722" s="37">
        <f>IF(AND(AH432&lt;=$I147,AH432&gt;$J147),Tarification!$D$8,IF(AND(AH432&lt;=$J147,AH432&gt;$K147),Tarification!$D$9,IF(AND(AH432&lt;=$K147,AH432&gt;0),Tarification!$D$10,0)))</f>
        <v>0</v>
      </c>
      <c r="AI722" s="37">
        <f>IF(AND(AI432&lt;=$I147,AI432&gt;$J147),Tarification!$D$8,IF(AND(AI432&lt;=$J147,AI432&gt;$K147),Tarification!$D$9,IF(AND(AI432&lt;=$K147,AI432&gt;0),Tarification!$D$10,0)))</f>
        <v>0</v>
      </c>
      <c r="AJ722" s="37">
        <f>IF(AND(AJ432&lt;=$I147,AJ432&gt;$J147),Tarification!$D$8,IF(AND(AJ432&lt;=$J147,AJ432&gt;$K147),Tarification!$D$9,IF(AND(AJ432&lt;=$K147,AJ432&gt;0),Tarification!$D$10,0)))</f>
        <v>50000</v>
      </c>
      <c r="AK722" s="37">
        <f>IF(AND(AK432&lt;=$I147,AK432&gt;$J147),Tarification!$D$8,IF(AND(AK432&lt;=$J147,AK432&gt;$K147),Tarification!$D$9,IF(AND(AK432&lt;=$K147,AK432&gt;0),Tarification!$D$10,0)))</f>
        <v>0</v>
      </c>
      <c r="AL722" s="37">
        <f>IF(AND(AL432&lt;=$I147,AL432&gt;$J147),Tarification!$D$8,IF(AND(AL432&lt;=$J147,AL432&gt;$K147),Tarification!$D$9,IF(AND(AL432&lt;=$K147,AL432&gt;0),Tarification!$D$10,0)))</f>
        <v>0</v>
      </c>
      <c r="AM722" s="37">
        <f>IF(AND(AM432&lt;=$I147,AM432&gt;$J147),Tarification!$D$8,IF(AND(AM432&lt;=$J147,AM432&gt;$K147),Tarification!$D$9,IF(AND(AM432&lt;=$K147,AM432&gt;0),Tarification!$D$10,0)))</f>
        <v>0</v>
      </c>
      <c r="AN722" s="37">
        <f>IF(AND(AN432&lt;=$I147,AN432&gt;$J147),Tarification!$D$8,IF(AND(AN432&lt;=$J147,AN432&gt;$K147),Tarification!$D$9,IF(AND(AN432&lt;=$K147,AN432&gt;0),Tarification!$D$10,0)))</f>
        <v>0</v>
      </c>
      <c r="AQ722" s="101">
        <f t="shared" si="150"/>
        <v>5263.1578947368425</v>
      </c>
    </row>
    <row r="723" spans="14:43" ht="15.6">
      <c r="N723" s="39" t="s">
        <v>27</v>
      </c>
      <c r="O723" s="39" t="s">
        <v>172</v>
      </c>
      <c r="P723" t="s">
        <v>750</v>
      </c>
      <c r="Q723" s="39"/>
      <c r="V723" s="37">
        <f>IF(AND(V433&lt;=$I148,V433&gt;$J148),Tarification!$D$8,IF(AND(V433&lt;=$J148,V433&gt;$K148),Tarification!$D$9,IF(AND(V433&lt;=$K148,V433&gt;0),Tarification!$D$10,0)))</f>
        <v>0</v>
      </c>
      <c r="W723" s="37">
        <f>IF(AND(W433&lt;=$I148,W433&gt;$J148),Tarification!$D$8,IF(AND(W433&lt;=$J148,W433&gt;$K148),Tarification!$D$9,IF(AND(W433&lt;=$K148,W433&gt;0),Tarification!$D$10,0)))</f>
        <v>0</v>
      </c>
      <c r="X723" s="37">
        <f>IF(AND(X433&lt;=$I148,X433&gt;$J148),Tarification!$D$8,IF(AND(X433&lt;=$J148,X433&gt;$K148),Tarification!$D$9,IF(AND(X433&lt;=$K148,X433&gt;0),Tarification!$D$10,0)))</f>
        <v>0</v>
      </c>
      <c r="Y723" s="37">
        <f>IF(AND(Y433&lt;=$I148,Y433&gt;$J148),Tarification!$D$8,IF(AND(Y433&lt;=$J148,Y433&gt;$K148),Tarification!$D$9,IF(AND(Y433&lt;=$K148,Y433&gt;0),Tarification!$D$10,0)))</f>
        <v>0</v>
      </c>
      <c r="Z723" s="37">
        <f>IF(AND(Z433&lt;=$I148,Z433&gt;$J148),Tarification!$D$8,IF(AND(Z433&lt;=$J148,Z433&gt;$K148),Tarification!$D$9,IF(AND(Z433&lt;=$K148,Z433&gt;0),Tarification!$D$10,0)))</f>
        <v>0</v>
      </c>
      <c r="AA723" s="37">
        <f>IF(AND(AA433&lt;=$I148,AA433&gt;$J148),Tarification!$D$8,IF(AND(AA433&lt;=$J148,AA433&gt;$K148),Tarification!$D$9,IF(AND(AA433&lt;=$K148,AA433&gt;0),Tarification!$D$10,0)))</f>
        <v>0</v>
      </c>
      <c r="AB723" s="37">
        <f>IF(AND(AB433&lt;=$I148,AB433&gt;$J148),Tarification!$D$8,IF(AND(AB433&lt;=$J148,AB433&gt;$K148),Tarification!$D$9,IF(AND(AB433&lt;=$K148,AB433&gt;0),Tarification!$D$10,0)))</f>
        <v>0</v>
      </c>
      <c r="AC723" s="37">
        <f>IF(AND(AC433&lt;=$I148,AC433&gt;$J148),Tarification!$D$8,IF(AND(AC433&lt;=$J148,AC433&gt;$K148),Tarification!$D$9,IF(AND(AC433&lt;=$K148,AC433&gt;0),Tarification!$D$10,0)))</f>
        <v>0</v>
      </c>
      <c r="AD723" s="37">
        <f>IF(AND(AD433&lt;=$I148,AD433&gt;$J148),Tarification!$D$8,IF(AND(AD433&lt;=$J148,AD433&gt;$K148),Tarification!$D$9,IF(AND(AD433&lt;=$K148,AD433&gt;0),Tarification!$D$10,0)))</f>
        <v>0</v>
      </c>
      <c r="AE723" s="37">
        <f>IF(AND(AE433&lt;=$I148,AE433&gt;$J148),Tarification!$D$8,IF(AND(AE433&lt;=$J148,AE433&gt;$K148),Tarification!$D$9,IF(AND(AE433&lt;=$K148,AE433&gt;0),Tarification!$D$10,0)))</f>
        <v>0</v>
      </c>
      <c r="AF723" s="37">
        <f>IF(AND(AF433&lt;=$I148,AF433&gt;$J148),Tarification!$D$8,IF(AND(AF433&lt;=$J148,AF433&gt;$K148),Tarification!$D$9,IF(AND(AF433&lt;=$K148,AF433&gt;0),Tarification!$D$10,0)))</f>
        <v>0</v>
      </c>
      <c r="AG723" s="37">
        <f>IF(AND(AG433&lt;=$I148,AG433&gt;$J148),Tarification!$D$8,IF(AND(AG433&lt;=$J148,AG433&gt;$K148),Tarification!$D$9,IF(AND(AG433&lt;=$K148,AG433&gt;0),Tarification!$D$10,0)))</f>
        <v>0</v>
      </c>
      <c r="AH723" s="37">
        <f>IF(AND(AH433&lt;=$I148,AH433&gt;$J148),Tarification!$D$8,IF(AND(AH433&lt;=$J148,AH433&gt;$K148),Tarification!$D$9,IF(AND(AH433&lt;=$K148,AH433&gt;0),Tarification!$D$10,0)))</f>
        <v>0</v>
      </c>
      <c r="AI723" s="37">
        <f>IF(AND(AI433&lt;=$I148,AI433&gt;$J148),Tarification!$D$8,IF(AND(AI433&lt;=$J148,AI433&gt;$K148),Tarification!$D$9,IF(AND(AI433&lt;=$K148,AI433&gt;0),Tarification!$D$10,0)))</f>
        <v>0</v>
      </c>
      <c r="AJ723" s="37">
        <f>IF(AND(AJ433&lt;=$I148,AJ433&gt;$J148),Tarification!$D$8,IF(AND(AJ433&lt;=$J148,AJ433&gt;$K148),Tarification!$D$9,IF(AND(AJ433&lt;=$K148,AJ433&gt;0),Tarification!$D$10,0)))</f>
        <v>0</v>
      </c>
      <c r="AK723" s="37">
        <f>IF(AND(AK433&lt;=$I148,AK433&gt;$J148),Tarification!$D$8,IF(AND(AK433&lt;=$J148,AK433&gt;$K148),Tarification!$D$9,IF(AND(AK433&lt;=$K148,AK433&gt;0),Tarification!$D$10,0)))</f>
        <v>0</v>
      </c>
      <c r="AL723" s="37">
        <f>IF(AND(AL433&lt;=$I148,AL433&gt;$J148),Tarification!$D$8,IF(AND(AL433&lt;=$J148,AL433&gt;$K148),Tarification!$D$9,IF(AND(AL433&lt;=$K148,AL433&gt;0),Tarification!$D$10,0)))</f>
        <v>0</v>
      </c>
      <c r="AM723" s="37">
        <f>IF(AND(AM433&lt;=$I148,AM433&gt;$J148),Tarification!$D$8,IF(AND(AM433&lt;=$J148,AM433&gt;$K148),Tarification!$D$9,IF(AND(AM433&lt;=$K148,AM433&gt;0),Tarification!$D$10,0)))</f>
        <v>0</v>
      </c>
      <c r="AN723" s="37">
        <f>IF(AND(AN433&lt;=$I148,AN433&gt;$J148),Tarification!$D$8,IF(AND(AN433&lt;=$J148,AN433&gt;$K148),Tarification!$D$9,IF(AND(AN433&lt;=$K148,AN433&gt;0),Tarification!$D$10,0)))</f>
        <v>0</v>
      </c>
      <c r="AQ723" s="101">
        <f t="shared" si="150"/>
        <v>0</v>
      </c>
    </row>
    <row r="724" spans="14:43" ht="15.6">
      <c r="N724" s="39" t="s">
        <v>27</v>
      </c>
      <c r="O724" s="39" t="s">
        <v>605</v>
      </c>
      <c r="P724" t="s">
        <v>751</v>
      </c>
      <c r="Q724" s="39"/>
      <c r="V724" s="37">
        <f>IF(AND(V434&lt;=$I149,V434&gt;$J149),Tarification!$D$8,IF(AND(V434&lt;=$J149,V434&gt;$K149),Tarification!$D$9,IF(AND(V434&lt;=$K149,V434&gt;0),Tarification!$D$10,0)))</f>
        <v>0</v>
      </c>
      <c r="W724" s="37">
        <f>IF(AND(W434&lt;=$I149,W434&gt;$J149),Tarification!$D$8,IF(AND(W434&lt;=$J149,W434&gt;$K149),Tarification!$D$9,IF(AND(W434&lt;=$K149,W434&gt;0),Tarification!$D$10,0)))</f>
        <v>50000</v>
      </c>
      <c r="X724" s="37">
        <f>IF(AND(X434&lt;=$I149,X434&gt;$J149),Tarification!$D$8,IF(AND(X434&lt;=$J149,X434&gt;$K149),Tarification!$D$9,IF(AND(X434&lt;=$K149,X434&gt;0),Tarification!$D$10,0)))</f>
        <v>0</v>
      </c>
      <c r="Y724" s="37">
        <f>IF(AND(Y434&lt;=$I149,Y434&gt;$J149),Tarification!$D$8,IF(AND(Y434&lt;=$J149,Y434&gt;$K149),Tarification!$D$9,IF(AND(Y434&lt;=$K149,Y434&gt;0),Tarification!$D$10,0)))</f>
        <v>0</v>
      </c>
      <c r="Z724" s="37">
        <f>IF(AND(Z434&lt;=$I149,Z434&gt;$J149),Tarification!$D$8,IF(AND(Z434&lt;=$J149,Z434&gt;$K149),Tarification!$D$9,IF(AND(Z434&lt;=$K149,Z434&gt;0),Tarification!$D$10,0)))</f>
        <v>50000</v>
      </c>
      <c r="AA724" s="37">
        <f>IF(AND(AA434&lt;=$I149,AA434&gt;$J149),Tarification!$D$8,IF(AND(AA434&lt;=$J149,AA434&gt;$K149),Tarification!$D$9,IF(AND(AA434&lt;=$K149,AA434&gt;0),Tarification!$D$10,0)))</f>
        <v>0</v>
      </c>
      <c r="AB724" s="37">
        <f>IF(AND(AB434&lt;=$I149,AB434&gt;$J149),Tarification!$D$8,IF(AND(AB434&lt;=$J149,AB434&gt;$K149),Tarification!$D$9,IF(AND(AB434&lt;=$K149,AB434&gt;0),Tarification!$D$10,0)))</f>
        <v>0</v>
      </c>
      <c r="AC724" s="37">
        <f>IF(AND(AC434&lt;=$I149,AC434&gt;$J149),Tarification!$D$8,IF(AND(AC434&lt;=$J149,AC434&gt;$K149),Tarification!$D$9,IF(AND(AC434&lt;=$K149,AC434&gt;0),Tarification!$D$10,0)))</f>
        <v>125000</v>
      </c>
      <c r="AD724" s="37">
        <f>IF(AND(AD434&lt;=$I149,AD434&gt;$J149),Tarification!$D$8,IF(AND(AD434&lt;=$J149,AD434&gt;$K149),Tarification!$D$9,IF(AND(AD434&lt;=$K149,AD434&gt;0),Tarification!$D$10,0)))</f>
        <v>50000</v>
      </c>
      <c r="AE724" s="37">
        <f>IF(AND(AE434&lt;=$I149,AE434&gt;$J149),Tarification!$D$8,IF(AND(AE434&lt;=$J149,AE434&gt;$K149),Tarification!$D$9,IF(AND(AE434&lt;=$K149,AE434&gt;0),Tarification!$D$10,0)))</f>
        <v>0</v>
      </c>
      <c r="AF724" s="37">
        <f>IF(AND(AF434&lt;=$I149,AF434&gt;$J149),Tarification!$D$8,IF(AND(AF434&lt;=$J149,AF434&gt;$K149),Tarification!$D$9,IF(AND(AF434&lt;=$K149,AF434&gt;0),Tarification!$D$10,0)))</f>
        <v>0</v>
      </c>
      <c r="AG724" s="37">
        <f>IF(AND(AG434&lt;=$I149,AG434&gt;$J149),Tarification!$D$8,IF(AND(AG434&lt;=$J149,AG434&gt;$K149),Tarification!$D$9,IF(AND(AG434&lt;=$K149,AG434&gt;0),Tarification!$D$10,0)))</f>
        <v>50000</v>
      </c>
      <c r="AH724" s="37">
        <f>IF(AND(AH434&lt;=$I149,AH434&gt;$J149),Tarification!$D$8,IF(AND(AH434&lt;=$J149,AH434&gt;$K149),Tarification!$D$9,IF(AND(AH434&lt;=$K149,AH434&gt;0),Tarification!$D$10,0)))</f>
        <v>0</v>
      </c>
      <c r="AI724" s="37">
        <f>IF(AND(AI434&lt;=$I149,AI434&gt;$J149),Tarification!$D$8,IF(AND(AI434&lt;=$J149,AI434&gt;$K149),Tarification!$D$9,IF(AND(AI434&lt;=$K149,AI434&gt;0),Tarification!$D$10,0)))</f>
        <v>0</v>
      </c>
      <c r="AJ724" s="37">
        <f>IF(AND(AJ434&lt;=$I149,AJ434&gt;$J149),Tarification!$D$8,IF(AND(AJ434&lt;=$J149,AJ434&gt;$K149),Tarification!$D$9,IF(AND(AJ434&lt;=$K149,AJ434&gt;0),Tarification!$D$10,0)))</f>
        <v>0</v>
      </c>
      <c r="AK724" s="37">
        <f>IF(AND(AK434&lt;=$I149,AK434&gt;$J149),Tarification!$D$8,IF(AND(AK434&lt;=$J149,AK434&gt;$K149),Tarification!$D$9,IF(AND(AK434&lt;=$K149,AK434&gt;0),Tarification!$D$10,0)))</f>
        <v>0</v>
      </c>
      <c r="AL724" s="37">
        <f>IF(AND(AL434&lt;=$I149,AL434&gt;$J149),Tarification!$D$8,IF(AND(AL434&lt;=$J149,AL434&gt;$K149),Tarification!$D$9,IF(AND(AL434&lt;=$K149,AL434&gt;0),Tarification!$D$10,0)))</f>
        <v>0</v>
      </c>
      <c r="AM724" s="37">
        <f>IF(AND(AM434&lt;=$I149,AM434&gt;$J149),Tarification!$D$8,IF(AND(AM434&lt;=$J149,AM434&gt;$K149),Tarification!$D$9,IF(AND(AM434&lt;=$K149,AM434&gt;0),Tarification!$D$10,0)))</f>
        <v>0</v>
      </c>
      <c r="AN724" s="37">
        <f>IF(AND(AN434&lt;=$I149,AN434&gt;$J149),Tarification!$D$8,IF(AND(AN434&lt;=$J149,AN434&gt;$K149),Tarification!$D$9,IF(AND(AN434&lt;=$K149,AN434&gt;0),Tarification!$D$10,0)))</f>
        <v>50000</v>
      </c>
      <c r="AQ724" s="101">
        <f t="shared" si="150"/>
        <v>19736.842105263157</v>
      </c>
    </row>
    <row r="725" spans="14:43" ht="15.6">
      <c r="N725" s="39" t="s">
        <v>27</v>
      </c>
      <c r="O725" s="39" t="s">
        <v>605</v>
      </c>
      <c r="P725" s="91" t="s">
        <v>752</v>
      </c>
      <c r="Q725" s="39"/>
      <c r="V725" s="37">
        <f>IF(AND(V435&lt;=$I150,V435&gt;$J150),Tarification!$D$8,IF(AND(V435&lt;=$J150,V435&gt;$K150),Tarification!$D$9,IF(AND(V435&lt;=$K150,V435&gt;0),Tarification!$D$10,0)))</f>
        <v>0</v>
      </c>
      <c r="W725" s="37">
        <f>IF(AND(W435&lt;=$I150,W435&gt;$J150),Tarification!$D$8,IF(AND(W435&lt;=$J150,W435&gt;$K150),Tarification!$D$9,IF(AND(W435&lt;=$K150,W435&gt;0),Tarification!$D$10,0)))</f>
        <v>50000</v>
      </c>
      <c r="X725" s="37">
        <f>IF(AND(X435&lt;=$I150,X435&gt;$J150),Tarification!$D$8,IF(AND(X435&lt;=$J150,X435&gt;$K150),Tarification!$D$9,IF(AND(X435&lt;=$K150,X435&gt;0),Tarification!$D$10,0)))</f>
        <v>0</v>
      </c>
      <c r="Y725" s="37">
        <f>IF(AND(Y435&lt;=$I150,Y435&gt;$J150),Tarification!$D$8,IF(AND(Y435&lt;=$J150,Y435&gt;$K150),Tarification!$D$9,IF(AND(Y435&lt;=$K150,Y435&gt;0),Tarification!$D$10,0)))</f>
        <v>0</v>
      </c>
      <c r="Z725" s="37">
        <f>IF(AND(Z435&lt;=$I150,Z435&gt;$J150),Tarification!$D$8,IF(AND(Z435&lt;=$J150,Z435&gt;$K150),Tarification!$D$9,IF(AND(Z435&lt;=$K150,Z435&gt;0),Tarification!$D$10,0)))</f>
        <v>50000</v>
      </c>
      <c r="AA725" s="37">
        <f>IF(AND(AA435&lt;=$I150,AA435&gt;$J150),Tarification!$D$8,IF(AND(AA435&lt;=$J150,AA435&gt;$K150),Tarification!$D$9,IF(AND(AA435&lt;=$K150,AA435&gt;0),Tarification!$D$10,0)))</f>
        <v>0</v>
      </c>
      <c r="AB725" s="37">
        <f>IF(AND(AB435&lt;=$I150,AB435&gt;$J150),Tarification!$D$8,IF(AND(AB435&lt;=$J150,AB435&gt;$K150),Tarification!$D$9,IF(AND(AB435&lt;=$K150,AB435&gt;0),Tarification!$D$10,0)))</f>
        <v>0</v>
      </c>
      <c r="AC725" s="37">
        <f>IF(AND(AC435&lt;=$I150,AC435&gt;$J150),Tarification!$D$8,IF(AND(AC435&lt;=$J150,AC435&gt;$K150),Tarification!$D$9,IF(AND(AC435&lt;=$K150,AC435&gt;0),Tarification!$D$10,0)))</f>
        <v>125000</v>
      </c>
      <c r="AD725" s="37">
        <f>IF(AND(AD435&lt;=$I150,AD435&gt;$J150),Tarification!$D$8,IF(AND(AD435&lt;=$J150,AD435&gt;$K150),Tarification!$D$9,IF(AND(AD435&lt;=$K150,AD435&gt;0),Tarification!$D$10,0)))</f>
        <v>50000</v>
      </c>
      <c r="AE725" s="37">
        <f>IF(AND(AE435&lt;=$I150,AE435&gt;$J150),Tarification!$D$8,IF(AND(AE435&lt;=$J150,AE435&gt;$K150),Tarification!$D$9,IF(AND(AE435&lt;=$K150,AE435&gt;0),Tarification!$D$10,0)))</f>
        <v>0</v>
      </c>
      <c r="AF725" s="37">
        <f>IF(AND(AF435&lt;=$I150,AF435&gt;$J150),Tarification!$D$8,IF(AND(AF435&lt;=$J150,AF435&gt;$K150),Tarification!$D$9,IF(AND(AF435&lt;=$K150,AF435&gt;0),Tarification!$D$10,0)))</f>
        <v>0</v>
      </c>
      <c r="AG725" s="37">
        <f>IF(AND(AG435&lt;=$I150,AG435&gt;$J150),Tarification!$D$8,IF(AND(AG435&lt;=$J150,AG435&gt;$K150),Tarification!$D$9,IF(AND(AG435&lt;=$K150,AG435&gt;0),Tarification!$D$10,0)))</f>
        <v>50000</v>
      </c>
      <c r="AH725" s="37">
        <f>IF(AND(AH435&lt;=$I150,AH435&gt;$J150),Tarification!$D$8,IF(AND(AH435&lt;=$J150,AH435&gt;$K150),Tarification!$D$9,IF(AND(AH435&lt;=$K150,AH435&gt;0),Tarification!$D$10,0)))</f>
        <v>0</v>
      </c>
      <c r="AI725" s="37">
        <f>IF(AND(AI435&lt;=$I150,AI435&gt;$J150),Tarification!$D$8,IF(AND(AI435&lt;=$J150,AI435&gt;$K150),Tarification!$D$9,IF(AND(AI435&lt;=$K150,AI435&gt;0),Tarification!$D$10,0)))</f>
        <v>0</v>
      </c>
      <c r="AJ725" s="37">
        <f>IF(AND(AJ435&lt;=$I150,AJ435&gt;$J150),Tarification!$D$8,IF(AND(AJ435&lt;=$J150,AJ435&gt;$K150),Tarification!$D$9,IF(AND(AJ435&lt;=$K150,AJ435&gt;0),Tarification!$D$10,0)))</f>
        <v>0</v>
      </c>
      <c r="AK725" s="37">
        <f>IF(AND(AK435&lt;=$I150,AK435&gt;$J150),Tarification!$D$8,IF(AND(AK435&lt;=$J150,AK435&gt;$K150),Tarification!$D$9,IF(AND(AK435&lt;=$K150,AK435&gt;0),Tarification!$D$10,0)))</f>
        <v>0</v>
      </c>
      <c r="AL725" s="37">
        <f>IF(AND(AL435&lt;=$I150,AL435&gt;$J150),Tarification!$D$8,IF(AND(AL435&lt;=$J150,AL435&gt;$K150),Tarification!$D$9,IF(AND(AL435&lt;=$K150,AL435&gt;0),Tarification!$D$10,0)))</f>
        <v>0</v>
      </c>
      <c r="AM725" s="37">
        <f>IF(AND(AM435&lt;=$I150,AM435&gt;$J150),Tarification!$D$8,IF(AND(AM435&lt;=$J150,AM435&gt;$K150),Tarification!$D$9,IF(AND(AM435&lt;=$K150,AM435&gt;0),Tarification!$D$10,0)))</f>
        <v>0</v>
      </c>
      <c r="AN725" s="37">
        <f>IF(AND(AN435&lt;=$I150,AN435&gt;$J150),Tarification!$D$8,IF(AND(AN435&lt;=$J150,AN435&gt;$K150),Tarification!$D$9,IF(AND(AN435&lt;=$K150,AN435&gt;0),Tarification!$D$10,0)))</f>
        <v>50000</v>
      </c>
      <c r="AQ725" s="101">
        <f t="shared" si="150"/>
        <v>19736.842105263157</v>
      </c>
    </row>
    <row r="726" spans="14:43" ht="15.6">
      <c r="N726" s="39" t="s">
        <v>27</v>
      </c>
      <c r="O726" s="39" t="s">
        <v>484</v>
      </c>
      <c r="P726" t="s">
        <v>753</v>
      </c>
      <c r="Q726" s="39"/>
      <c r="V726" s="37">
        <f>IF(AND(V436&lt;=$I151,V436&gt;$J151),Tarification!$D$8,IF(AND(V436&lt;=$J151,V436&gt;$K151),Tarification!$D$9,IF(AND(V436&lt;=$K151,V436&gt;0),Tarification!$D$10,0)))</f>
        <v>0</v>
      </c>
      <c r="W726" s="37">
        <f>IF(AND(W436&lt;=$I151,W436&gt;$J151),Tarification!$D$8,IF(AND(W436&lt;=$J151,W436&gt;$K151),Tarification!$D$9,IF(AND(W436&lt;=$K151,W436&gt;0),Tarification!$D$10,0)))</f>
        <v>0</v>
      </c>
      <c r="X726" s="37">
        <f>IF(AND(X436&lt;=$I151,X436&gt;$J151),Tarification!$D$8,IF(AND(X436&lt;=$J151,X436&gt;$K151),Tarification!$D$9,IF(AND(X436&lt;=$K151,X436&gt;0),Tarification!$D$10,0)))</f>
        <v>0</v>
      </c>
      <c r="Y726" s="37">
        <f>IF(AND(Y436&lt;=$I151,Y436&gt;$J151),Tarification!$D$8,IF(AND(Y436&lt;=$J151,Y436&gt;$K151),Tarification!$D$9,IF(AND(Y436&lt;=$K151,Y436&gt;0),Tarification!$D$10,0)))</f>
        <v>0</v>
      </c>
      <c r="Z726" s="37">
        <f>IF(AND(Z436&lt;=$I151,Z436&gt;$J151),Tarification!$D$8,IF(AND(Z436&lt;=$J151,Z436&gt;$K151),Tarification!$D$9,IF(AND(Z436&lt;=$K151,Z436&gt;0),Tarification!$D$10,0)))</f>
        <v>0</v>
      </c>
      <c r="AA726" s="37">
        <f>IF(AND(AA436&lt;=$I151,AA436&gt;$J151),Tarification!$D$8,IF(AND(AA436&lt;=$J151,AA436&gt;$K151),Tarification!$D$9,IF(AND(AA436&lt;=$K151,AA436&gt;0),Tarification!$D$10,0)))</f>
        <v>0</v>
      </c>
      <c r="AB726" s="37">
        <f>IF(AND(AB436&lt;=$I151,AB436&gt;$J151),Tarification!$D$8,IF(AND(AB436&lt;=$J151,AB436&gt;$K151),Tarification!$D$9,IF(AND(AB436&lt;=$K151,AB436&gt;0),Tarification!$D$10,0)))</f>
        <v>0</v>
      </c>
      <c r="AC726" s="37">
        <f>IF(AND(AC436&lt;=$I151,AC436&gt;$J151),Tarification!$D$8,IF(AND(AC436&lt;=$J151,AC436&gt;$K151),Tarification!$D$9,IF(AND(AC436&lt;=$K151,AC436&gt;0),Tarification!$D$10,0)))</f>
        <v>0</v>
      </c>
      <c r="AD726" s="37">
        <f>IF(AND(AD436&lt;=$I151,AD436&gt;$J151),Tarification!$D$8,IF(AND(AD436&lt;=$J151,AD436&gt;$K151),Tarification!$D$9,IF(AND(AD436&lt;=$K151,AD436&gt;0),Tarification!$D$10,0)))</f>
        <v>0</v>
      </c>
      <c r="AE726" s="37">
        <f>IF(AND(AE436&lt;=$I151,AE436&gt;$J151),Tarification!$D$8,IF(AND(AE436&lt;=$J151,AE436&gt;$K151),Tarification!$D$9,IF(AND(AE436&lt;=$K151,AE436&gt;0),Tarification!$D$10,0)))</f>
        <v>0</v>
      </c>
      <c r="AF726" s="37">
        <f>IF(AND(AF436&lt;=$I151,AF436&gt;$J151),Tarification!$D$8,IF(AND(AF436&lt;=$J151,AF436&gt;$K151),Tarification!$D$9,IF(AND(AF436&lt;=$K151,AF436&gt;0),Tarification!$D$10,0)))</f>
        <v>0</v>
      </c>
      <c r="AG726" s="37">
        <f>IF(AND(AG436&lt;=$I151,AG436&gt;$J151),Tarification!$D$8,IF(AND(AG436&lt;=$J151,AG436&gt;$K151),Tarification!$D$9,IF(AND(AG436&lt;=$K151,AG436&gt;0),Tarification!$D$10,0)))</f>
        <v>0</v>
      </c>
      <c r="AH726" s="37">
        <f>IF(AND(AH436&lt;=$I151,AH436&gt;$J151),Tarification!$D$8,IF(AND(AH436&lt;=$J151,AH436&gt;$K151),Tarification!$D$9,IF(AND(AH436&lt;=$K151,AH436&gt;0),Tarification!$D$10,0)))</f>
        <v>0</v>
      </c>
      <c r="AI726" s="37">
        <f>IF(AND(AI436&lt;=$I151,AI436&gt;$J151),Tarification!$D$8,IF(AND(AI436&lt;=$J151,AI436&gt;$K151),Tarification!$D$9,IF(AND(AI436&lt;=$K151,AI436&gt;0),Tarification!$D$10,0)))</f>
        <v>0</v>
      </c>
      <c r="AJ726" s="37">
        <f>IF(AND(AJ436&lt;=$I151,AJ436&gt;$J151),Tarification!$D$8,IF(AND(AJ436&lt;=$J151,AJ436&gt;$K151),Tarification!$D$9,IF(AND(AJ436&lt;=$K151,AJ436&gt;0),Tarification!$D$10,0)))</f>
        <v>0</v>
      </c>
      <c r="AK726" s="37">
        <f>IF(AND(AK436&lt;=$I151,AK436&gt;$J151),Tarification!$D$8,IF(AND(AK436&lt;=$J151,AK436&gt;$K151),Tarification!$D$9,IF(AND(AK436&lt;=$K151,AK436&gt;0),Tarification!$D$10,0)))</f>
        <v>0</v>
      </c>
      <c r="AL726" s="37">
        <f>IF(AND(AL436&lt;=$I151,AL436&gt;$J151),Tarification!$D$8,IF(AND(AL436&lt;=$J151,AL436&gt;$K151),Tarification!$D$9,IF(AND(AL436&lt;=$K151,AL436&gt;0),Tarification!$D$10,0)))</f>
        <v>0</v>
      </c>
      <c r="AM726" s="37">
        <f>IF(AND(AM436&lt;=$I151,AM436&gt;$J151),Tarification!$D$8,IF(AND(AM436&lt;=$J151,AM436&gt;$K151),Tarification!$D$9,IF(AND(AM436&lt;=$K151,AM436&gt;0),Tarification!$D$10,0)))</f>
        <v>0</v>
      </c>
      <c r="AN726" s="37">
        <f>IF(AND(AN436&lt;=$I151,AN436&gt;$J151),Tarification!$D$8,IF(AND(AN436&lt;=$J151,AN436&gt;$K151),Tarification!$D$9,IF(AND(AN436&lt;=$K151,AN436&gt;0),Tarification!$D$10,0)))</f>
        <v>0</v>
      </c>
      <c r="AQ726" s="101">
        <f t="shared" si="150"/>
        <v>0</v>
      </c>
    </row>
    <row r="727" spans="14:43" ht="15.6">
      <c r="N727" s="39" t="s">
        <v>27</v>
      </c>
      <c r="O727" s="39" t="s">
        <v>494</v>
      </c>
      <c r="P727" t="s">
        <v>754</v>
      </c>
      <c r="Q727" s="39"/>
      <c r="V727" s="37">
        <f>IF(AND(V437&lt;=$I152,V437&gt;$J152),Tarification!$D$8,IF(AND(V437&lt;=$J152,V437&gt;$K152),Tarification!$D$9,IF(AND(V437&lt;=$K152,V437&gt;0),Tarification!$D$10,0)))</f>
        <v>0</v>
      </c>
      <c r="W727" s="37">
        <f>IF(AND(W437&lt;=$I152,W437&gt;$J152),Tarification!$D$8,IF(AND(W437&lt;=$J152,W437&gt;$K152),Tarification!$D$9,IF(AND(W437&lt;=$K152,W437&gt;0),Tarification!$D$10,0)))</f>
        <v>0</v>
      </c>
      <c r="X727" s="37">
        <f>IF(AND(X437&lt;=$I152,X437&gt;$J152),Tarification!$D$8,IF(AND(X437&lt;=$J152,X437&gt;$K152),Tarification!$D$9,IF(AND(X437&lt;=$K152,X437&gt;0),Tarification!$D$10,0)))</f>
        <v>0</v>
      </c>
      <c r="Y727" s="37">
        <f>IF(AND(Y437&lt;=$I152,Y437&gt;$J152),Tarification!$D$8,IF(AND(Y437&lt;=$J152,Y437&gt;$K152),Tarification!$D$9,IF(AND(Y437&lt;=$K152,Y437&gt;0),Tarification!$D$10,0)))</f>
        <v>0</v>
      </c>
      <c r="Z727" s="37">
        <f>IF(AND(Z437&lt;=$I152,Z437&gt;$J152),Tarification!$D$8,IF(AND(Z437&lt;=$J152,Z437&gt;$K152),Tarification!$D$9,IF(AND(Z437&lt;=$K152,Z437&gt;0),Tarification!$D$10,0)))</f>
        <v>0</v>
      </c>
      <c r="AA727" s="37">
        <f>IF(AND(AA437&lt;=$I152,AA437&gt;$J152),Tarification!$D$8,IF(AND(AA437&lt;=$J152,AA437&gt;$K152),Tarification!$D$9,IF(AND(AA437&lt;=$K152,AA437&gt;0),Tarification!$D$10,0)))</f>
        <v>0</v>
      </c>
      <c r="AB727" s="37">
        <f>IF(AND(AB437&lt;=$I152,AB437&gt;$J152),Tarification!$D$8,IF(AND(AB437&lt;=$J152,AB437&gt;$K152),Tarification!$D$9,IF(AND(AB437&lt;=$K152,AB437&gt;0),Tarification!$D$10,0)))</f>
        <v>0</v>
      </c>
      <c r="AC727" s="37">
        <f>IF(AND(AC437&lt;=$I152,AC437&gt;$J152),Tarification!$D$8,IF(AND(AC437&lt;=$J152,AC437&gt;$K152),Tarification!$D$9,IF(AND(AC437&lt;=$K152,AC437&gt;0),Tarification!$D$10,0)))</f>
        <v>0</v>
      </c>
      <c r="AD727" s="37">
        <f>IF(AND(AD437&lt;=$I152,AD437&gt;$J152),Tarification!$D$8,IF(AND(AD437&lt;=$J152,AD437&gt;$K152),Tarification!$D$9,IF(AND(AD437&lt;=$K152,AD437&gt;0),Tarification!$D$10,0)))</f>
        <v>0</v>
      </c>
      <c r="AE727" s="37">
        <f>IF(AND(AE437&lt;=$I152,AE437&gt;$J152),Tarification!$D$8,IF(AND(AE437&lt;=$J152,AE437&gt;$K152),Tarification!$D$9,IF(AND(AE437&lt;=$K152,AE437&gt;0),Tarification!$D$10,0)))</f>
        <v>0</v>
      </c>
      <c r="AF727" s="37">
        <f>IF(AND(AF437&lt;=$I152,AF437&gt;$J152),Tarification!$D$8,IF(AND(AF437&lt;=$J152,AF437&gt;$K152),Tarification!$D$9,IF(AND(AF437&lt;=$K152,AF437&gt;0),Tarification!$D$10,0)))</f>
        <v>0</v>
      </c>
      <c r="AG727" s="37">
        <f>IF(AND(AG437&lt;=$I152,AG437&gt;$J152),Tarification!$D$8,IF(AND(AG437&lt;=$J152,AG437&gt;$K152),Tarification!$D$9,IF(AND(AG437&lt;=$K152,AG437&gt;0),Tarification!$D$10,0)))</f>
        <v>0</v>
      </c>
      <c r="AH727" s="37">
        <f>IF(AND(AH437&lt;=$I152,AH437&gt;$J152),Tarification!$D$8,IF(AND(AH437&lt;=$J152,AH437&gt;$K152),Tarification!$D$9,IF(AND(AH437&lt;=$K152,AH437&gt;0),Tarification!$D$10,0)))</f>
        <v>0</v>
      </c>
      <c r="AI727" s="37">
        <f>IF(AND(AI437&lt;=$I152,AI437&gt;$J152),Tarification!$D$8,IF(AND(AI437&lt;=$J152,AI437&gt;$K152),Tarification!$D$9,IF(AND(AI437&lt;=$K152,AI437&gt;0),Tarification!$D$10,0)))</f>
        <v>0</v>
      </c>
      <c r="AJ727" s="37">
        <f>IF(AND(AJ437&lt;=$I152,AJ437&gt;$J152),Tarification!$D$8,IF(AND(AJ437&lt;=$J152,AJ437&gt;$K152),Tarification!$D$9,IF(AND(AJ437&lt;=$K152,AJ437&gt;0),Tarification!$D$10,0)))</f>
        <v>0</v>
      </c>
      <c r="AK727" s="37">
        <f>IF(AND(AK437&lt;=$I152,AK437&gt;$J152),Tarification!$D$8,IF(AND(AK437&lt;=$J152,AK437&gt;$K152),Tarification!$D$9,IF(AND(AK437&lt;=$K152,AK437&gt;0),Tarification!$D$10,0)))</f>
        <v>0</v>
      </c>
      <c r="AL727" s="37">
        <f>IF(AND(AL437&lt;=$I152,AL437&gt;$J152),Tarification!$D$8,IF(AND(AL437&lt;=$J152,AL437&gt;$K152),Tarification!$D$9,IF(AND(AL437&lt;=$K152,AL437&gt;0),Tarification!$D$10,0)))</f>
        <v>0</v>
      </c>
      <c r="AM727" s="37">
        <f>IF(AND(AM437&lt;=$I152,AM437&gt;$J152),Tarification!$D$8,IF(AND(AM437&lt;=$J152,AM437&gt;$K152),Tarification!$D$9,IF(AND(AM437&lt;=$K152,AM437&gt;0),Tarification!$D$10,0)))</f>
        <v>0</v>
      </c>
      <c r="AN727" s="37">
        <f>IF(AND(AN437&lt;=$I152,AN437&gt;$J152),Tarification!$D$8,IF(AND(AN437&lt;=$J152,AN437&gt;$K152),Tarification!$D$9,IF(AND(AN437&lt;=$K152,AN437&gt;0),Tarification!$D$10,0)))</f>
        <v>0</v>
      </c>
      <c r="AQ727" s="101">
        <f t="shared" si="150"/>
        <v>0</v>
      </c>
    </row>
    <row r="728" spans="14:43" ht="15.6">
      <c r="N728" s="39" t="s">
        <v>27</v>
      </c>
      <c r="O728" s="39" t="s">
        <v>517</v>
      </c>
      <c r="P728" t="s">
        <v>755</v>
      </c>
      <c r="Q728" s="39"/>
      <c r="V728" s="37">
        <f>IF(AND(V438&lt;=$I153,V438&gt;$J153),Tarification!$D$8,IF(AND(V438&lt;=$J153,V438&gt;$K153),Tarification!$D$9,IF(AND(V438&lt;=$K153,V438&gt;0),Tarification!$D$10,0)))</f>
        <v>0</v>
      </c>
      <c r="W728" s="37">
        <f>IF(AND(W438&lt;=$I153,W438&gt;$J153),Tarification!$D$8,IF(AND(W438&lt;=$J153,W438&gt;$K153),Tarification!$D$9,IF(AND(W438&lt;=$K153,W438&gt;0),Tarification!$D$10,0)))</f>
        <v>0</v>
      </c>
      <c r="X728" s="37">
        <f>IF(AND(X438&lt;=$I153,X438&gt;$J153),Tarification!$D$8,IF(AND(X438&lt;=$J153,X438&gt;$K153),Tarification!$D$9,IF(AND(X438&lt;=$K153,X438&gt;0),Tarification!$D$10,0)))</f>
        <v>0</v>
      </c>
      <c r="Y728" s="37">
        <f>IF(AND(Y438&lt;=$I153,Y438&gt;$J153),Tarification!$D$8,IF(AND(Y438&lt;=$J153,Y438&gt;$K153),Tarification!$D$9,IF(AND(Y438&lt;=$K153,Y438&gt;0),Tarification!$D$10,0)))</f>
        <v>0</v>
      </c>
      <c r="Z728" s="37">
        <f>IF(AND(Z438&lt;=$I153,Z438&gt;$J153),Tarification!$D$8,IF(AND(Z438&lt;=$J153,Z438&gt;$K153),Tarification!$D$9,IF(AND(Z438&lt;=$K153,Z438&gt;0),Tarification!$D$10,0)))</f>
        <v>0</v>
      </c>
      <c r="AA728" s="37">
        <f>IF(AND(AA438&lt;=$I153,AA438&gt;$J153),Tarification!$D$8,IF(AND(AA438&lt;=$J153,AA438&gt;$K153),Tarification!$D$9,IF(AND(AA438&lt;=$K153,AA438&gt;0),Tarification!$D$10,0)))</f>
        <v>0</v>
      </c>
      <c r="AB728" s="37">
        <f>IF(AND(AB438&lt;=$I153,AB438&gt;$J153),Tarification!$D$8,IF(AND(AB438&lt;=$J153,AB438&gt;$K153),Tarification!$D$9,IF(AND(AB438&lt;=$K153,AB438&gt;0),Tarification!$D$10,0)))</f>
        <v>0</v>
      </c>
      <c r="AC728" s="37">
        <f>IF(AND(AC438&lt;=$I153,AC438&gt;$J153),Tarification!$D$8,IF(AND(AC438&lt;=$J153,AC438&gt;$K153),Tarification!$D$9,IF(AND(AC438&lt;=$K153,AC438&gt;0),Tarification!$D$10,0)))</f>
        <v>125000</v>
      </c>
      <c r="AD728" s="37">
        <f>IF(AND(AD438&lt;=$I153,AD438&gt;$J153),Tarification!$D$8,IF(AND(AD438&lt;=$J153,AD438&gt;$K153),Tarification!$D$9,IF(AND(AD438&lt;=$K153,AD438&gt;0),Tarification!$D$10,0)))</f>
        <v>125000</v>
      </c>
      <c r="AE728" s="37">
        <f>IF(AND(AE438&lt;=$I153,AE438&gt;$J153),Tarification!$D$8,IF(AND(AE438&lt;=$J153,AE438&gt;$K153),Tarification!$D$9,IF(AND(AE438&lt;=$K153,AE438&gt;0),Tarification!$D$10,0)))</f>
        <v>125000</v>
      </c>
      <c r="AF728" s="37">
        <f>IF(AND(AF438&lt;=$I153,AF438&gt;$J153),Tarification!$D$8,IF(AND(AF438&lt;=$J153,AF438&gt;$K153),Tarification!$D$9,IF(AND(AF438&lt;=$K153,AF438&gt;0),Tarification!$D$10,0)))</f>
        <v>50000</v>
      </c>
      <c r="AG728" s="37">
        <f>IF(AND(AG438&lt;=$I153,AG438&gt;$J153),Tarification!$D$8,IF(AND(AG438&lt;=$J153,AG438&gt;$K153),Tarification!$D$9,IF(AND(AG438&lt;=$K153,AG438&gt;0),Tarification!$D$10,0)))</f>
        <v>0</v>
      </c>
      <c r="AH728" s="37">
        <f>IF(AND(AH438&lt;=$I153,AH438&gt;$J153),Tarification!$D$8,IF(AND(AH438&lt;=$J153,AH438&gt;$K153),Tarification!$D$9,IF(AND(AH438&lt;=$K153,AH438&gt;0),Tarification!$D$10,0)))</f>
        <v>0</v>
      </c>
      <c r="AI728" s="37">
        <f>IF(AND(AI438&lt;=$I153,AI438&gt;$J153),Tarification!$D$8,IF(AND(AI438&lt;=$J153,AI438&gt;$K153),Tarification!$D$9,IF(AND(AI438&lt;=$K153,AI438&gt;0),Tarification!$D$10,0)))</f>
        <v>0</v>
      </c>
      <c r="AJ728" s="37">
        <f>IF(AND(AJ438&lt;=$I153,AJ438&gt;$J153),Tarification!$D$8,IF(AND(AJ438&lt;=$J153,AJ438&gt;$K153),Tarification!$D$9,IF(AND(AJ438&lt;=$K153,AJ438&gt;0),Tarification!$D$10,0)))</f>
        <v>50000</v>
      </c>
      <c r="AK728" s="37">
        <f>IF(AND(AK438&lt;=$I153,AK438&gt;$J153),Tarification!$D$8,IF(AND(AK438&lt;=$J153,AK438&gt;$K153),Tarification!$D$9,IF(AND(AK438&lt;=$K153,AK438&gt;0),Tarification!$D$10,0)))</f>
        <v>0</v>
      </c>
      <c r="AL728" s="37">
        <f>IF(AND(AL438&lt;=$I153,AL438&gt;$J153),Tarification!$D$8,IF(AND(AL438&lt;=$J153,AL438&gt;$K153),Tarification!$D$9,IF(AND(AL438&lt;=$K153,AL438&gt;0),Tarification!$D$10,0)))</f>
        <v>0</v>
      </c>
      <c r="AM728" s="37">
        <f>IF(AND(AM438&lt;=$I153,AM438&gt;$J153),Tarification!$D$8,IF(AND(AM438&lt;=$J153,AM438&gt;$K153),Tarification!$D$9,IF(AND(AM438&lt;=$K153,AM438&gt;0),Tarification!$D$10,0)))</f>
        <v>0</v>
      </c>
      <c r="AN728" s="37">
        <f>IF(AND(AN438&lt;=$I153,AN438&gt;$J153),Tarification!$D$8,IF(AND(AN438&lt;=$J153,AN438&gt;$K153),Tarification!$D$9,IF(AND(AN438&lt;=$K153,AN438&gt;0),Tarification!$D$10,0)))</f>
        <v>125000</v>
      </c>
      <c r="AQ728" s="101">
        <f t="shared" si="150"/>
        <v>31578.947368421053</v>
      </c>
    </row>
    <row r="729" spans="14:43" ht="15.6">
      <c r="N729" s="39" t="s">
        <v>27</v>
      </c>
      <c r="O729" s="39" t="s">
        <v>417</v>
      </c>
      <c r="P729" t="s">
        <v>756</v>
      </c>
      <c r="Q729" s="39"/>
      <c r="V729" s="37">
        <f>IF(AND(V439&lt;=$I154,V439&gt;$J154),Tarification!$D$8,IF(AND(V439&lt;=$J154,V439&gt;$K154),Tarification!$D$9,IF(AND(V439&lt;=$K154,V439&gt;0),Tarification!$D$10,0)))</f>
        <v>0</v>
      </c>
      <c r="W729" s="37">
        <f>IF(AND(W439&lt;=$I154,W439&gt;$J154),Tarification!$D$8,IF(AND(W439&lt;=$J154,W439&gt;$K154),Tarification!$D$9,IF(AND(W439&lt;=$K154,W439&gt;0),Tarification!$D$10,0)))</f>
        <v>50000</v>
      </c>
      <c r="X729" s="37">
        <f>IF(AND(X439&lt;=$I154,X439&gt;$J154),Tarification!$D$8,IF(AND(X439&lt;=$J154,X439&gt;$K154),Tarification!$D$9,IF(AND(X439&lt;=$K154,X439&gt;0),Tarification!$D$10,0)))</f>
        <v>0</v>
      </c>
      <c r="Y729" s="37">
        <f>IF(AND(Y439&lt;=$I154,Y439&gt;$J154),Tarification!$D$8,IF(AND(Y439&lt;=$J154,Y439&gt;$K154),Tarification!$D$9,IF(AND(Y439&lt;=$K154,Y439&gt;0),Tarification!$D$10,0)))</f>
        <v>0</v>
      </c>
      <c r="Z729" s="37">
        <f>IF(AND(Z439&lt;=$I154,Z439&gt;$J154),Tarification!$D$8,IF(AND(Z439&lt;=$J154,Z439&gt;$K154),Tarification!$D$9,IF(AND(Z439&lt;=$K154,Z439&gt;0),Tarification!$D$10,0)))</f>
        <v>50000</v>
      </c>
      <c r="AA729" s="37">
        <f>IF(AND(AA439&lt;=$I154,AA439&gt;$J154),Tarification!$D$8,IF(AND(AA439&lt;=$J154,AA439&gt;$K154),Tarification!$D$9,IF(AND(AA439&lt;=$K154,AA439&gt;0),Tarification!$D$10,0)))</f>
        <v>50000</v>
      </c>
      <c r="AB729" s="37">
        <f>IF(AND(AB439&lt;=$I154,AB439&gt;$J154),Tarification!$D$8,IF(AND(AB439&lt;=$J154,AB439&gt;$K154),Tarification!$D$9,IF(AND(AB439&lt;=$K154,AB439&gt;0),Tarification!$D$10,0)))</f>
        <v>0</v>
      </c>
      <c r="AC729" s="37">
        <f>IF(AND(AC439&lt;=$I154,AC439&gt;$J154),Tarification!$D$8,IF(AND(AC439&lt;=$J154,AC439&gt;$K154),Tarification!$D$9,IF(AND(AC439&lt;=$K154,AC439&gt;0),Tarification!$D$10,0)))</f>
        <v>0</v>
      </c>
      <c r="AD729" s="37">
        <f>IF(AND(AD439&lt;=$I154,AD439&gt;$J154),Tarification!$D$8,IF(AND(AD439&lt;=$J154,AD439&gt;$K154),Tarification!$D$9,IF(AND(AD439&lt;=$K154,AD439&gt;0),Tarification!$D$10,0)))</f>
        <v>50000</v>
      </c>
      <c r="AE729" s="37">
        <f>IF(AND(AE439&lt;=$I154,AE439&gt;$J154),Tarification!$D$8,IF(AND(AE439&lt;=$J154,AE439&gt;$K154),Tarification!$D$9,IF(AND(AE439&lt;=$K154,AE439&gt;0),Tarification!$D$10,0)))</f>
        <v>0</v>
      </c>
      <c r="AF729" s="37">
        <f>IF(AND(AF439&lt;=$I154,AF439&gt;$J154),Tarification!$D$8,IF(AND(AF439&lt;=$J154,AF439&gt;$K154),Tarification!$D$9,IF(AND(AF439&lt;=$K154,AF439&gt;0),Tarification!$D$10,0)))</f>
        <v>125000</v>
      </c>
      <c r="AG729" s="37">
        <f>IF(AND(AG439&lt;=$I154,AG439&gt;$J154),Tarification!$D$8,IF(AND(AG439&lt;=$J154,AG439&gt;$K154),Tarification!$D$9,IF(AND(AG439&lt;=$K154,AG439&gt;0),Tarification!$D$10,0)))</f>
        <v>50000</v>
      </c>
      <c r="AH729" s="37">
        <f>IF(AND(AH439&lt;=$I154,AH439&gt;$J154),Tarification!$D$8,IF(AND(AH439&lt;=$J154,AH439&gt;$K154),Tarification!$D$9,IF(AND(AH439&lt;=$K154,AH439&gt;0),Tarification!$D$10,0)))</f>
        <v>0</v>
      </c>
      <c r="AI729" s="37">
        <f>IF(AND(AI439&lt;=$I154,AI439&gt;$J154),Tarification!$D$8,IF(AND(AI439&lt;=$J154,AI439&gt;$K154),Tarification!$D$9,IF(AND(AI439&lt;=$K154,AI439&gt;0),Tarification!$D$10,0)))</f>
        <v>0</v>
      </c>
      <c r="AJ729" s="37">
        <f>IF(AND(AJ439&lt;=$I154,AJ439&gt;$J154),Tarification!$D$8,IF(AND(AJ439&lt;=$J154,AJ439&gt;$K154),Tarification!$D$9,IF(AND(AJ439&lt;=$K154,AJ439&gt;0),Tarification!$D$10,0)))</f>
        <v>50000</v>
      </c>
      <c r="AK729" s="37">
        <f>IF(AND(AK439&lt;=$I154,AK439&gt;$J154),Tarification!$D$8,IF(AND(AK439&lt;=$J154,AK439&gt;$K154),Tarification!$D$9,IF(AND(AK439&lt;=$K154,AK439&gt;0),Tarification!$D$10,0)))</f>
        <v>0</v>
      </c>
      <c r="AL729" s="37">
        <f>IF(AND(AL439&lt;=$I154,AL439&gt;$J154),Tarification!$D$8,IF(AND(AL439&lt;=$J154,AL439&gt;$K154),Tarification!$D$9,IF(AND(AL439&lt;=$K154,AL439&gt;0),Tarification!$D$10,0)))</f>
        <v>0</v>
      </c>
      <c r="AM729" s="37">
        <f>IF(AND(AM439&lt;=$I154,AM439&gt;$J154),Tarification!$D$8,IF(AND(AM439&lt;=$J154,AM439&gt;$K154),Tarification!$D$9,IF(AND(AM439&lt;=$K154,AM439&gt;0),Tarification!$D$10,0)))</f>
        <v>0</v>
      </c>
      <c r="AN729" s="37">
        <f>IF(AND(AN439&lt;=$I154,AN439&gt;$J154),Tarification!$D$8,IF(AND(AN439&lt;=$J154,AN439&gt;$K154),Tarification!$D$9,IF(AND(AN439&lt;=$K154,AN439&gt;0),Tarification!$D$10,0)))</f>
        <v>0</v>
      </c>
      <c r="AQ729" s="101">
        <f t="shared" si="150"/>
        <v>22368.42105263158</v>
      </c>
    </row>
    <row r="730" spans="14:43" ht="15.6">
      <c r="N730" s="39" t="s">
        <v>27</v>
      </c>
      <c r="O730" s="39" t="s">
        <v>609</v>
      </c>
      <c r="P730" t="s">
        <v>757</v>
      </c>
      <c r="Q730" s="39"/>
      <c r="V730" s="37">
        <f>IF(AND(V440&lt;=$I155,V440&gt;$J155),Tarification!$D$8,IF(AND(V440&lt;=$J155,V440&gt;$K155),Tarification!$D$9,IF(AND(V440&lt;=$K155,V440&gt;0),Tarification!$D$10,0)))</f>
        <v>0</v>
      </c>
      <c r="W730" s="37">
        <f>IF(AND(W440&lt;=$I155,W440&gt;$J155),Tarification!$D$8,IF(AND(W440&lt;=$J155,W440&gt;$K155),Tarification!$D$9,IF(AND(W440&lt;=$K155,W440&gt;0),Tarification!$D$10,0)))</f>
        <v>50000</v>
      </c>
      <c r="X730" s="37">
        <f>IF(AND(X440&lt;=$I155,X440&gt;$J155),Tarification!$D$8,IF(AND(X440&lt;=$J155,X440&gt;$K155),Tarification!$D$9,IF(AND(X440&lt;=$K155,X440&gt;0),Tarification!$D$10,0)))</f>
        <v>0</v>
      </c>
      <c r="Y730" s="37">
        <f>IF(AND(Y440&lt;=$I155,Y440&gt;$J155),Tarification!$D$8,IF(AND(Y440&lt;=$J155,Y440&gt;$K155),Tarification!$D$9,IF(AND(Y440&lt;=$K155,Y440&gt;0),Tarification!$D$10,0)))</f>
        <v>0</v>
      </c>
      <c r="Z730" s="37">
        <f>IF(AND(Z440&lt;=$I155,Z440&gt;$J155),Tarification!$D$8,IF(AND(Z440&lt;=$J155,Z440&gt;$K155),Tarification!$D$9,IF(AND(Z440&lt;=$K155,Z440&gt;0),Tarification!$D$10,0)))</f>
        <v>0</v>
      </c>
      <c r="AA730" s="37">
        <f>IF(AND(AA440&lt;=$I155,AA440&gt;$J155),Tarification!$D$8,IF(AND(AA440&lt;=$J155,AA440&gt;$K155),Tarification!$D$9,IF(AND(AA440&lt;=$K155,AA440&gt;0),Tarification!$D$10,0)))</f>
        <v>0</v>
      </c>
      <c r="AB730" s="37">
        <f>IF(AND(AB440&lt;=$I155,AB440&gt;$J155),Tarification!$D$8,IF(AND(AB440&lt;=$J155,AB440&gt;$K155),Tarification!$D$9,IF(AND(AB440&lt;=$K155,AB440&gt;0),Tarification!$D$10,0)))</f>
        <v>0</v>
      </c>
      <c r="AC730" s="37">
        <f>IF(AND(AC440&lt;=$I155,AC440&gt;$J155),Tarification!$D$8,IF(AND(AC440&lt;=$J155,AC440&gt;$K155),Tarification!$D$9,IF(AND(AC440&lt;=$K155,AC440&gt;0),Tarification!$D$10,0)))</f>
        <v>125000</v>
      </c>
      <c r="AD730" s="37">
        <f>IF(AND(AD440&lt;=$I155,AD440&gt;$J155),Tarification!$D$8,IF(AND(AD440&lt;=$J155,AD440&gt;$K155),Tarification!$D$9,IF(AND(AD440&lt;=$K155,AD440&gt;0),Tarification!$D$10,0)))</f>
        <v>50000</v>
      </c>
      <c r="AE730" s="37">
        <f>IF(AND(AE440&lt;=$I155,AE440&gt;$J155),Tarification!$D$8,IF(AND(AE440&lt;=$J155,AE440&gt;$K155),Tarification!$D$9,IF(AND(AE440&lt;=$K155,AE440&gt;0),Tarification!$D$10,0)))</f>
        <v>0</v>
      </c>
      <c r="AF730" s="37">
        <f>IF(AND(AF440&lt;=$I155,AF440&gt;$J155),Tarification!$D$8,IF(AND(AF440&lt;=$J155,AF440&gt;$K155),Tarification!$D$9,IF(AND(AF440&lt;=$K155,AF440&gt;0),Tarification!$D$10,0)))</f>
        <v>0</v>
      </c>
      <c r="AG730" s="37">
        <f>IF(AND(AG440&lt;=$I155,AG440&gt;$J155),Tarification!$D$8,IF(AND(AG440&lt;=$J155,AG440&gt;$K155),Tarification!$D$9,IF(AND(AG440&lt;=$K155,AG440&gt;0),Tarification!$D$10,0)))</f>
        <v>0</v>
      </c>
      <c r="AH730" s="37">
        <f>IF(AND(AH440&lt;=$I155,AH440&gt;$J155),Tarification!$D$8,IF(AND(AH440&lt;=$J155,AH440&gt;$K155),Tarification!$D$9,IF(AND(AH440&lt;=$K155,AH440&gt;0),Tarification!$D$10,0)))</f>
        <v>0</v>
      </c>
      <c r="AI730" s="37">
        <f>IF(AND(AI440&lt;=$I155,AI440&gt;$J155),Tarification!$D$8,IF(AND(AI440&lt;=$J155,AI440&gt;$K155),Tarification!$D$9,IF(AND(AI440&lt;=$K155,AI440&gt;0),Tarification!$D$10,0)))</f>
        <v>0</v>
      </c>
      <c r="AJ730" s="37">
        <f>IF(AND(AJ440&lt;=$I155,AJ440&gt;$J155),Tarification!$D$8,IF(AND(AJ440&lt;=$J155,AJ440&gt;$K155),Tarification!$D$9,IF(AND(AJ440&lt;=$K155,AJ440&gt;0),Tarification!$D$10,0)))</f>
        <v>0</v>
      </c>
      <c r="AK730" s="37">
        <f>IF(AND(AK440&lt;=$I155,AK440&gt;$J155),Tarification!$D$8,IF(AND(AK440&lt;=$J155,AK440&gt;$K155),Tarification!$D$9,IF(AND(AK440&lt;=$K155,AK440&gt;0),Tarification!$D$10,0)))</f>
        <v>0</v>
      </c>
      <c r="AL730" s="37">
        <f>IF(AND(AL440&lt;=$I155,AL440&gt;$J155),Tarification!$D$8,IF(AND(AL440&lt;=$J155,AL440&gt;$K155),Tarification!$D$9,IF(AND(AL440&lt;=$K155,AL440&gt;0),Tarification!$D$10,0)))</f>
        <v>0</v>
      </c>
      <c r="AM730" s="37">
        <f>IF(AND(AM440&lt;=$I155,AM440&gt;$J155),Tarification!$D$8,IF(AND(AM440&lt;=$J155,AM440&gt;$K155),Tarification!$D$9,IF(AND(AM440&lt;=$K155,AM440&gt;0),Tarification!$D$10,0)))</f>
        <v>0</v>
      </c>
      <c r="AN730" s="37">
        <f>IF(AND(AN440&lt;=$I155,AN440&gt;$J155),Tarification!$D$8,IF(AND(AN440&lt;=$J155,AN440&gt;$K155),Tarification!$D$9,IF(AND(AN440&lt;=$K155,AN440&gt;0),Tarification!$D$10,0)))</f>
        <v>0</v>
      </c>
      <c r="AQ730" s="101">
        <f t="shared" si="150"/>
        <v>11842.105263157895</v>
      </c>
    </row>
    <row r="731" spans="14:43" ht="15.6">
      <c r="N731" s="39" t="s">
        <v>27</v>
      </c>
      <c r="O731" s="39" t="s">
        <v>448</v>
      </c>
      <c r="P731" t="s">
        <v>758</v>
      </c>
      <c r="Q731" s="39"/>
      <c r="V731" s="37">
        <f>IF(AND(V441&lt;=$I156,V441&gt;$J156),Tarification!$D$8,IF(AND(V441&lt;=$J156,V441&gt;$K156),Tarification!$D$9,IF(AND(V441&lt;=$K156,V441&gt;0),Tarification!$D$10,0)))</f>
        <v>0</v>
      </c>
      <c r="W731" s="37">
        <f>IF(AND(W441&lt;=$I156,W441&gt;$J156),Tarification!$D$8,IF(AND(W441&lt;=$J156,W441&gt;$K156),Tarification!$D$9,IF(AND(W441&lt;=$K156,W441&gt;0),Tarification!$D$10,0)))</f>
        <v>0</v>
      </c>
      <c r="X731" s="37">
        <f>IF(AND(X441&lt;=$I156,X441&gt;$J156),Tarification!$D$8,IF(AND(X441&lt;=$J156,X441&gt;$K156),Tarification!$D$9,IF(AND(X441&lt;=$K156,X441&gt;0),Tarification!$D$10,0)))</f>
        <v>0</v>
      </c>
      <c r="Y731" s="37">
        <f>IF(AND(Y441&lt;=$I156,Y441&gt;$J156),Tarification!$D$8,IF(AND(Y441&lt;=$J156,Y441&gt;$K156),Tarification!$D$9,IF(AND(Y441&lt;=$K156,Y441&gt;0),Tarification!$D$10,0)))</f>
        <v>0</v>
      </c>
      <c r="Z731" s="37">
        <f>IF(AND(Z441&lt;=$I156,Z441&gt;$J156),Tarification!$D$8,IF(AND(Z441&lt;=$J156,Z441&gt;$K156),Tarification!$D$9,IF(AND(Z441&lt;=$K156,Z441&gt;0),Tarification!$D$10,0)))</f>
        <v>0</v>
      </c>
      <c r="AA731" s="37">
        <f>IF(AND(AA441&lt;=$I156,AA441&gt;$J156),Tarification!$D$8,IF(AND(AA441&lt;=$J156,AA441&gt;$K156),Tarification!$D$9,IF(AND(AA441&lt;=$K156,AA441&gt;0),Tarification!$D$10,0)))</f>
        <v>0</v>
      </c>
      <c r="AB731" s="37">
        <f>IF(AND(AB441&lt;=$I156,AB441&gt;$J156),Tarification!$D$8,IF(AND(AB441&lt;=$J156,AB441&gt;$K156),Tarification!$D$9,IF(AND(AB441&lt;=$K156,AB441&gt;0),Tarification!$D$10,0)))</f>
        <v>0</v>
      </c>
      <c r="AC731" s="37">
        <f>IF(AND(AC441&lt;=$I156,AC441&gt;$J156),Tarification!$D$8,IF(AND(AC441&lt;=$J156,AC441&gt;$K156),Tarification!$D$9,IF(AND(AC441&lt;=$K156,AC441&gt;0),Tarification!$D$10,0)))</f>
        <v>0</v>
      </c>
      <c r="AD731" s="37">
        <f>IF(AND(AD441&lt;=$I156,AD441&gt;$J156),Tarification!$D$8,IF(AND(AD441&lt;=$J156,AD441&gt;$K156),Tarification!$D$9,IF(AND(AD441&lt;=$K156,AD441&gt;0),Tarification!$D$10,0)))</f>
        <v>0</v>
      </c>
      <c r="AE731" s="37">
        <f>IF(AND(AE441&lt;=$I156,AE441&gt;$J156),Tarification!$D$8,IF(AND(AE441&lt;=$J156,AE441&gt;$K156),Tarification!$D$9,IF(AND(AE441&lt;=$K156,AE441&gt;0),Tarification!$D$10,0)))</f>
        <v>0</v>
      </c>
      <c r="AF731" s="37">
        <f>IF(AND(AF441&lt;=$I156,AF441&gt;$J156),Tarification!$D$8,IF(AND(AF441&lt;=$J156,AF441&gt;$K156),Tarification!$D$9,IF(AND(AF441&lt;=$K156,AF441&gt;0),Tarification!$D$10,0)))</f>
        <v>0</v>
      </c>
      <c r="AG731" s="37">
        <f>IF(AND(AG441&lt;=$I156,AG441&gt;$J156),Tarification!$D$8,IF(AND(AG441&lt;=$J156,AG441&gt;$K156),Tarification!$D$9,IF(AND(AG441&lt;=$K156,AG441&gt;0),Tarification!$D$10,0)))</f>
        <v>0</v>
      </c>
      <c r="AH731" s="37">
        <f>IF(AND(AH441&lt;=$I156,AH441&gt;$J156),Tarification!$D$8,IF(AND(AH441&lt;=$J156,AH441&gt;$K156),Tarification!$D$9,IF(AND(AH441&lt;=$K156,AH441&gt;0),Tarification!$D$10,0)))</f>
        <v>0</v>
      </c>
      <c r="AI731" s="37">
        <f>IF(AND(AI441&lt;=$I156,AI441&gt;$J156),Tarification!$D$8,IF(AND(AI441&lt;=$J156,AI441&gt;$K156),Tarification!$D$9,IF(AND(AI441&lt;=$K156,AI441&gt;0),Tarification!$D$10,0)))</f>
        <v>0</v>
      </c>
      <c r="AJ731" s="37">
        <f>IF(AND(AJ441&lt;=$I156,AJ441&gt;$J156),Tarification!$D$8,IF(AND(AJ441&lt;=$J156,AJ441&gt;$K156),Tarification!$D$9,IF(AND(AJ441&lt;=$K156,AJ441&gt;0),Tarification!$D$10,0)))</f>
        <v>0</v>
      </c>
      <c r="AK731" s="37">
        <f>IF(AND(AK441&lt;=$I156,AK441&gt;$J156),Tarification!$D$8,IF(AND(AK441&lt;=$J156,AK441&gt;$K156),Tarification!$D$9,IF(AND(AK441&lt;=$K156,AK441&gt;0),Tarification!$D$10,0)))</f>
        <v>0</v>
      </c>
      <c r="AL731" s="37">
        <f>IF(AND(AL441&lt;=$I156,AL441&gt;$J156),Tarification!$D$8,IF(AND(AL441&lt;=$J156,AL441&gt;$K156),Tarification!$D$9,IF(AND(AL441&lt;=$K156,AL441&gt;0),Tarification!$D$10,0)))</f>
        <v>0</v>
      </c>
      <c r="AM731" s="37">
        <f>IF(AND(AM441&lt;=$I156,AM441&gt;$J156),Tarification!$D$8,IF(AND(AM441&lt;=$J156,AM441&gt;$K156),Tarification!$D$9,IF(AND(AM441&lt;=$K156,AM441&gt;0),Tarification!$D$10,0)))</f>
        <v>0</v>
      </c>
      <c r="AN731" s="37">
        <f>IF(AND(AN441&lt;=$I156,AN441&gt;$J156),Tarification!$D$8,IF(AND(AN441&lt;=$J156,AN441&gt;$K156),Tarification!$D$9,IF(AND(AN441&lt;=$K156,AN441&gt;0),Tarification!$D$10,0)))</f>
        <v>0</v>
      </c>
      <c r="AQ731" s="101">
        <f t="shared" si="150"/>
        <v>0</v>
      </c>
    </row>
    <row r="732" spans="14:43" ht="15.6">
      <c r="N732" s="39" t="s">
        <v>27</v>
      </c>
      <c r="O732" s="39" t="s">
        <v>551</v>
      </c>
      <c r="P732" t="s">
        <v>759</v>
      </c>
      <c r="Q732" s="39"/>
      <c r="V732" s="37">
        <f>IF(AND(V442&lt;=$I157,V442&gt;$J157),Tarification!$D$8,IF(AND(V442&lt;=$J157,V442&gt;$K157),Tarification!$D$9,IF(AND(V442&lt;=$K157,V442&gt;0),Tarification!$D$10,0)))</f>
        <v>0</v>
      </c>
      <c r="W732" s="37">
        <f>IF(AND(W442&lt;=$I157,W442&gt;$J157),Tarification!$D$8,IF(AND(W442&lt;=$J157,W442&gt;$K157),Tarification!$D$9,IF(AND(W442&lt;=$K157,W442&gt;0),Tarification!$D$10,0)))</f>
        <v>50000</v>
      </c>
      <c r="X732" s="37">
        <f>IF(AND(X442&lt;=$I157,X442&gt;$J157),Tarification!$D$8,IF(AND(X442&lt;=$J157,X442&gt;$K157),Tarification!$D$9,IF(AND(X442&lt;=$K157,X442&gt;0),Tarification!$D$10,0)))</f>
        <v>0</v>
      </c>
      <c r="Y732" s="37">
        <f>IF(AND(Y442&lt;=$I157,Y442&gt;$J157),Tarification!$D$8,IF(AND(Y442&lt;=$J157,Y442&gt;$K157),Tarification!$D$9,IF(AND(Y442&lt;=$K157,Y442&gt;0),Tarification!$D$10,0)))</f>
        <v>0</v>
      </c>
      <c r="Z732" s="37">
        <f>IF(AND(Z442&lt;=$I157,Z442&gt;$J157),Tarification!$D$8,IF(AND(Z442&lt;=$J157,Z442&gt;$K157),Tarification!$D$9,IF(AND(Z442&lt;=$K157,Z442&gt;0),Tarification!$D$10,0)))</f>
        <v>50000</v>
      </c>
      <c r="AA732" s="37">
        <f>IF(AND(AA442&lt;=$I157,AA442&gt;$J157),Tarification!$D$8,IF(AND(AA442&lt;=$J157,AA442&gt;$K157),Tarification!$D$9,IF(AND(AA442&lt;=$K157,AA442&gt;0),Tarification!$D$10,0)))</f>
        <v>0</v>
      </c>
      <c r="AB732" s="37">
        <f>IF(AND(AB442&lt;=$I157,AB442&gt;$J157),Tarification!$D$8,IF(AND(AB442&lt;=$J157,AB442&gt;$K157),Tarification!$D$9,IF(AND(AB442&lt;=$K157,AB442&gt;0),Tarification!$D$10,0)))</f>
        <v>0</v>
      </c>
      <c r="AC732" s="37">
        <f>IF(AND(AC442&lt;=$I157,AC442&gt;$J157),Tarification!$D$8,IF(AND(AC442&lt;=$J157,AC442&gt;$K157),Tarification!$D$9,IF(AND(AC442&lt;=$K157,AC442&gt;0),Tarification!$D$10,0)))</f>
        <v>0</v>
      </c>
      <c r="AD732" s="37">
        <f>IF(AND(AD442&lt;=$I157,AD442&gt;$J157),Tarification!$D$8,IF(AND(AD442&lt;=$J157,AD442&gt;$K157),Tarification!$D$9,IF(AND(AD442&lt;=$K157,AD442&gt;0),Tarification!$D$10,0)))</f>
        <v>125000</v>
      </c>
      <c r="AE732" s="37">
        <f>IF(AND(AE442&lt;=$I157,AE442&gt;$J157),Tarification!$D$8,IF(AND(AE442&lt;=$J157,AE442&gt;$K157),Tarification!$D$9,IF(AND(AE442&lt;=$K157,AE442&gt;0),Tarification!$D$10,0)))</f>
        <v>125000</v>
      </c>
      <c r="AF732" s="37">
        <f>IF(AND(AF442&lt;=$I157,AF442&gt;$J157),Tarification!$D$8,IF(AND(AF442&lt;=$J157,AF442&gt;$K157),Tarification!$D$9,IF(AND(AF442&lt;=$K157,AF442&gt;0),Tarification!$D$10,0)))</f>
        <v>50000</v>
      </c>
      <c r="AG732" s="37">
        <f>IF(AND(AG442&lt;=$I157,AG442&gt;$J157),Tarification!$D$8,IF(AND(AG442&lt;=$J157,AG442&gt;$K157),Tarification!$D$9,IF(AND(AG442&lt;=$K157,AG442&gt;0),Tarification!$D$10,0)))</f>
        <v>0</v>
      </c>
      <c r="AH732" s="37">
        <f>IF(AND(AH442&lt;=$I157,AH442&gt;$J157),Tarification!$D$8,IF(AND(AH442&lt;=$J157,AH442&gt;$K157),Tarification!$D$9,IF(AND(AH442&lt;=$K157,AH442&gt;0),Tarification!$D$10,0)))</f>
        <v>0</v>
      </c>
      <c r="AI732" s="37">
        <f>IF(AND(AI442&lt;=$I157,AI442&gt;$J157),Tarification!$D$8,IF(AND(AI442&lt;=$J157,AI442&gt;$K157),Tarification!$D$9,IF(AND(AI442&lt;=$K157,AI442&gt;0),Tarification!$D$10,0)))</f>
        <v>0</v>
      </c>
      <c r="AJ732" s="37">
        <f>IF(AND(AJ442&lt;=$I157,AJ442&gt;$J157),Tarification!$D$8,IF(AND(AJ442&lt;=$J157,AJ442&gt;$K157),Tarification!$D$9,IF(AND(AJ442&lt;=$K157,AJ442&gt;0),Tarification!$D$10,0)))</f>
        <v>0</v>
      </c>
      <c r="AK732" s="37">
        <f>IF(AND(AK442&lt;=$I157,AK442&gt;$J157),Tarification!$D$8,IF(AND(AK442&lt;=$J157,AK442&gt;$K157),Tarification!$D$9,IF(AND(AK442&lt;=$K157,AK442&gt;0),Tarification!$D$10,0)))</f>
        <v>0</v>
      </c>
      <c r="AL732" s="37">
        <f>IF(AND(AL442&lt;=$I157,AL442&gt;$J157),Tarification!$D$8,IF(AND(AL442&lt;=$J157,AL442&gt;$K157),Tarification!$D$9,IF(AND(AL442&lt;=$K157,AL442&gt;0),Tarification!$D$10,0)))</f>
        <v>0</v>
      </c>
      <c r="AM732" s="37">
        <f>IF(AND(AM442&lt;=$I157,AM442&gt;$J157),Tarification!$D$8,IF(AND(AM442&lt;=$J157,AM442&gt;$K157),Tarification!$D$9,IF(AND(AM442&lt;=$K157,AM442&gt;0),Tarification!$D$10,0)))</f>
        <v>0</v>
      </c>
      <c r="AN732" s="37">
        <f>IF(AND(AN442&lt;=$I157,AN442&gt;$J157),Tarification!$D$8,IF(AND(AN442&lt;=$J157,AN442&gt;$K157),Tarification!$D$9,IF(AND(AN442&lt;=$K157,AN442&gt;0),Tarification!$D$10,0)))</f>
        <v>0</v>
      </c>
      <c r="AQ732" s="101">
        <f t="shared" si="150"/>
        <v>21052.63157894737</v>
      </c>
    </row>
    <row r="733" spans="14:43" ht="15.6">
      <c r="N733" s="39" t="s">
        <v>27</v>
      </c>
      <c r="O733" s="39" t="s">
        <v>551</v>
      </c>
      <c r="P733" t="s">
        <v>760</v>
      </c>
      <c r="Q733" s="39"/>
      <c r="V733" s="37">
        <f>IF(AND(V443&lt;=$I158,V443&gt;$J158),Tarification!$D$8,IF(AND(V443&lt;=$J158,V443&gt;$K158),Tarification!$D$9,IF(AND(V443&lt;=$K158,V443&gt;0),Tarification!$D$10,0)))</f>
        <v>0</v>
      </c>
      <c r="W733" s="37">
        <f>IF(AND(W443&lt;=$I158,W443&gt;$J158),Tarification!$D$8,IF(AND(W443&lt;=$J158,W443&gt;$K158),Tarification!$D$9,IF(AND(W443&lt;=$K158,W443&gt;0),Tarification!$D$10,0)))</f>
        <v>50000</v>
      </c>
      <c r="X733" s="37">
        <f>IF(AND(X443&lt;=$I158,X443&gt;$J158),Tarification!$D$8,IF(AND(X443&lt;=$J158,X443&gt;$K158),Tarification!$D$9,IF(AND(X443&lt;=$K158,X443&gt;0),Tarification!$D$10,0)))</f>
        <v>0</v>
      </c>
      <c r="Y733" s="37">
        <f>IF(AND(Y443&lt;=$I158,Y443&gt;$J158),Tarification!$D$8,IF(AND(Y443&lt;=$J158,Y443&gt;$K158),Tarification!$D$9,IF(AND(Y443&lt;=$K158,Y443&gt;0),Tarification!$D$10,0)))</f>
        <v>0</v>
      </c>
      <c r="Z733" s="37">
        <f>IF(AND(Z443&lt;=$I158,Z443&gt;$J158),Tarification!$D$8,IF(AND(Z443&lt;=$J158,Z443&gt;$K158),Tarification!$D$9,IF(AND(Z443&lt;=$K158,Z443&gt;0),Tarification!$D$10,0)))</f>
        <v>125000</v>
      </c>
      <c r="AA733" s="37">
        <f>IF(AND(AA443&lt;=$I158,AA443&gt;$J158),Tarification!$D$8,IF(AND(AA443&lt;=$J158,AA443&gt;$K158),Tarification!$D$9,IF(AND(AA443&lt;=$K158,AA443&gt;0),Tarification!$D$10,0)))</f>
        <v>0</v>
      </c>
      <c r="AB733" s="37">
        <f>IF(AND(AB443&lt;=$I158,AB443&gt;$J158),Tarification!$D$8,IF(AND(AB443&lt;=$J158,AB443&gt;$K158),Tarification!$D$9,IF(AND(AB443&lt;=$K158,AB443&gt;0),Tarification!$D$10,0)))</f>
        <v>0</v>
      </c>
      <c r="AC733" s="37">
        <f>IF(AND(AC443&lt;=$I158,AC443&gt;$J158),Tarification!$D$8,IF(AND(AC443&lt;=$J158,AC443&gt;$K158),Tarification!$D$9,IF(AND(AC443&lt;=$K158,AC443&gt;0),Tarification!$D$10,0)))</f>
        <v>0</v>
      </c>
      <c r="AD733" s="37">
        <f>IF(AND(AD443&lt;=$I158,AD443&gt;$J158),Tarification!$D$8,IF(AND(AD443&lt;=$J158,AD443&gt;$K158),Tarification!$D$9,IF(AND(AD443&lt;=$K158,AD443&gt;0),Tarification!$D$10,0)))</f>
        <v>125000</v>
      </c>
      <c r="AE733" s="37">
        <f>IF(AND(AE443&lt;=$I158,AE443&gt;$J158),Tarification!$D$8,IF(AND(AE443&lt;=$J158,AE443&gt;$K158),Tarification!$D$9,IF(AND(AE443&lt;=$K158,AE443&gt;0),Tarification!$D$10,0)))</f>
        <v>125000</v>
      </c>
      <c r="AF733" s="37">
        <f>IF(AND(AF443&lt;=$I158,AF443&gt;$J158),Tarification!$D$8,IF(AND(AF443&lt;=$J158,AF443&gt;$K158),Tarification!$D$9,IF(AND(AF443&lt;=$K158,AF443&gt;0),Tarification!$D$10,0)))</f>
        <v>50000</v>
      </c>
      <c r="AG733" s="37">
        <f>IF(AND(AG443&lt;=$I158,AG443&gt;$J158),Tarification!$D$8,IF(AND(AG443&lt;=$J158,AG443&gt;$K158),Tarification!$D$9,IF(AND(AG443&lt;=$K158,AG443&gt;0),Tarification!$D$10,0)))</f>
        <v>0</v>
      </c>
      <c r="AH733" s="37">
        <f>IF(AND(AH443&lt;=$I158,AH443&gt;$J158),Tarification!$D$8,IF(AND(AH443&lt;=$J158,AH443&gt;$K158),Tarification!$D$9,IF(AND(AH443&lt;=$K158,AH443&gt;0),Tarification!$D$10,0)))</f>
        <v>0</v>
      </c>
      <c r="AI733" s="37">
        <f>IF(AND(AI443&lt;=$I158,AI443&gt;$J158),Tarification!$D$8,IF(AND(AI443&lt;=$J158,AI443&gt;$K158),Tarification!$D$9,IF(AND(AI443&lt;=$K158,AI443&gt;0),Tarification!$D$10,0)))</f>
        <v>0</v>
      </c>
      <c r="AJ733" s="37">
        <f>IF(AND(AJ443&lt;=$I158,AJ443&gt;$J158),Tarification!$D$8,IF(AND(AJ443&lt;=$J158,AJ443&gt;$K158),Tarification!$D$9,IF(AND(AJ443&lt;=$K158,AJ443&gt;0),Tarification!$D$10,0)))</f>
        <v>0</v>
      </c>
      <c r="AK733" s="37">
        <f>IF(AND(AK443&lt;=$I158,AK443&gt;$J158),Tarification!$D$8,IF(AND(AK443&lt;=$J158,AK443&gt;$K158),Tarification!$D$9,IF(AND(AK443&lt;=$K158,AK443&gt;0),Tarification!$D$10,0)))</f>
        <v>0</v>
      </c>
      <c r="AL733" s="37">
        <f>IF(AND(AL443&lt;=$I158,AL443&gt;$J158),Tarification!$D$8,IF(AND(AL443&lt;=$J158,AL443&gt;$K158),Tarification!$D$9,IF(AND(AL443&lt;=$K158,AL443&gt;0),Tarification!$D$10,0)))</f>
        <v>0</v>
      </c>
      <c r="AM733" s="37">
        <f>IF(AND(AM443&lt;=$I158,AM443&gt;$J158),Tarification!$D$8,IF(AND(AM443&lt;=$J158,AM443&gt;$K158),Tarification!$D$9,IF(AND(AM443&lt;=$K158,AM443&gt;0),Tarification!$D$10,0)))</f>
        <v>0</v>
      </c>
      <c r="AN733" s="37">
        <f>IF(AND(AN443&lt;=$I158,AN443&gt;$J158),Tarification!$D$8,IF(AND(AN443&lt;=$J158,AN443&gt;$K158),Tarification!$D$9,IF(AND(AN443&lt;=$K158,AN443&gt;0),Tarification!$D$10,0)))</f>
        <v>0</v>
      </c>
      <c r="AQ733" s="101">
        <f t="shared" si="150"/>
        <v>25000</v>
      </c>
    </row>
    <row r="734" spans="14:43" ht="15.6">
      <c r="N734" s="39" t="s">
        <v>27</v>
      </c>
      <c r="O734" s="39" t="s">
        <v>479</v>
      </c>
      <c r="P734" t="s">
        <v>761</v>
      </c>
      <c r="Q734" s="39"/>
      <c r="V734" s="37">
        <f>IF(AND(V444&lt;=$I159,V444&gt;$J159),Tarification!$D$8,IF(AND(V444&lt;=$J159,V444&gt;$K159),Tarification!$D$9,IF(AND(V444&lt;=$K159,V444&gt;0),Tarification!$D$10,0)))</f>
        <v>0</v>
      </c>
      <c r="W734" s="37">
        <f>IF(AND(W444&lt;=$I159,W444&gt;$J159),Tarification!$D$8,IF(AND(W444&lt;=$J159,W444&gt;$K159),Tarification!$D$9,IF(AND(W444&lt;=$K159,W444&gt;0),Tarification!$D$10,0)))</f>
        <v>0</v>
      </c>
      <c r="X734" s="37">
        <f>IF(AND(X444&lt;=$I159,X444&gt;$J159),Tarification!$D$8,IF(AND(X444&lt;=$J159,X444&gt;$K159),Tarification!$D$9,IF(AND(X444&lt;=$K159,X444&gt;0),Tarification!$D$10,0)))</f>
        <v>0</v>
      </c>
      <c r="Y734" s="37">
        <f>IF(AND(Y444&lt;=$I159,Y444&gt;$J159),Tarification!$D$8,IF(AND(Y444&lt;=$J159,Y444&gt;$K159),Tarification!$D$9,IF(AND(Y444&lt;=$K159,Y444&gt;0),Tarification!$D$10,0)))</f>
        <v>0</v>
      </c>
      <c r="Z734" s="37">
        <f>IF(AND(Z444&lt;=$I159,Z444&gt;$J159),Tarification!$D$8,IF(AND(Z444&lt;=$J159,Z444&gt;$K159),Tarification!$D$9,IF(AND(Z444&lt;=$K159,Z444&gt;0),Tarification!$D$10,0)))</f>
        <v>0</v>
      </c>
      <c r="AA734" s="37">
        <f>IF(AND(AA444&lt;=$I159,AA444&gt;$J159),Tarification!$D$8,IF(AND(AA444&lt;=$J159,AA444&gt;$K159),Tarification!$D$9,IF(AND(AA444&lt;=$K159,AA444&gt;0),Tarification!$D$10,0)))</f>
        <v>0</v>
      </c>
      <c r="AB734" s="37">
        <f>IF(AND(AB444&lt;=$I159,AB444&gt;$J159),Tarification!$D$8,IF(AND(AB444&lt;=$J159,AB444&gt;$K159),Tarification!$D$9,IF(AND(AB444&lt;=$K159,AB444&gt;0),Tarification!$D$10,0)))</f>
        <v>0</v>
      </c>
      <c r="AC734" s="37">
        <f>IF(AND(AC444&lt;=$I159,AC444&gt;$J159),Tarification!$D$8,IF(AND(AC444&lt;=$J159,AC444&gt;$K159),Tarification!$D$9,IF(AND(AC444&lt;=$K159,AC444&gt;0),Tarification!$D$10,0)))</f>
        <v>0</v>
      </c>
      <c r="AD734" s="37">
        <f>IF(AND(AD444&lt;=$I159,AD444&gt;$J159),Tarification!$D$8,IF(AND(AD444&lt;=$J159,AD444&gt;$K159),Tarification!$D$9,IF(AND(AD444&lt;=$K159,AD444&gt;0),Tarification!$D$10,0)))</f>
        <v>0</v>
      </c>
      <c r="AE734" s="37">
        <f>IF(AND(AE444&lt;=$I159,AE444&gt;$J159),Tarification!$D$8,IF(AND(AE444&lt;=$J159,AE444&gt;$K159),Tarification!$D$9,IF(AND(AE444&lt;=$K159,AE444&gt;0),Tarification!$D$10,0)))</f>
        <v>0</v>
      </c>
      <c r="AF734" s="37">
        <f>IF(AND(AF444&lt;=$I159,AF444&gt;$J159),Tarification!$D$8,IF(AND(AF444&lt;=$J159,AF444&gt;$K159),Tarification!$D$9,IF(AND(AF444&lt;=$K159,AF444&gt;0),Tarification!$D$10,0)))</f>
        <v>0</v>
      </c>
      <c r="AG734" s="37">
        <f>IF(AND(AG444&lt;=$I159,AG444&gt;$J159),Tarification!$D$8,IF(AND(AG444&lt;=$J159,AG444&gt;$K159),Tarification!$D$9,IF(AND(AG444&lt;=$K159,AG444&gt;0),Tarification!$D$10,0)))</f>
        <v>0</v>
      </c>
      <c r="AH734" s="37">
        <f>IF(AND(AH444&lt;=$I159,AH444&gt;$J159),Tarification!$D$8,IF(AND(AH444&lt;=$J159,AH444&gt;$K159),Tarification!$D$9,IF(AND(AH444&lt;=$K159,AH444&gt;0),Tarification!$D$10,0)))</f>
        <v>0</v>
      </c>
      <c r="AI734" s="37">
        <f>IF(AND(AI444&lt;=$I159,AI444&gt;$J159),Tarification!$D$8,IF(AND(AI444&lt;=$J159,AI444&gt;$K159),Tarification!$D$9,IF(AND(AI444&lt;=$K159,AI444&gt;0),Tarification!$D$10,0)))</f>
        <v>0</v>
      </c>
      <c r="AJ734" s="37">
        <f>IF(AND(AJ444&lt;=$I159,AJ444&gt;$J159),Tarification!$D$8,IF(AND(AJ444&lt;=$J159,AJ444&gt;$K159),Tarification!$D$9,IF(AND(AJ444&lt;=$K159,AJ444&gt;0),Tarification!$D$10,0)))</f>
        <v>50000</v>
      </c>
      <c r="AK734" s="37">
        <f>IF(AND(AK444&lt;=$I159,AK444&gt;$J159),Tarification!$D$8,IF(AND(AK444&lt;=$J159,AK444&gt;$K159),Tarification!$D$9,IF(AND(AK444&lt;=$K159,AK444&gt;0),Tarification!$D$10,0)))</f>
        <v>0</v>
      </c>
      <c r="AL734" s="37">
        <f>IF(AND(AL444&lt;=$I159,AL444&gt;$J159),Tarification!$D$8,IF(AND(AL444&lt;=$J159,AL444&gt;$K159),Tarification!$D$9,IF(AND(AL444&lt;=$K159,AL444&gt;0),Tarification!$D$10,0)))</f>
        <v>0</v>
      </c>
      <c r="AM734" s="37">
        <f>IF(AND(AM444&lt;=$I159,AM444&gt;$J159),Tarification!$D$8,IF(AND(AM444&lt;=$J159,AM444&gt;$K159),Tarification!$D$9,IF(AND(AM444&lt;=$K159,AM444&gt;0),Tarification!$D$10,0)))</f>
        <v>0</v>
      </c>
      <c r="AN734" s="37">
        <f>IF(AND(AN444&lt;=$I159,AN444&gt;$J159),Tarification!$D$8,IF(AND(AN444&lt;=$J159,AN444&gt;$K159),Tarification!$D$9,IF(AND(AN444&lt;=$K159,AN444&gt;0),Tarification!$D$10,0)))</f>
        <v>0</v>
      </c>
      <c r="AQ734" s="101">
        <f t="shared" si="150"/>
        <v>2631.5789473684213</v>
      </c>
    </row>
    <row r="735" spans="14:43" ht="15.6">
      <c r="N735" s="39" t="s">
        <v>27</v>
      </c>
      <c r="O735" s="39" t="s">
        <v>445</v>
      </c>
      <c r="P735" t="s">
        <v>762</v>
      </c>
      <c r="Q735" s="39"/>
      <c r="V735" s="37">
        <f>IF(AND(V445&lt;=$I160,V445&gt;$J160),Tarification!$D$8,IF(AND(V445&lt;=$J160,V445&gt;$K160),Tarification!$D$9,IF(AND(V445&lt;=$K160,V445&gt;0),Tarification!$D$10,0)))</f>
        <v>0</v>
      </c>
      <c r="W735" s="37">
        <f>IF(AND(W445&lt;=$I160,W445&gt;$J160),Tarification!$D$8,IF(AND(W445&lt;=$J160,W445&gt;$K160),Tarification!$D$9,IF(AND(W445&lt;=$K160,W445&gt;0),Tarification!$D$10,0)))</f>
        <v>0</v>
      </c>
      <c r="X735" s="37">
        <f>IF(AND(X445&lt;=$I160,X445&gt;$J160),Tarification!$D$8,IF(AND(X445&lt;=$J160,X445&gt;$K160),Tarification!$D$9,IF(AND(X445&lt;=$K160,X445&gt;0),Tarification!$D$10,0)))</f>
        <v>0</v>
      </c>
      <c r="Y735" s="37">
        <f>IF(AND(Y445&lt;=$I160,Y445&gt;$J160),Tarification!$D$8,IF(AND(Y445&lt;=$J160,Y445&gt;$K160),Tarification!$D$9,IF(AND(Y445&lt;=$K160,Y445&gt;0),Tarification!$D$10,0)))</f>
        <v>0</v>
      </c>
      <c r="Z735" s="37">
        <f>IF(AND(Z445&lt;=$I160,Z445&gt;$J160),Tarification!$D$8,IF(AND(Z445&lt;=$J160,Z445&gt;$K160),Tarification!$D$9,IF(AND(Z445&lt;=$K160,Z445&gt;0),Tarification!$D$10,0)))</f>
        <v>0</v>
      </c>
      <c r="AA735" s="37">
        <f>IF(AND(AA445&lt;=$I160,AA445&gt;$J160),Tarification!$D$8,IF(AND(AA445&lt;=$J160,AA445&gt;$K160),Tarification!$D$9,IF(AND(AA445&lt;=$K160,AA445&gt;0),Tarification!$D$10,0)))</f>
        <v>0</v>
      </c>
      <c r="AB735" s="37">
        <f>IF(AND(AB445&lt;=$I160,AB445&gt;$J160),Tarification!$D$8,IF(AND(AB445&lt;=$J160,AB445&gt;$K160),Tarification!$D$9,IF(AND(AB445&lt;=$K160,AB445&gt;0),Tarification!$D$10,0)))</f>
        <v>0</v>
      </c>
      <c r="AC735" s="37">
        <f>IF(AND(AC445&lt;=$I160,AC445&gt;$J160),Tarification!$D$8,IF(AND(AC445&lt;=$J160,AC445&gt;$K160),Tarification!$D$9,IF(AND(AC445&lt;=$K160,AC445&gt;0),Tarification!$D$10,0)))</f>
        <v>0</v>
      </c>
      <c r="AD735" s="37">
        <f>IF(AND(AD445&lt;=$I160,AD445&gt;$J160),Tarification!$D$8,IF(AND(AD445&lt;=$J160,AD445&gt;$K160),Tarification!$D$9,IF(AND(AD445&lt;=$K160,AD445&gt;0),Tarification!$D$10,0)))</f>
        <v>0</v>
      </c>
      <c r="AE735" s="37">
        <f>IF(AND(AE445&lt;=$I160,AE445&gt;$J160),Tarification!$D$8,IF(AND(AE445&lt;=$J160,AE445&gt;$K160),Tarification!$D$9,IF(AND(AE445&lt;=$K160,AE445&gt;0),Tarification!$D$10,0)))</f>
        <v>0</v>
      </c>
      <c r="AF735" s="37">
        <f>IF(AND(AF445&lt;=$I160,AF445&gt;$J160),Tarification!$D$8,IF(AND(AF445&lt;=$J160,AF445&gt;$K160),Tarification!$D$9,IF(AND(AF445&lt;=$K160,AF445&gt;0),Tarification!$D$10,0)))</f>
        <v>0</v>
      </c>
      <c r="AG735" s="37">
        <f>IF(AND(AG445&lt;=$I160,AG445&gt;$J160),Tarification!$D$8,IF(AND(AG445&lt;=$J160,AG445&gt;$K160),Tarification!$D$9,IF(AND(AG445&lt;=$K160,AG445&gt;0),Tarification!$D$10,0)))</f>
        <v>0</v>
      </c>
      <c r="AH735" s="37">
        <f>IF(AND(AH445&lt;=$I160,AH445&gt;$J160),Tarification!$D$8,IF(AND(AH445&lt;=$J160,AH445&gt;$K160),Tarification!$D$9,IF(AND(AH445&lt;=$K160,AH445&gt;0),Tarification!$D$10,0)))</f>
        <v>0</v>
      </c>
      <c r="AI735" s="37">
        <f>IF(AND(AI445&lt;=$I160,AI445&gt;$J160),Tarification!$D$8,IF(AND(AI445&lt;=$J160,AI445&gt;$K160),Tarification!$D$9,IF(AND(AI445&lt;=$K160,AI445&gt;0),Tarification!$D$10,0)))</f>
        <v>0</v>
      </c>
      <c r="AJ735" s="37">
        <f>IF(AND(AJ445&lt;=$I160,AJ445&gt;$J160),Tarification!$D$8,IF(AND(AJ445&lt;=$J160,AJ445&gt;$K160),Tarification!$D$9,IF(AND(AJ445&lt;=$K160,AJ445&gt;0),Tarification!$D$10,0)))</f>
        <v>0</v>
      </c>
      <c r="AK735" s="37">
        <f>IF(AND(AK445&lt;=$I160,AK445&gt;$J160),Tarification!$D$8,IF(AND(AK445&lt;=$J160,AK445&gt;$K160),Tarification!$D$9,IF(AND(AK445&lt;=$K160,AK445&gt;0),Tarification!$D$10,0)))</f>
        <v>0</v>
      </c>
      <c r="AL735" s="37">
        <f>IF(AND(AL445&lt;=$I160,AL445&gt;$J160),Tarification!$D$8,IF(AND(AL445&lt;=$J160,AL445&gt;$K160),Tarification!$D$9,IF(AND(AL445&lt;=$K160,AL445&gt;0),Tarification!$D$10,0)))</f>
        <v>0</v>
      </c>
      <c r="AM735" s="37">
        <f>IF(AND(AM445&lt;=$I160,AM445&gt;$J160),Tarification!$D$8,IF(AND(AM445&lt;=$J160,AM445&gt;$K160),Tarification!$D$9,IF(AND(AM445&lt;=$K160,AM445&gt;0),Tarification!$D$10,0)))</f>
        <v>0</v>
      </c>
      <c r="AN735" s="37">
        <f>IF(AND(AN445&lt;=$I160,AN445&gt;$J160),Tarification!$D$8,IF(AND(AN445&lt;=$J160,AN445&gt;$K160),Tarification!$D$9,IF(AND(AN445&lt;=$K160,AN445&gt;0),Tarification!$D$10,0)))</f>
        <v>0</v>
      </c>
      <c r="AQ735" s="101">
        <f t="shared" si="150"/>
        <v>0</v>
      </c>
    </row>
    <row r="736" spans="14:43" ht="15.6">
      <c r="N736" s="39" t="s">
        <v>27</v>
      </c>
      <c r="O736" s="39" t="s">
        <v>572</v>
      </c>
      <c r="P736" t="s">
        <v>763</v>
      </c>
      <c r="Q736" s="39"/>
      <c r="V736" s="37">
        <f>IF(AND(V446&lt;=$I161,V446&gt;$J161),Tarification!$D$8,IF(AND(V446&lt;=$J161,V446&gt;$K161),Tarification!$D$9,IF(AND(V446&lt;=$K161,V446&gt;0),Tarification!$D$10,0)))</f>
        <v>0</v>
      </c>
      <c r="W736" s="37">
        <f>IF(AND(W446&lt;=$I161,W446&gt;$J161),Tarification!$D$8,IF(AND(W446&lt;=$J161,W446&gt;$K161),Tarification!$D$9,IF(AND(W446&lt;=$K161,W446&gt;0),Tarification!$D$10,0)))</f>
        <v>0</v>
      </c>
      <c r="X736" s="37">
        <f>IF(AND(X446&lt;=$I161,X446&gt;$J161),Tarification!$D$8,IF(AND(X446&lt;=$J161,X446&gt;$K161),Tarification!$D$9,IF(AND(X446&lt;=$K161,X446&gt;0),Tarification!$D$10,0)))</f>
        <v>0</v>
      </c>
      <c r="Y736" s="37">
        <f>IF(AND(Y446&lt;=$I161,Y446&gt;$J161),Tarification!$D$8,IF(AND(Y446&lt;=$J161,Y446&gt;$K161),Tarification!$D$9,IF(AND(Y446&lt;=$K161,Y446&gt;0),Tarification!$D$10,0)))</f>
        <v>0</v>
      </c>
      <c r="Z736" s="37">
        <f>IF(AND(Z446&lt;=$I161,Z446&gt;$J161),Tarification!$D$8,IF(AND(Z446&lt;=$J161,Z446&gt;$K161),Tarification!$D$9,IF(AND(Z446&lt;=$K161,Z446&gt;0),Tarification!$D$10,0)))</f>
        <v>0</v>
      </c>
      <c r="AA736" s="37">
        <f>IF(AND(AA446&lt;=$I161,AA446&gt;$J161),Tarification!$D$8,IF(AND(AA446&lt;=$J161,AA446&gt;$K161),Tarification!$D$9,IF(AND(AA446&lt;=$K161,AA446&gt;0),Tarification!$D$10,0)))</f>
        <v>0</v>
      </c>
      <c r="AB736" s="37">
        <f>IF(AND(AB446&lt;=$I161,AB446&gt;$J161),Tarification!$D$8,IF(AND(AB446&lt;=$J161,AB446&gt;$K161),Tarification!$D$9,IF(AND(AB446&lt;=$K161,AB446&gt;0),Tarification!$D$10,0)))</f>
        <v>0</v>
      </c>
      <c r="AC736" s="37">
        <f>IF(AND(AC446&lt;=$I161,AC446&gt;$J161),Tarification!$D$8,IF(AND(AC446&lt;=$J161,AC446&gt;$K161),Tarification!$D$9,IF(AND(AC446&lt;=$K161,AC446&gt;0),Tarification!$D$10,0)))</f>
        <v>0</v>
      </c>
      <c r="AD736" s="37">
        <f>IF(AND(AD446&lt;=$I161,AD446&gt;$J161),Tarification!$D$8,IF(AND(AD446&lt;=$J161,AD446&gt;$K161),Tarification!$D$9,IF(AND(AD446&lt;=$K161,AD446&gt;0),Tarification!$D$10,0)))</f>
        <v>0</v>
      </c>
      <c r="AE736" s="37">
        <f>IF(AND(AE446&lt;=$I161,AE446&gt;$J161),Tarification!$D$8,IF(AND(AE446&lt;=$J161,AE446&gt;$K161),Tarification!$D$9,IF(AND(AE446&lt;=$K161,AE446&gt;0),Tarification!$D$10,0)))</f>
        <v>0</v>
      </c>
      <c r="AF736" s="37">
        <f>IF(AND(AF446&lt;=$I161,AF446&gt;$J161),Tarification!$D$8,IF(AND(AF446&lt;=$J161,AF446&gt;$K161),Tarification!$D$9,IF(AND(AF446&lt;=$K161,AF446&gt;0),Tarification!$D$10,0)))</f>
        <v>0</v>
      </c>
      <c r="AG736" s="37">
        <f>IF(AND(AG446&lt;=$I161,AG446&gt;$J161),Tarification!$D$8,IF(AND(AG446&lt;=$J161,AG446&gt;$K161),Tarification!$D$9,IF(AND(AG446&lt;=$K161,AG446&gt;0),Tarification!$D$10,0)))</f>
        <v>0</v>
      </c>
      <c r="AH736" s="37">
        <f>IF(AND(AH446&lt;=$I161,AH446&gt;$J161),Tarification!$D$8,IF(AND(AH446&lt;=$J161,AH446&gt;$K161),Tarification!$D$9,IF(AND(AH446&lt;=$K161,AH446&gt;0),Tarification!$D$10,0)))</f>
        <v>0</v>
      </c>
      <c r="AI736" s="37">
        <f>IF(AND(AI446&lt;=$I161,AI446&gt;$J161),Tarification!$D$8,IF(AND(AI446&lt;=$J161,AI446&gt;$K161),Tarification!$D$9,IF(AND(AI446&lt;=$K161,AI446&gt;0),Tarification!$D$10,0)))</f>
        <v>0</v>
      </c>
      <c r="AJ736" s="37">
        <f>IF(AND(AJ446&lt;=$I161,AJ446&gt;$J161),Tarification!$D$8,IF(AND(AJ446&lt;=$J161,AJ446&gt;$K161),Tarification!$D$9,IF(AND(AJ446&lt;=$K161,AJ446&gt;0),Tarification!$D$10,0)))</f>
        <v>0</v>
      </c>
      <c r="AK736" s="37">
        <f>IF(AND(AK446&lt;=$I161,AK446&gt;$J161),Tarification!$D$8,IF(AND(AK446&lt;=$J161,AK446&gt;$K161),Tarification!$D$9,IF(AND(AK446&lt;=$K161,AK446&gt;0),Tarification!$D$10,0)))</f>
        <v>0</v>
      </c>
      <c r="AL736" s="37">
        <f>IF(AND(AL446&lt;=$I161,AL446&gt;$J161),Tarification!$D$8,IF(AND(AL446&lt;=$J161,AL446&gt;$K161),Tarification!$D$9,IF(AND(AL446&lt;=$K161,AL446&gt;0),Tarification!$D$10,0)))</f>
        <v>0</v>
      </c>
      <c r="AM736" s="37">
        <f>IF(AND(AM446&lt;=$I161,AM446&gt;$J161),Tarification!$D$8,IF(AND(AM446&lt;=$J161,AM446&gt;$K161),Tarification!$D$9,IF(AND(AM446&lt;=$K161,AM446&gt;0),Tarification!$D$10,0)))</f>
        <v>0</v>
      </c>
      <c r="AN736" s="37">
        <f>IF(AND(AN446&lt;=$I161,AN446&gt;$J161),Tarification!$D$8,IF(AND(AN446&lt;=$J161,AN446&gt;$K161),Tarification!$D$9,IF(AND(AN446&lt;=$K161,AN446&gt;0),Tarification!$D$10,0)))</f>
        <v>0</v>
      </c>
      <c r="AQ736" s="101">
        <f t="shared" si="150"/>
        <v>0</v>
      </c>
    </row>
    <row r="737" spans="14:43" ht="15.6">
      <c r="N737" s="39" t="s">
        <v>27</v>
      </c>
      <c r="O737" s="39" t="s">
        <v>172</v>
      </c>
      <c r="P737" t="s">
        <v>764</v>
      </c>
      <c r="Q737" s="39"/>
      <c r="V737" s="37">
        <f>IF(AND(V447&lt;=$I162,V447&gt;$J162),Tarification!$D$8,IF(AND(V447&lt;=$J162,V447&gt;$K162),Tarification!$D$9,IF(AND(V447&lt;=$K162,V447&gt;0),Tarification!$D$10,0)))</f>
        <v>0</v>
      </c>
      <c r="W737" s="37">
        <f>IF(AND(W447&lt;=$I162,W447&gt;$J162),Tarification!$D$8,IF(AND(W447&lt;=$J162,W447&gt;$K162),Tarification!$D$9,IF(AND(W447&lt;=$K162,W447&gt;0),Tarification!$D$10,0)))</f>
        <v>0</v>
      </c>
      <c r="X737" s="37">
        <f>IF(AND(X447&lt;=$I162,X447&gt;$J162),Tarification!$D$8,IF(AND(X447&lt;=$J162,X447&gt;$K162),Tarification!$D$9,IF(AND(X447&lt;=$K162,X447&gt;0),Tarification!$D$10,0)))</f>
        <v>0</v>
      </c>
      <c r="Y737" s="37">
        <f>IF(AND(Y447&lt;=$I162,Y447&gt;$J162),Tarification!$D$8,IF(AND(Y447&lt;=$J162,Y447&gt;$K162),Tarification!$D$9,IF(AND(Y447&lt;=$K162,Y447&gt;0),Tarification!$D$10,0)))</f>
        <v>0</v>
      </c>
      <c r="Z737" s="37">
        <f>IF(AND(Z447&lt;=$I162,Z447&gt;$J162),Tarification!$D$8,IF(AND(Z447&lt;=$J162,Z447&gt;$K162),Tarification!$D$9,IF(AND(Z447&lt;=$K162,Z447&gt;0),Tarification!$D$10,0)))</f>
        <v>0</v>
      </c>
      <c r="AA737" s="37">
        <f>IF(AND(AA447&lt;=$I162,AA447&gt;$J162),Tarification!$D$8,IF(AND(AA447&lt;=$J162,AA447&gt;$K162),Tarification!$D$9,IF(AND(AA447&lt;=$K162,AA447&gt;0),Tarification!$D$10,0)))</f>
        <v>0</v>
      </c>
      <c r="AB737" s="37">
        <f>IF(AND(AB447&lt;=$I162,AB447&gt;$J162),Tarification!$D$8,IF(AND(AB447&lt;=$J162,AB447&gt;$K162),Tarification!$D$9,IF(AND(AB447&lt;=$K162,AB447&gt;0),Tarification!$D$10,0)))</f>
        <v>0</v>
      </c>
      <c r="AC737" s="37">
        <f>IF(AND(AC447&lt;=$I162,AC447&gt;$J162),Tarification!$D$8,IF(AND(AC447&lt;=$J162,AC447&gt;$K162),Tarification!$D$9,IF(AND(AC447&lt;=$K162,AC447&gt;0),Tarification!$D$10,0)))</f>
        <v>0</v>
      </c>
      <c r="AD737" s="37">
        <f>IF(AND(AD447&lt;=$I162,AD447&gt;$J162),Tarification!$D$8,IF(AND(AD447&lt;=$J162,AD447&gt;$K162),Tarification!$D$9,IF(AND(AD447&lt;=$K162,AD447&gt;0),Tarification!$D$10,0)))</f>
        <v>0</v>
      </c>
      <c r="AE737" s="37">
        <f>IF(AND(AE447&lt;=$I162,AE447&gt;$J162),Tarification!$D$8,IF(AND(AE447&lt;=$J162,AE447&gt;$K162),Tarification!$D$9,IF(AND(AE447&lt;=$K162,AE447&gt;0),Tarification!$D$10,0)))</f>
        <v>0</v>
      </c>
      <c r="AF737" s="37">
        <f>IF(AND(AF447&lt;=$I162,AF447&gt;$J162),Tarification!$D$8,IF(AND(AF447&lt;=$J162,AF447&gt;$K162),Tarification!$D$9,IF(AND(AF447&lt;=$K162,AF447&gt;0),Tarification!$D$10,0)))</f>
        <v>0</v>
      </c>
      <c r="AG737" s="37">
        <f>IF(AND(AG447&lt;=$I162,AG447&gt;$J162),Tarification!$D$8,IF(AND(AG447&lt;=$J162,AG447&gt;$K162),Tarification!$D$9,IF(AND(AG447&lt;=$K162,AG447&gt;0),Tarification!$D$10,0)))</f>
        <v>0</v>
      </c>
      <c r="AH737" s="37">
        <f>IF(AND(AH447&lt;=$I162,AH447&gt;$J162),Tarification!$D$8,IF(AND(AH447&lt;=$J162,AH447&gt;$K162),Tarification!$D$9,IF(AND(AH447&lt;=$K162,AH447&gt;0),Tarification!$D$10,0)))</f>
        <v>0</v>
      </c>
      <c r="AI737" s="37">
        <f>IF(AND(AI447&lt;=$I162,AI447&gt;$J162),Tarification!$D$8,IF(AND(AI447&lt;=$J162,AI447&gt;$K162),Tarification!$D$9,IF(AND(AI447&lt;=$K162,AI447&gt;0),Tarification!$D$10,0)))</f>
        <v>0</v>
      </c>
      <c r="AJ737" s="37">
        <f>IF(AND(AJ447&lt;=$I162,AJ447&gt;$J162),Tarification!$D$8,IF(AND(AJ447&lt;=$J162,AJ447&gt;$K162),Tarification!$D$9,IF(AND(AJ447&lt;=$K162,AJ447&gt;0),Tarification!$D$10,0)))</f>
        <v>0</v>
      </c>
      <c r="AK737" s="37">
        <f>IF(AND(AK447&lt;=$I162,AK447&gt;$J162),Tarification!$D$8,IF(AND(AK447&lt;=$J162,AK447&gt;$K162),Tarification!$D$9,IF(AND(AK447&lt;=$K162,AK447&gt;0),Tarification!$D$10,0)))</f>
        <v>0</v>
      </c>
      <c r="AL737" s="37">
        <f>IF(AND(AL447&lt;=$I162,AL447&gt;$J162),Tarification!$D$8,IF(AND(AL447&lt;=$J162,AL447&gt;$K162),Tarification!$D$9,IF(AND(AL447&lt;=$K162,AL447&gt;0),Tarification!$D$10,0)))</f>
        <v>0</v>
      </c>
      <c r="AM737" s="37">
        <f>IF(AND(AM447&lt;=$I162,AM447&gt;$J162),Tarification!$D$8,IF(AND(AM447&lt;=$J162,AM447&gt;$K162),Tarification!$D$9,IF(AND(AM447&lt;=$K162,AM447&gt;0),Tarification!$D$10,0)))</f>
        <v>0</v>
      </c>
      <c r="AN737" s="37">
        <f>IF(AND(AN447&lt;=$I162,AN447&gt;$J162),Tarification!$D$8,IF(AND(AN447&lt;=$J162,AN447&gt;$K162),Tarification!$D$9,IF(AND(AN447&lt;=$K162,AN447&gt;0),Tarification!$D$10,0)))</f>
        <v>0</v>
      </c>
      <c r="AQ737" s="101">
        <f t="shared" si="150"/>
        <v>0</v>
      </c>
    </row>
    <row r="738" spans="14:43" ht="15.6">
      <c r="N738" s="39" t="s">
        <v>27</v>
      </c>
      <c r="O738" s="39" t="s">
        <v>537</v>
      </c>
      <c r="P738" t="s">
        <v>765</v>
      </c>
      <c r="Q738" s="39"/>
      <c r="V738" s="37">
        <f>IF(AND(V448&lt;=$I163,V448&gt;$J163),Tarification!$D$8,IF(AND(V448&lt;=$J163,V448&gt;$K163),Tarification!$D$9,IF(AND(V448&lt;=$K163,V448&gt;0),Tarification!$D$10,0)))</f>
        <v>0</v>
      </c>
      <c r="W738" s="37">
        <f>IF(AND(W448&lt;=$I163,W448&gt;$J163),Tarification!$D$8,IF(AND(W448&lt;=$J163,W448&gt;$K163),Tarification!$D$9,IF(AND(W448&lt;=$K163,W448&gt;0),Tarification!$D$10,0)))</f>
        <v>0</v>
      </c>
      <c r="X738" s="37">
        <f>IF(AND(X448&lt;=$I163,X448&gt;$J163),Tarification!$D$8,IF(AND(X448&lt;=$J163,X448&gt;$K163),Tarification!$D$9,IF(AND(X448&lt;=$K163,X448&gt;0),Tarification!$D$10,0)))</f>
        <v>0</v>
      </c>
      <c r="Y738" s="37">
        <f>IF(AND(Y448&lt;=$I163,Y448&gt;$J163),Tarification!$D$8,IF(AND(Y448&lt;=$J163,Y448&gt;$K163),Tarification!$D$9,IF(AND(Y448&lt;=$K163,Y448&gt;0),Tarification!$D$10,0)))</f>
        <v>0</v>
      </c>
      <c r="Z738" s="37">
        <f>IF(AND(Z448&lt;=$I163,Z448&gt;$J163),Tarification!$D$8,IF(AND(Z448&lt;=$J163,Z448&gt;$K163),Tarification!$D$9,IF(AND(Z448&lt;=$K163,Z448&gt;0),Tarification!$D$10,0)))</f>
        <v>0</v>
      </c>
      <c r="AA738" s="37">
        <f>IF(AND(AA448&lt;=$I163,AA448&gt;$J163),Tarification!$D$8,IF(AND(AA448&lt;=$J163,AA448&gt;$K163),Tarification!$D$9,IF(AND(AA448&lt;=$K163,AA448&gt;0),Tarification!$D$10,0)))</f>
        <v>0</v>
      </c>
      <c r="AB738" s="37">
        <f>IF(AND(AB448&lt;=$I163,AB448&gt;$J163),Tarification!$D$8,IF(AND(AB448&lt;=$J163,AB448&gt;$K163),Tarification!$D$9,IF(AND(AB448&lt;=$K163,AB448&gt;0),Tarification!$D$10,0)))</f>
        <v>0</v>
      </c>
      <c r="AC738" s="37">
        <f>IF(AND(AC448&lt;=$I163,AC448&gt;$J163),Tarification!$D$8,IF(AND(AC448&lt;=$J163,AC448&gt;$K163),Tarification!$D$9,IF(AND(AC448&lt;=$K163,AC448&gt;0),Tarification!$D$10,0)))</f>
        <v>0</v>
      </c>
      <c r="AD738" s="37">
        <f>IF(AND(AD448&lt;=$I163,AD448&gt;$J163),Tarification!$D$8,IF(AND(AD448&lt;=$J163,AD448&gt;$K163),Tarification!$D$9,IF(AND(AD448&lt;=$K163,AD448&gt;0),Tarification!$D$10,0)))</f>
        <v>0</v>
      </c>
      <c r="AE738" s="37">
        <f>IF(AND(AE448&lt;=$I163,AE448&gt;$J163),Tarification!$D$8,IF(AND(AE448&lt;=$J163,AE448&gt;$K163),Tarification!$D$9,IF(AND(AE448&lt;=$K163,AE448&gt;0),Tarification!$D$10,0)))</f>
        <v>0</v>
      </c>
      <c r="AF738" s="37">
        <f>IF(AND(AF448&lt;=$I163,AF448&gt;$J163),Tarification!$D$8,IF(AND(AF448&lt;=$J163,AF448&gt;$K163),Tarification!$D$9,IF(AND(AF448&lt;=$K163,AF448&gt;0),Tarification!$D$10,0)))</f>
        <v>0</v>
      </c>
      <c r="AG738" s="37">
        <f>IF(AND(AG448&lt;=$I163,AG448&gt;$J163),Tarification!$D$8,IF(AND(AG448&lt;=$J163,AG448&gt;$K163),Tarification!$D$9,IF(AND(AG448&lt;=$K163,AG448&gt;0),Tarification!$D$10,0)))</f>
        <v>0</v>
      </c>
      <c r="AH738" s="37">
        <f>IF(AND(AH448&lt;=$I163,AH448&gt;$J163),Tarification!$D$8,IF(AND(AH448&lt;=$J163,AH448&gt;$K163),Tarification!$D$9,IF(AND(AH448&lt;=$K163,AH448&gt;0),Tarification!$D$10,0)))</f>
        <v>0</v>
      </c>
      <c r="AI738" s="37">
        <f>IF(AND(AI448&lt;=$I163,AI448&gt;$J163),Tarification!$D$8,IF(AND(AI448&lt;=$J163,AI448&gt;$K163),Tarification!$D$9,IF(AND(AI448&lt;=$K163,AI448&gt;0),Tarification!$D$10,0)))</f>
        <v>0</v>
      </c>
      <c r="AJ738" s="37">
        <f>IF(AND(AJ448&lt;=$I163,AJ448&gt;$J163),Tarification!$D$8,IF(AND(AJ448&lt;=$J163,AJ448&gt;$K163),Tarification!$D$9,IF(AND(AJ448&lt;=$K163,AJ448&gt;0),Tarification!$D$10,0)))</f>
        <v>0</v>
      </c>
      <c r="AK738" s="37">
        <f>IF(AND(AK448&lt;=$I163,AK448&gt;$J163),Tarification!$D$8,IF(AND(AK448&lt;=$J163,AK448&gt;$K163),Tarification!$D$9,IF(AND(AK448&lt;=$K163,AK448&gt;0),Tarification!$D$10,0)))</f>
        <v>0</v>
      </c>
      <c r="AL738" s="37">
        <f>IF(AND(AL448&lt;=$I163,AL448&gt;$J163),Tarification!$D$8,IF(AND(AL448&lt;=$J163,AL448&gt;$K163),Tarification!$D$9,IF(AND(AL448&lt;=$K163,AL448&gt;0),Tarification!$D$10,0)))</f>
        <v>0</v>
      </c>
      <c r="AM738" s="37">
        <f>IF(AND(AM448&lt;=$I163,AM448&gt;$J163),Tarification!$D$8,IF(AND(AM448&lt;=$J163,AM448&gt;$K163),Tarification!$D$9,IF(AND(AM448&lt;=$K163,AM448&gt;0),Tarification!$D$10,0)))</f>
        <v>0</v>
      </c>
      <c r="AN738" s="37">
        <f>IF(AND(AN448&lt;=$I163,AN448&gt;$J163),Tarification!$D$8,IF(AND(AN448&lt;=$J163,AN448&gt;$K163),Tarification!$D$9,IF(AND(AN448&lt;=$K163,AN448&gt;0),Tarification!$D$10,0)))</f>
        <v>0</v>
      </c>
      <c r="AQ738" s="101">
        <f t="shared" si="150"/>
        <v>0</v>
      </c>
    </row>
    <row r="739" spans="14:43" ht="15.6">
      <c r="N739" s="39" t="s">
        <v>27</v>
      </c>
      <c r="O739" s="39" t="s">
        <v>609</v>
      </c>
      <c r="P739" t="s">
        <v>766</v>
      </c>
      <c r="Q739" s="39"/>
      <c r="V739" s="37">
        <f>IF(AND(V449&lt;=$I164,V449&gt;$J164),Tarification!$D$8,IF(AND(V449&lt;=$J164,V449&gt;$K164),Tarification!$D$9,IF(AND(V449&lt;=$K164,V449&gt;0),Tarification!$D$10,0)))</f>
        <v>0</v>
      </c>
      <c r="W739" s="37">
        <f>IF(AND(W449&lt;=$I164,W449&gt;$J164),Tarification!$D$8,IF(AND(W449&lt;=$J164,W449&gt;$K164),Tarification!$D$9,IF(AND(W449&lt;=$K164,W449&gt;0),Tarification!$D$10,0)))</f>
        <v>50000</v>
      </c>
      <c r="X739" s="37">
        <f>IF(AND(X449&lt;=$I164,X449&gt;$J164),Tarification!$D$8,IF(AND(X449&lt;=$J164,X449&gt;$K164),Tarification!$D$9,IF(AND(X449&lt;=$K164,X449&gt;0),Tarification!$D$10,0)))</f>
        <v>0</v>
      </c>
      <c r="Y739" s="37">
        <f>IF(AND(Y449&lt;=$I164,Y449&gt;$J164),Tarification!$D$8,IF(AND(Y449&lt;=$J164,Y449&gt;$K164),Tarification!$D$9,IF(AND(Y449&lt;=$K164,Y449&gt;0),Tarification!$D$10,0)))</f>
        <v>0</v>
      </c>
      <c r="Z739" s="37">
        <f>IF(AND(Z449&lt;=$I164,Z449&gt;$J164),Tarification!$D$8,IF(AND(Z449&lt;=$J164,Z449&gt;$K164),Tarification!$D$9,IF(AND(Z449&lt;=$K164,Z449&gt;0),Tarification!$D$10,0)))</f>
        <v>0</v>
      </c>
      <c r="AA739" s="37">
        <f>IF(AND(AA449&lt;=$I164,AA449&gt;$J164),Tarification!$D$8,IF(AND(AA449&lt;=$J164,AA449&gt;$K164),Tarification!$D$9,IF(AND(AA449&lt;=$K164,AA449&gt;0),Tarification!$D$10,0)))</f>
        <v>0</v>
      </c>
      <c r="AB739" s="37">
        <f>IF(AND(AB449&lt;=$I164,AB449&gt;$J164),Tarification!$D$8,IF(AND(AB449&lt;=$J164,AB449&gt;$K164),Tarification!$D$9,IF(AND(AB449&lt;=$K164,AB449&gt;0),Tarification!$D$10,0)))</f>
        <v>0</v>
      </c>
      <c r="AC739" s="37">
        <f>IF(AND(AC449&lt;=$I164,AC449&gt;$J164),Tarification!$D$8,IF(AND(AC449&lt;=$J164,AC449&gt;$K164),Tarification!$D$9,IF(AND(AC449&lt;=$K164,AC449&gt;0),Tarification!$D$10,0)))</f>
        <v>125000</v>
      </c>
      <c r="AD739" s="37">
        <f>IF(AND(AD449&lt;=$I164,AD449&gt;$J164),Tarification!$D$8,IF(AND(AD449&lt;=$J164,AD449&gt;$K164),Tarification!$D$9,IF(AND(AD449&lt;=$K164,AD449&gt;0),Tarification!$D$10,0)))</f>
        <v>0</v>
      </c>
      <c r="AE739" s="37">
        <f>IF(AND(AE449&lt;=$I164,AE449&gt;$J164),Tarification!$D$8,IF(AND(AE449&lt;=$J164,AE449&gt;$K164),Tarification!$D$9,IF(AND(AE449&lt;=$K164,AE449&gt;0),Tarification!$D$10,0)))</f>
        <v>0</v>
      </c>
      <c r="AF739" s="37">
        <f>IF(AND(AF449&lt;=$I164,AF449&gt;$J164),Tarification!$D$8,IF(AND(AF449&lt;=$J164,AF449&gt;$K164),Tarification!$D$9,IF(AND(AF449&lt;=$K164,AF449&gt;0),Tarification!$D$10,0)))</f>
        <v>0</v>
      </c>
      <c r="AG739" s="37">
        <f>IF(AND(AG449&lt;=$I164,AG449&gt;$J164),Tarification!$D$8,IF(AND(AG449&lt;=$J164,AG449&gt;$K164),Tarification!$D$9,IF(AND(AG449&lt;=$K164,AG449&gt;0),Tarification!$D$10,0)))</f>
        <v>0</v>
      </c>
      <c r="AH739" s="37">
        <f>IF(AND(AH449&lt;=$I164,AH449&gt;$J164),Tarification!$D$8,IF(AND(AH449&lt;=$J164,AH449&gt;$K164),Tarification!$D$9,IF(AND(AH449&lt;=$K164,AH449&gt;0),Tarification!$D$10,0)))</f>
        <v>0</v>
      </c>
      <c r="AI739" s="37">
        <f>IF(AND(AI449&lt;=$I164,AI449&gt;$J164),Tarification!$D$8,IF(AND(AI449&lt;=$J164,AI449&gt;$K164),Tarification!$D$9,IF(AND(AI449&lt;=$K164,AI449&gt;0),Tarification!$D$10,0)))</f>
        <v>0</v>
      </c>
      <c r="AJ739" s="37">
        <f>IF(AND(AJ449&lt;=$I164,AJ449&gt;$J164),Tarification!$D$8,IF(AND(AJ449&lt;=$J164,AJ449&gt;$K164),Tarification!$D$9,IF(AND(AJ449&lt;=$K164,AJ449&gt;0),Tarification!$D$10,0)))</f>
        <v>0</v>
      </c>
      <c r="AK739" s="37">
        <f>IF(AND(AK449&lt;=$I164,AK449&gt;$J164),Tarification!$D$8,IF(AND(AK449&lt;=$J164,AK449&gt;$K164),Tarification!$D$9,IF(AND(AK449&lt;=$K164,AK449&gt;0),Tarification!$D$10,0)))</f>
        <v>0</v>
      </c>
      <c r="AL739" s="37">
        <f>IF(AND(AL449&lt;=$I164,AL449&gt;$J164),Tarification!$D$8,IF(AND(AL449&lt;=$J164,AL449&gt;$K164),Tarification!$D$9,IF(AND(AL449&lt;=$K164,AL449&gt;0),Tarification!$D$10,0)))</f>
        <v>0</v>
      </c>
      <c r="AM739" s="37">
        <f>IF(AND(AM449&lt;=$I164,AM449&gt;$J164),Tarification!$D$8,IF(AND(AM449&lt;=$J164,AM449&gt;$K164),Tarification!$D$9,IF(AND(AM449&lt;=$K164,AM449&gt;0),Tarification!$D$10,0)))</f>
        <v>0</v>
      </c>
      <c r="AN739" s="37">
        <f>IF(AND(AN449&lt;=$I164,AN449&gt;$J164),Tarification!$D$8,IF(AND(AN449&lt;=$J164,AN449&gt;$K164),Tarification!$D$9,IF(AND(AN449&lt;=$K164,AN449&gt;0),Tarification!$D$10,0)))</f>
        <v>0</v>
      </c>
      <c r="AQ739" s="101">
        <f t="shared" si="150"/>
        <v>9210.5263157894733</v>
      </c>
    </row>
    <row r="740" spans="14:43" ht="15.6">
      <c r="N740" s="39" t="s">
        <v>27</v>
      </c>
      <c r="O740" s="39" t="s">
        <v>542</v>
      </c>
      <c r="P740" t="s">
        <v>767</v>
      </c>
      <c r="Q740" s="39"/>
      <c r="V740" s="37">
        <f>IF(AND(V450&lt;=$I165,V450&gt;$J165),Tarification!$D$8,IF(AND(V450&lt;=$J165,V450&gt;$K165),Tarification!$D$9,IF(AND(V450&lt;=$K165,V450&gt;0),Tarification!$D$10,0)))</f>
        <v>0</v>
      </c>
      <c r="W740" s="37">
        <f>IF(AND(W450&lt;=$I165,W450&gt;$J165),Tarification!$D$8,IF(AND(W450&lt;=$J165,W450&gt;$K165),Tarification!$D$9,IF(AND(W450&lt;=$K165,W450&gt;0),Tarification!$D$10,0)))</f>
        <v>50000</v>
      </c>
      <c r="X740" s="37">
        <f>IF(AND(X450&lt;=$I165,X450&gt;$J165),Tarification!$D$8,IF(AND(X450&lt;=$J165,X450&gt;$K165),Tarification!$D$9,IF(AND(X450&lt;=$K165,X450&gt;0),Tarification!$D$10,0)))</f>
        <v>0</v>
      </c>
      <c r="Y740" s="37">
        <f>IF(AND(Y450&lt;=$I165,Y450&gt;$J165),Tarification!$D$8,IF(AND(Y450&lt;=$J165,Y450&gt;$K165),Tarification!$D$9,IF(AND(Y450&lt;=$K165,Y450&gt;0),Tarification!$D$10,0)))</f>
        <v>0</v>
      </c>
      <c r="Z740" s="37">
        <f>IF(AND(Z450&lt;=$I165,Z450&gt;$J165),Tarification!$D$8,IF(AND(Z450&lt;=$J165,Z450&gt;$K165),Tarification!$D$9,IF(AND(Z450&lt;=$K165,Z450&gt;0),Tarification!$D$10,0)))</f>
        <v>50000</v>
      </c>
      <c r="AA740" s="37">
        <f>IF(AND(AA450&lt;=$I165,AA450&gt;$J165),Tarification!$D$8,IF(AND(AA450&lt;=$J165,AA450&gt;$K165),Tarification!$D$9,IF(AND(AA450&lt;=$K165,AA450&gt;0),Tarification!$D$10,0)))</f>
        <v>50000</v>
      </c>
      <c r="AB740" s="37">
        <f>IF(AND(AB450&lt;=$I165,AB450&gt;$J165),Tarification!$D$8,IF(AND(AB450&lt;=$J165,AB450&gt;$K165),Tarification!$D$9,IF(AND(AB450&lt;=$K165,AB450&gt;0),Tarification!$D$10,0)))</f>
        <v>0</v>
      </c>
      <c r="AC740" s="37">
        <f>IF(AND(AC450&lt;=$I165,AC450&gt;$J165),Tarification!$D$8,IF(AND(AC450&lt;=$J165,AC450&gt;$K165),Tarification!$D$9,IF(AND(AC450&lt;=$K165,AC450&gt;0),Tarification!$D$10,0)))</f>
        <v>0</v>
      </c>
      <c r="AD740" s="37">
        <f>IF(AND(AD450&lt;=$I165,AD450&gt;$J165),Tarification!$D$8,IF(AND(AD450&lt;=$J165,AD450&gt;$K165),Tarification!$D$9,IF(AND(AD450&lt;=$K165,AD450&gt;0),Tarification!$D$10,0)))</f>
        <v>50000</v>
      </c>
      <c r="AE740" s="37">
        <f>IF(AND(AE450&lt;=$I165,AE450&gt;$J165),Tarification!$D$8,IF(AND(AE450&lt;=$J165,AE450&gt;$K165),Tarification!$D$9,IF(AND(AE450&lt;=$K165,AE450&gt;0),Tarification!$D$10,0)))</f>
        <v>0</v>
      </c>
      <c r="AF740" s="37">
        <f>IF(AND(AF450&lt;=$I165,AF450&gt;$J165),Tarification!$D$8,IF(AND(AF450&lt;=$J165,AF450&gt;$K165),Tarification!$D$9,IF(AND(AF450&lt;=$K165,AF450&gt;0),Tarification!$D$10,0)))</f>
        <v>50000</v>
      </c>
      <c r="AG740" s="37">
        <f>IF(AND(AG450&lt;=$I165,AG450&gt;$J165),Tarification!$D$8,IF(AND(AG450&lt;=$J165,AG450&gt;$K165),Tarification!$D$9,IF(AND(AG450&lt;=$K165,AG450&gt;0),Tarification!$D$10,0)))</f>
        <v>0</v>
      </c>
      <c r="AH740" s="37">
        <f>IF(AND(AH450&lt;=$I165,AH450&gt;$J165),Tarification!$D$8,IF(AND(AH450&lt;=$J165,AH450&gt;$K165),Tarification!$D$9,IF(AND(AH450&lt;=$K165,AH450&gt;0),Tarification!$D$10,0)))</f>
        <v>0</v>
      </c>
      <c r="AI740" s="37">
        <f>IF(AND(AI450&lt;=$I165,AI450&gt;$J165),Tarification!$D$8,IF(AND(AI450&lt;=$J165,AI450&gt;$K165),Tarification!$D$9,IF(AND(AI450&lt;=$K165,AI450&gt;0),Tarification!$D$10,0)))</f>
        <v>0</v>
      </c>
      <c r="AJ740" s="37">
        <f>IF(AND(AJ450&lt;=$I165,AJ450&gt;$J165),Tarification!$D$8,IF(AND(AJ450&lt;=$J165,AJ450&gt;$K165),Tarification!$D$9,IF(AND(AJ450&lt;=$K165,AJ450&gt;0),Tarification!$D$10,0)))</f>
        <v>0</v>
      </c>
      <c r="AK740" s="37">
        <f>IF(AND(AK450&lt;=$I165,AK450&gt;$J165),Tarification!$D$8,IF(AND(AK450&lt;=$J165,AK450&gt;$K165),Tarification!$D$9,IF(AND(AK450&lt;=$K165,AK450&gt;0),Tarification!$D$10,0)))</f>
        <v>0</v>
      </c>
      <c r="AL740" s="37">
        <f>IF(AND(AL450&lt;=$I165,AL450&gt;$J165),Tarification!$D$8,IF(AND(AL450&lt;=$J165,AL450&gt;$K165),Tarification!$D$9,IF(AND(AL450&lt;=$K165,AL450&gt;0),Tarification!$D$10,0)))</f>
        <v>0</v>
      </c>
      <c r="AM740" s="37">
        <f>IF(AND(AM450&lt;=$I165,AM450&gt;$J165),Tarification!$D$8,IF(AND(AM450&lt;=$J165,AM450&gt;$K165),Tarification!$D$9,IF(AND(AM450&lt;=$K165,AM450&gt;0),Tarification!$D$10,0)))</f>
        <v>0</v>
      </c>
      <c r="AN740" s="37">
        <f>IF(AND(AN450&lt;=$I165,AN450&gt;$J165),Tarification!$D$8,IF(AND(AN450&lt;=$J165,AN450&gt;$K165),Tarification!$D$9,IF(AND(AN450&lt;=$K165,AN450&gt;0),Tarification!$D$10,0)))</f>
        <v>50000</v>
      </c>
      <c r="AQ740" s="101">
        <f t="shared" si="150"/>
        <v>15789.473684210527</v>
      </c>
    </row>
    <row r="741" spans="14:43" ht="15.6">
      <c r="N741" s="39" t="s">
        <v>27</v>
      </c>
      <c r="O741" s="39" t="s">
        <v>537</v>
      </c>
      <c r="P741" t="s">
        <v>768</v>
      </c>
      <c r="Q741" s="39"/>
      <c r="V741" s="37">
        <f>IF(AND(V451&lt;=$I166,V451&gt;$J166),Tarification!$D$8,IF(AND(V451&lt;=$J166,V451&gt;$K166),Tarification!$D$9,IF(AND(V451&lt;=$K166,V451&gt;0),Tarification!$D$10,0)))</f>
        <v>0</v>
      </c>
      <c r="W741" s="37">
        <f>IF(AND(W451&lt;=$I166,W451&gt;$J166),Tarification!$D$8,IF(AND(W451&lt;=$J166,W451&gt;$K166),Tarification!$D$9,IF(AND(W451&lt;=$K166,W451&gt;0),Tarification!$D$10,0)))</f>
        <v>0</v>
      </c>
      <c r="X741" s="37">
        <f>IF(AND(X451&lt;=$I166,X451&gt;$J166),Tarification!$D$8,IF(AND(X451&lt;=$J166,X451&gt;$K166),Tarification!$D$9,IF(AND(X451&lt;=$K166,X451&gt;0),Tarification!$D$10,0)))</f>
        <v>0</v>
      </c>
      <c r="Y741" s="37">
        <f>IF(AND(Y451&lt;=$I166,Y451&gt;$J166),Tarification!$D$8,IF(AND(Y451&lt;=$J166,Y451&gt;$K166),Tarification!$D$9,IF(AND(Y451&lt;=$K166,Y451&gt;0),Tarification!$D$10,0)))</f>
        <v>0</v>
      </c>
      <c r="Z741" s="37">
        <f>IF(AND(Z451&lt;=$I166,Z451&gt;$J166),Tarification!$D$8,IF(AND(Z451&lt;=$J166,Z451&gt;$K166),Tarification!$D$9,IF(AND(Z451&lt;=$K166,Z451&gt;0),Tarification!$D$10,0)))</f>
        <v>0</v>
      </c>
      <c r="AA741" s="37">
        <f>IF(AND(AA451&lt;=$I166,AA451&gt;$J166),Tarification!$D$8,IF(AND(AA451&lt;=$J166,AA451&gt;$K166),Tarification!$D$9,IF(AND(AA451&lt;=$K166,AA451&gt;0),Tarification!$D$10,0)))</f>
        <v>0</v>
      </c>
      <c r="AB741" s="37">
        <f>IF(AND(AB451&lt;=$I166,AB451&gt;$J166),Tarification!$D$8,IF(AND(AB451&lt;=$J166,AB451&gt;$K166),Tarification!$D$9,IF(AND(AB451&lt;=$K166,AB451&gt;0),Tarification!$D$10,0)))</f>
        <v>0</v>
      </c>
      <c r="AC741" s="37">
        <f>IF(AND(AC451&lt;=$I166,AC451&gt;$J166),Tarification!$D$8,IF(AND(AC451&lt;=$J166,AC451&gt;$K166),Tarification!$D$9,IF(AND(AC451&lt;=$K166,AC451&gt;0),Tarification!$D$10,0)))</f>
        <v>0</v>
      </c>
      <c r="AD741" s="37">
        <f>IF(AND(AD451&lt;=$I166,AD451&gt;$J166),Tarification!$D$8,IF(AND(AD451&lt;=$J166,AD451&gt;$K166),Tarification!$D$9,IF(AND(AD451&lt;=$K166,AD451&gt;0),Tarification!$D$10,0)))</f>
        <v>0</v>
      </c>
      <c r="AE741" s="37">
        <f>IF(AND(AE451&lt;=$I166,AE451&gt;$J166),Tarification!$D$8,IF(AND(AE451&lt;=$J166,AE451&gt;$K166),Tarification!$D$9,IF(AND(AE451&lt;=$K166,AE451&gt;0),Tarification!$D$10,0)))</f>
        <v>50000</v>
      </c>
      <c r="AF741" s="37">
        <f>IF(AND(AF451&lt;=$I166,AF451&gt;$J166),Tarification!$D$8,IF(AND(AF451&lt;=$J166,AF451&gt;$K166),Tarification!$D$9,IF(AND(AF451&lt;=$K166,AF451&gt;0),Tarification!$D$10,0)))</f>
        <v>0</v>
      </c>
      <c r="AG741" s="37">
        <f>IF(AND(AG451&lt;=$I166,AG451&gt;$J166),Tarification!$D$8,IF(AND(AG451&lt;=$J166,AG451&gt;$K166),Tarification!$D$9,IF(AND(AG451&lt;=$K166,AG451&gt;0),Tarification!$D$10,0)))</f>
        <v>0</v>
      </c>
      <c r="AH741" s="37">
        <f>IF(AND(AH451&lt;=$I166,AH451&gt;$J166),Tarification!$D$8,IF(AND(AH451&lt;=$J166,AH451&gt;$K166),Tarification!$D$9,IF(AND(AH451&lt;=$K166,AH451&gt;0),Tarification!$D$10,0)))</f>
        <v>0</v>
      </c>
      <c r="AI741" s="37">
        <f>IF(AND(AI451&lt;=$I166,AI451&gt;$J166),Tarification!$D$8,IF(AND(AI451&lt;=$J166,AI451&gt;$K166),Tarification!$D$9,IF(AND(AI451&lt;=$K166,AI451&gt;0),Tarification!$D$10,0)))</f>
        <v>0</v>
      </c>
      <c r="AJ741" s="37">
        <f>IF(AND(AJ451&lt;=$I166,AJ451&gt;$J166),Tarification!$D$8,IF(AND(AJ451&lt;=$J166,AJ451&gt;$K166),Tarification!$D$9,IF(AND(AJ451&lt;=$K166,AJ451&gt;0),Tarification!$D$10,0)))</f>
        <v>0</v>
      </c>
      <c r="AK741" s="37">
        <f>IF(AND(AK451&lt;=$I166,AK451&gt;$J166),Tarification!$D$8,IF(AND(AK451&lt;=$J166,AK451&gt;$K166),Tarification!$D$9,IF(AND(AK451&lt;=$K166,AK451&gt;0),Tarification!$D$10,0)))</f>
        <v>0</v>
      </c>
      <c r="AL741" s="37">
        <f>IF(AND(AL451&lt;=$I166,AL451&gt;$J166),Tarification!$D$8,IF(AND(AL451&lt;=$J166,AL451&gt;$K166),Tarification!$D$9,IF(AND(AL451&lt;=$K166,AL451&gt;0),Tarification!$D$10,0)))</f>
        <v>0</v>
      </c>
      <c r="AM741" s="37">
        <f>IF(AND(AM451&lt;=$I166,AM451&gt;$J166),Tarification!$D$8,IF(AND(AM451&lt;=$J166,AM451&gt;$K166),Tarification!$D$9,IF(AND(AM451&lt;=$K166,AM451&gt;0),Tarification!$D$10,0)))</f>
        <v>0</v>
      </c>
      <c r="AN741" s="37">
        <f>IF(AND(AN451&lt;=$I166,AN451&gt;$J166),Tarification!$D$8,IF(AND(AN451&lt;=$J166,AN451&gt;$K166),Tarification!$D$9,IF(AND(AN451&lt;=$K166,AN451&gt;0),Tarification!$D$10,0)))</f>
        <v>0</v>
      </c>
      <c r="AQ741" s="101">
        <f t="shared" si="150"/>
        <v>2631.5789473684213</v>
      </c>
    </row>
    <row r="742" spans="14:43" ht="15.6">
      <c r="N742" s="39" t="s">
        <v>26</v>
      </c>
      <c r="O742" s="39" t="s">
        <v>251</v>
      </c>
      <c r="P742" t="s">
        <v>665</v>
      </c>
      <c r="Q742" s="39"/>
      <c r="V742" s="37">
        <f>IF(AND(V452&lt;=$I167,V452&gt;$J167),Tarification!$D$8,IF(AND(V452&lt;=$J167,V452&gt;$K167),Tarification!$D$9,IF(AND(V452&lt;=$K167,V452&gt;0),Tarification!$D$10,0)))</f>
        <v>0</v>
      </c>
      <c r="W742" s="37">
        <f>IF(AND(W452&lt;=$I167,W452&gt;$J167),Tarification!$D$8,IF(AND(W452&lt;=$J167,W452&gt;$K167),Tarification!$D$9,IF(AND(W452&lt;=$K167,W452&gt;0),Tarification!$D$10,0)))</f>
        <v>0</v>
      </c>
      <c r="X742" s="37">
        <f>IF(AND(X452&lt;=$I167,X452&gt;$J167),Tarification!$D$8,IF(AND(X452&lt;=$J167,X452&gt;$K167),Tarification!$D$9,IF(AND(X452&lt;=$K167,X452&gt;0),Tarification!$D$10,0)))</f>
        <v>0</v>
      </c>
      <c r="Y742" s="37">
        <f>IF(AND(Y452&lt;=$I167,Y452&gt;$J167),Tarification!$D$8,IF(AND(Y452&lt;=$J167,Y452&gt;$K167),Tarification!$D$9,IF(AND(Y452&lt;=$K167,Y452&gt;0),Tarification!$D$10,0)))</f>
        <v>0</v>
      </c>
      <c r="Z742" s="37">
        <f>IF(AND(Z452&lt;=$I167,Z452&gt;$J167),Tarification!$D$8,IF(AND(Z452&lt;=$J167,Z452&gt;$K167),Tarification!$D$9,IF(AND(Z452&lt;=$K167,Z452&gt;0),Tarification!$D$10,0)))</f>
        <v>0</v>
      </c>
      <c r="AA742" s="37">
        <f>IF(AND(AA452&lt;=$I167,AA452&gt;$J167),Tarification!$D$8,IF(AND(AA452&lt;=$J167,AA452&gt;$K167),Tarification!$D$9,IF(AND(AA452&lt;=$K167,AA452&gt;0),Tarification!$D$10,0)))</f>
        <v>0</v>
      </c>
      <c r="AB742" s="37">
        <f>IF(AND(AB452&lt;=$I167,AB452&gt;$J167),Tarification!$D$8,IF(AND(AB452&lt;=$J167,AB452&gt;$K167),Tarification!$D$9,IF(AND(AB452&lt;=$K167,AB452&gt;0),Tarification!$D$10,0)))</f>
        <v>0</v>
      </c>
      <c r="AC742" s="37">
        <f>IF(AND(AC452&lt;=$I167,AC452&gt;$J167),Tarification!$D$8,IF(AND(AC452&lt;=$J167,AC452&gt;$K167),Tarification!$D$9,IF(AND(AC452&lt;=$K167,AC452&gt;0),Tarification!$D$10,0)))</f>
        <v>125000</v>
      </c>
      <c r="AD742" s="37">
        <f>IF(AND(AD452&lt;=$I167,AD452&gt;$J167),Tarification!$D$8,IF(AND(AD452&lt;=$J167,AD452&gt;$K167),Tarification!$D$9,IF(AND(AD452&lt;=$K167,AD452&gt;0),Tarification!$D$10,0)))</f>
        <v>125000</v>
      </c>
      <c r="AE742" s="37">
        <f>IF(AND(AE452&lt;=$I167,AE452&gt;$J167),Tarification!$D$8,IF(AND(AE452&lt;=$J167,AE452&gt;$K167),Tarification!$D$9,IF(AND(AE452&lt;=$K167,AE452&gt;0),Tarification!$D$10,0)))</f>
        <v>250000</v>
      </c>
      <c r="AF742" s="37">
        <f>IF(AND(AF452&lt;=$I167,AF452&gt;$J167),Tarification!$D$8,IF(AND(AF452&lt;=$J167,AF452&gt;$K167),Tarification!$D$9,IF(AND(AF452&lt;=$K167,AF452&gt;0),Tarification!$D$10,0)))</f>
        <v>250000</v>
      </c>
      <c r="AG742" s="37">
        <f>IF(AND(AG452&lt;=$I167,AG452&gt;$J167),Tarification!$D$8,IF(AND(AG452&lt;=$J167,AG452&gt;$K167),Tarification!$D$9,IF(AND(AG452&lt;=$K167,AG452&gt;0),Tarification!$D$10,0)))</f>
        <v>0</v>
      </c>
      <c r="AH742" s="37">
        <f>IF(AND(AH452&lt;=$I167,AH452&gt;$J167),Tarification!$D$8,IF(AND(AH452&lt;=$J167,AH452&gt;$K167),Tarification!$D$9,IF(AND(AH452&lt;=$K167,AH452&gt;0),Tarification!$D$10,0)))</f>
        <v>0</v>
      </c>
      <c r="AI742" s="37">
        <f>IF(AND(AI452&lt;=$I167,AI452&gt;$J167),Tarification!$D$8,IF(AND(AI452&lt;=$J167,AI452&gt;$K167),Tarification!$D$9,IF(AND(AI452&lt;=$K167,AI452&gt;0),Tarification!$D$10,0)))</f>
        <v>0</v>
      </c>
      <c r="AJ742" s="37">
        <f>IF(AND(AJ452&lt;=$I167,AJ452&gt;$J167),Tarification!$D$8,IF(AND(AJ452&lt;=$J167,AJ452&gt;$K167),Tarification!$D$9,IF(AND(AJ452&lt;=$K167,AJ452&gt;0),Tarification!$D$10,0)))</f>
        <v>50000</v>
      </c>
      <c r="AK742" s="37">
        <f>IF(AND(AK452&lt;=$I167,AK452&gt;$J167),Tarification!$D$8,IF(AND(AK452&lt;=$J167,AK452&gt;$K167),Tarification!$D$9,IF(AND(AK452&lt;=$K167,AK452&gt;0),Tarification!$D$10,0)))</f>
        <v>0</v>
      </c>
      <c r="AL742" s="37">
        <f>IF(AND(AL452&lt;=$I167,AL452&gt;$J167),Tarification!$D$8,IF(AND(AL452&lt;=$J167,AL452&gt;$K167),Tarification!$D$9,IF(AND(AL452&lt;=$K167,AL452&gt;0),Tarification!$D$10,0)))</f>
        <v>0</v>
      </c>
      <c r="AM742" s="37">
        <f>IF(AND(AM452&lt;=$I167,AM452&gt;$J167),Tarification!$D$8,IF(AND(AM452&lt;=$J167,AM452&gt;$K167),Tarification!$D$9,IF(AND(AM452&lt;=$K167,AM452&gt;0),Tarification!$D$10,0)))</f>
        <v>0</v>
      </c>
      <c r="AN742" s="37">
        <f>IF(AND(AN452&lt;=$I167,AN452&gt;$J167),Tarification!$D$8,IF(AND(AN452&lt;=$J167,AN452&gt;$K167),Tarification!$D$9,IF(AND(AN452&lt;=$K167,AN452&gt;0),Tarification!$D$10,0)))</f>
        <v>50000</v>
      </c>
      <c r="AQ742" s="101">
        <f t="shared" si="150"/>
        <v>44736.84210526316</v>
      </c>
    </row>
    <row r="743" spans="14:43" ht="15.6">
      <c r="N743" s="39" t="s">
        <v>27</v>
      </c>
      <c r="O743" s="39" t="s">
        <v>169</v>
      </c>
      <c r="P743" t="s">
        <v>769</v>
      </c>
      <c r="Q743" s="39"/>
      <c r="V743" s="37">
        <f>IF(AND(V453&lt;=$I168,V453&gt;$J168),Tarification!$D$8,IF(AND(V453&lt;=$J168,V453&gt;$K168),Tarification!$D$9,IF(AND(V453&lt;=$K168,V453&gt;0),Tarification!$D$10,0)))</f>
        <v>0</v>
      </c>
      <c r="W743" s="37">
        <f>IF(AND(W453&lt;=$I168,W453&gt;$J168),Tarification!$D$8,IF(AND(W453&lt;=$J168,W453&gt;$K168),Tarification!$D$9,IF(AND(W453&lt;=$K168,W453&gt;0),Tarification!$D$10,0)))</f>
        <v>0</v>
      </c>
      <c r="X743" s="37">
        <f>IF(AND(X453&lt;=$I168,X453&gt;$J168),Tarification!$D$8,IF(AND(X453&lt;=$J168,X453&gt;$K168),Tarification!$D$9,IF(AND(X453&lt;=$K168,X453&gt;0),Tarification!$D$10,0)))</f>
        <v>0</v>
      </c>
      <c r="Y743" s="37">
        <f>IF(AND(Y453&lt;=$I168,Y453&gt;$J168),Tarification!$D$8,IF(AND(Y453&lt;=$J168,Y453&gt;$K168),Tarification!$D$9,IF(AND(Y453&lt;=$K168,Y453&gt;0),Tarification!$D$10,0)))</f>
        <v>0</v>
      </c>
      <c r="Z743" s="37">
        <f>IF(AND(Z453&lt;=$I168,Z453&gt;$J168),Tarification!$D$8,IF(AND(Z453&lt;=$J168,Z453&gt;$K168),Tarification!$D$9,IF(AND(Z453&lt;=$K168,Z453&gt;0),Tarification!$D$10,0)))</f>
        <v>0</v>
      </c>
      <c r="AA743" s="37">
        <f>IF(AND(AA453&lt;=$I168,AA453&gt;$J168),Tarification!$D$8,IF(AND(AA453&lt;=$J168,AA453&gt;$K168),Tarification!$D$9,IF(AND(AA453&lt;=$K168,AA453&gt;0),Tarification!$D$10,0)))</f>
        <v>0</v>
      </c>
      <c r="AB743" s="37">
        <f>IF(AND(AB453&lt;=$I168,AB453&gt;$J168),Tarification!$D$8,IF(AND(AB453&lt;=$J168,AB453&gt;$K168),Tarification!$D$9,IF(AND(AB453&lt;=$K168,AB453&gt;0),Tarification!$D$10,0)))</f>
        <v>0</v>
      </c>
      <c r="AC743" s="37">
        <f>IF(AND(AC453&lt;=$I168,AC453&gt;$J168),Tarification!$D$8,IF(AND(AC453&lt;=$J168,AC453&gt;$K168),Tarification!$D$9,IF(AND(AC453&lt;=$K168,AC453&gt;0),Tarification!$D$10,0)))</f>
        <v>0</v>
      </c>
      <c r="AD743" s="37">
        <f>IF(AND(AD453&lt;=$I168,AD453&gt;$J168),Tarification!$D$8,IF(AND(AD453&lt;=$J168,AD453&gt;$K168),Tarification!$D$9,IF(AND(AD453&lt;=$K168,AD453&gt;0),Tarification!$D$10,0)))</f>
        <v>0</v>
      </c>
      <c r="AE743" s="37">
        <f>IF(AND(AE453&lt;=$I168,AE453&gt;$J168),Tarification!$D$8,IF(AND(AE453&lt;=$J168,AE453&gt;$K168),Tarification!$D$9,IF(AND(AE453&lt;=$K168,AE453&gt;0),Tarification!$D$10,0)))</f>
        <v>0</v>
      </c>
      <c r="AF743" s="37">
        <f>IF(AND(AF453&lt;=$I168,AF453&gt;$J168),Tarification!$D$8,IF(AND(AF453&lt;=$J168,AF453&gt;$K168),Tarification!$D$9,IF(AND(AF453&lt;=$K168,AF453&gt;0),Tarification!$D$10,0)))</f>
        <v>0</v>
      </c>
      <c r="AG743" s="37">
        <f>IF(AND(AG453&lt;=$I168,AG453&gt;$J168),Tarification!$D$8,IF(AND(AG453&lt;=$J168,AG453&gt;$K168),Tarification!$D$9,IF(AND(AG453&lt;=$K168,AG453&gt;0),Tarification!$D$10,0)))</f>
        <v>0</v>
      </c>
      <c r="AH743" s="37">
        <f>IF(AND(AH453&lt;=$I168,AH453&gt;$J168),Tarification!$D$8,IF(AND(AH453&lt;=$J168,AH453&gt;$K168),Tarification!$D$9,IF(AND(AH453&lt;=$K168,AH453&gt;0),Tarification!$D$10,0)))</f>
        <v>0</v>
      </c>
      <c r="AI743" s="37">
        <f>IF(AND(AI453&lt;=$I168,AI453&gt;$J168),Tarification!$D$8,IF(AND(AI453&lt;=$J168,AI453&gt;$K168),Tarification!$D$9,IF(AND(AI453&lt;=$K168,AI453&gt;0),Tarification!$D$10,0)))</f>
        <v>0</v>
      </c>
      <c r="AJ743" s="37">
        <f>IF(AND(AJ453&lt;=$I168,AJ453&gt;$J168),Tarification!$D$8,IF(AND(AJ453&lt;=$J168,AJ453&gt;$K168),Tarification!$D$9,IF(AND(AJ453&lt;=$K168,AJ453&gt;0),Tarification!$D$10,0)))</f>
        <v>0</v>
      </c>
      <c r="AK743" s="37">
        <f>IF(AND(AK453&lt;=$I168,AK453&gt;$J168),Tarification!$D$8,IF(AND(AK453&lt;=$J168,AK453&gt;$K168),Tarification!$D$9,IF(AND(AK453&lt;=$K168,AK453&gt;0),Tarification!$D$10,0)))</f>
        <v>0</v>
      </c>
      <c r="AL743" s="37">
        <f>IF(AND(AL453&lt;=$I168,AL453&gt;$J168),Tarification!$D$8,IF(AND(AL453&lt;=$J168,AL453&gt;$K168),Tarification!$D$9,IF(AND(AL453&lt;=$K168,AL453&gt;0),Tarification!$D$10,0)))</f>
        <v>0</v>
      </c>
      <c r="AM743" s="37">
        <f>IF(AND(AM453&lt;=$I168,AM453&gt;$J168),Tarification!$D$8,IF(AND(AM453&lt;=$J168,AM453&gt;$K168),Tarification!$D$9,IF(AND(AM453&lt;=$K168,AM453&gt;0),Tarification!$D$10,0)))</f>
        <v>0</v>
      </c>
      <c r="AN743" s="37">
        <f>IF(AND(AN453&lt;=$I168,AN453&gt;$J168),Tarification!$D$8,IF(AND(AN453&lt;=$J168,AN453&gt;$K168),Tarification!$D$9,IF(AND(AN453&lt;=$K168,AN453&gt;0),Tarification!$D$10,0)))</f>
        <v>0</v>
      </c>
      <c r="AQ743" s="101">
        <f t="shared" si="150"/>
        <v>0</v>
      </c>
    </row>
    <row r="744" spans="14:43" ht="15.6">
      <c r="N744" s="39" t="s">
        <v>27</v>
      </c>
      <c r="O744" s="39" t="s">
        <v>472</v>
      </c>
      <c r="P744" t="s">
        <v>770</v>
      </c>
      <c r="Q744" s="39"/>
      <c r="V744" s="37">
        <f>IF(AND(V454&lt;=$I169,V454&gt;$J169),Tarification!$D$8,IF(AND(V454&lt;=$J169,V454&gt;$K169),Tarification!$D$9,IF(AND(V454&lt;=$K169,V454&gt;0),Tarification!$D$10,0)))</f>
        <v>0</v>
      </c>
      <c r="W744" s="37">
        <f>IF(AND(W454&lt;=$I169,W454&gt;$J169),Tarification!$D$8,IF(AND(W454&lt;=$J169,W454&gt;$K169),Tarification!$D$9,IF(AND(W454&lt;=$K169,W454&gt;0),Tarification!$D$10,0)))</f>
        <v>0</v>
      </c>
      <c r="X744" s="37">
        <f>IF(AND(X454&lt;=$I169,X454&gt;$J169),Tarification!$D$8,IF(AND(X454&lt;=$J169,X454&gt;$K169),Tarification!$D$9,IF(AND(X454&lt;=$K169,X454&gt;0),Tarification!$D$10,0)))</f>
        <v>0</v>
      </c>
      <c r="Y744" s="37">
        <f>IF(AND(Y454&lt;=$I169,Y454&gt;$J169),Tarification!$D$8,IF(AND(Y454&lt;=$J169,Y454&gt;$K169),Tarification!$D$9,IF(AND(Y454&lt;=$K169,Y454&gt;0),Tarification!$D$10,0)))</f>
        <v>0</v>
      </c>
      <c r="Z744" s="37">
        <f>IF(AND(Z454&lt;=$I169,Z454&gt;$J169),Tarification!$D$8,IF(AND(Z454&lt;=$J169,Z454&gt;$K169),Tarification!$D$9,IF(AND(Z454&lt;=$K169,Z454&gt;0),Tarification!$D$10,0)))</f>
        <v>0</v>
      </c>
      <c r="AA744" s="37">
        <f>IF(AND(AA454&lt;=$I169,AA454&gt;$J169),Tarification!$D$8,IF(AND(AA454&lt;=$J169,AA454&gt;$K169),Tarification!$D$9,IF(AND(AA454&lt;=$K169,AA454&gt;0),Tarification!$D$10,0)))</f>
        <v>0</v>
      </c>
      <c r="AB744" s="37">
        <f>IF(AND(AB454&lt;=$I169,AB454&gt;$J169),Tarification!$D$8,IF(AND(AB454&lt;=$J169,AB454&gt;$K169),Tarification!$D$9,IF(AND(AB454&lt;=$K169,AB454&gt;0),Tarification!$D$10,0)))</f>
        <v>0</v>
      </c>
      <c r="AC744" s="37">
        <f>IF(AND(AC454&lt;=$I169,AC454&gt;$J169),Tarification!$D$8,IF(AND(AC454&lt;=$J169,AC454&gt;$K169),Tarification!$D$9,IF(AND(AC454&lt;=$K169,AC454&gt;0),Tarification!$D$10,0)))</f>
        <v>0</v>
      </c>
      <c r="AD744" s="37">
        <f>IF(AND(AD454&lt;=$I169,AD454&gt;$J169),Tarification!$D$8,IF(AND(AD454&lt;=$J169,AD454&gt;$K169),Tarification!$D$9,IF(AND(AD454&lt;=$K169,AD454&gt;0),Tarification!$D$10,0)))</f>
        <v>0</v>
      </c>
      <c r="AE744" s="37">
        <f>IF(AND(AE454&lt;=$I169,AE454&gt;$J169),Tarification!$D$8,IF(AND(AE454&lt;=$J169,AE454&gt;$K169),Tarification!$D$9,IF(AND(AE454&lt;=$K169,AE454&gt;0),Tarification!$D$10,0)))</f>
        <v>0</v>
      </c>
      <c r="AF744" s="37">
        <f>IF(AND(AF454&lt;=$I169,AF454&gt;$J169),Tarification!$D$8,IF(AND(AF454&lt;=$J169,AF454&gt;$K169),Tarification!$D$9,IF(AND(AF454&lt;=$K169,AF454&gt;0),Tarification!$D$10,0)))</f>
        <v>0</v>
      </c>
      <c r="AG744" s="37">
        <f>IF(AND(AG454&lt;=$I169,AG454&gt;$J169),Tarification!$D$8,IF(AND(AG454&lt;=$J169,AG454&gt;$K169),Tarification!$D$9,IF(AND(AG454&lt;=$K169,AG454&gt;0),Tarification!$D$10,0)))</f>
        <v>0</v>
      </c>
      <c r="AH744" s="37">
        <f>IF(AND(AH454&lt;=$I169,AH454&gt;$J169),Tarification!$D$8,IF(AND(AH454&lt;=$J169,AH454&gt;$K169),Tarification!$D$9,IF(AND(AH454&lt;=$K169,AH454&gt;0),Tarification!$D$10,0)))</f>
        <v>0</v>
      </c>
      <c r="AI744" s="37">
        <f>IF(AND(AI454&lt;=$I169,AI454&gt;$J169),Tarification!$D$8,IF(AND(AI454&lt;=$J169,AI454&gt;$K169),Tarification!$D$9,IF(AND(AI454&lt;=$K169,AI454&gt;0),Tarification!$D$10,0)))</f>
        <v>0</v>
      </c>
      <c r="AJ744" s="37">
        <f>IF(AND(AJ454&lt;=$I169,AJ454&gt;$J169),Tarification!$D$8,IF(AND(AJ454&lt;=$J169,AJ454&gt;$K169),Tarification!$D$9,IF(AND(AJ454&lt;=$K169,AJ454&gt;0),Tarification!$D$10,0)))</f>
        <v>50000</v>
      </c>
      <c r="AK744" s="37">
        <f>IF(AND(AK454&lt;=$I169,AK454&gt;$J169),Tarification!$D$8,IF(AND(AK454&lt;=$J169,AK454&gt;$K169),Tarification!$D$9,IF(AND(AK454&lt;=$K169,AK454&gt;0),Tarification!$D$10,0)))</f>
        <v>0</v>
      </c>
      <c r="AL744" s="37">
        <f>IF(AND(AL454&lt;=$I169,AL454&gt;$J169),Tarification!$D$8,IF(AND(AL454&lt;=$J169,AL454&gt;$K169),Tarification!$D$9,IF(AND(AL454&lt;=$K169,AL454&gt;0),Tarification!$D$10,0)))</f>
        <v>0</v>
      </c>
      <c r="AM744" s="37">
        <f>IF(AND(AM454&lt;=$I169,AM454&gt;$J169),Tarification!$D$8,IF(AND(AM454&lt;=$J169,AM454&gt;$K169),Tarification!$D$9,IF(AND(AM454&lt;=$K169,AM454&gt;0),Tarification!$D$10,0)))</f>
        <v>0</v>
      </c>
      <c r="AN744" s="37">
        <f>IF(AND(AN454&lt;=$I169,AN454&gt;$J169),Tarification!$D$8,IF(AND(AN454&lt;=$J169,AN454&gt;$K169),Tarification!$D$9,IF(AND(AN454&lt;=$K169,AN454&gt;0),Tarification!$D$10,0)))</f>
        <v>0</v>
      </c>
      <c r="AQ744" s="101">
        <f t="shared" si="150"/>
        <v>2631.5789473684213</v>
      </c>
    </row>
    <row r="745" spans="14:43" ht="15.6">
      <c r="N745" s="39" t="s">
        <v>27</v>
      </c>
      <c r="O745" s="39" t="s">
        <v>517</v>
      </c>
      <c r="P745" t="s">
        <v>771</v>
      </c>
      <c r="Q745" s="39"/>
      <c r="V745" s="37">
        <f>IF(AND(V455&lt;=$I170,V455&gt;$J170),Tarification!$D$8,IF(AND(V455&lt;=$J170,V455&gt;$K170),Tarification!$D$9,IF(AND(V455&lt;=$K170,V455&gt;0),Tarification!$D$10,0)))</f>
        <v>0</v>
      </c>
      <c r="W745" s="37">
        <f>IF(AND(W455&lt;=$I170,W455&gt;$J170),Tarification!$D$8,IF(AND(W455&lt;=$J170,W455&gt;$K170),Tarification!$D$9,IF(AND(W455&lt;=$K170,W455&gt;0),Tarification!$D$10,0)))</f>
        <v>50000</v>
      </c>
      <c r="X745" s="37">
        <f>IF(AND(X455&lt;=$I170,X455&gt;$J170),Tarification!$D$8,IF(AND(X455&lt;=$J170,X455&gt;$K170),Tarification!$D$9,IF(AND(X455&lt;=$K170,X455&gt;0),Tarification!$D$10,0)))</f>
        <v>0</v>
      </c>
      <c r="Y745" s="37">
        <f>IF(AND(Y455&lt;=$I170,Y455&gt;$J170),Tarification!$D$8,IF(AND(Y455&lt;=$J170,Y455&gt;$K170),Tarification!$D$9,IF(AND(Y455&lt;=$K170,Y455&gt;0),Tarification!$D$10,0)))</f>
        <v>0</v>
      </c>
      <c r="Z745" s="37">
        <f>IF(AND(Z455&lt;=$I170,Z455&gt;$J170),Tarification!$D$8,IF(AND(Z455&lt;=$J170,Z455&gt;$K170),Tarification!$D$9,IF(AND(Z455&lt;=$K170,Z455&gt;0),Tarification!$D$10,0)))</f>
        <v>0</v>
      </c>
      <c r="AA745" s="37">
        <f>IF(AND(AA455&lt;=$I170,AA455&gt;$J170),Tarification!$D$8,IF(AND(AA455&lt;=$J170,AA455&gt;$K170),Tarification!$D$9,IF(AND(AA455&lt;=$K170,AA455&gt;0),Tarification!$D$10,0)))</f>
        <v>0</v>
      </c>
      <c r="AB745" s="37">
        <f>IF(AND(AB455&lt;=$I170,AB455&gt;$J170),Tarification!$D$8,IF(AND(AB455&lt;=$J170,AB455&gt;$K170),Tarification!$D$9,IF(AND(AB455&lt;=$K170,AB455&gt;0),Tarification!$D$10,0)))</f>
        <v>0</v>
      </c>
      <c r="AC745" s="37">
        <f>IF(AND(AC455&lt;=$I170,AC455&gt;$J170),Tarification!$D$8,IF(AND(AC455&lt;=$J170,AC455&gt;$K170),Tarification!$D$9,IF(AND(AC455&lt;=$K170,AC455&gt;0),Tarification!$D$10,0)))</f>
        <v>50000</v>
      </c>
      <c r="AD745" s="37">
        <f>IF(AND(AD455&lt;=$I170,AD455&gt;$J170),Tarification!$D$8,IF(AND(AD455&lt;=$J170,AD455&gt;$K170),Tarification!$D$9,IF(AND(AD455&lt;=$K170,AD455&gt;0),Tarification!$D$10,0)))</f>
        <v>50000</v>
      </c>
      <c r="AE745" s="37">
        <f>IF(AND(AE455&lt;=$I170,AE455&gt;$J170),Tarification!$D$8,IF(AND(AE455&lt;=$J170,AE455&gt;$K170),Tarification!$D$9,IF(AND(AE455&lt;=$K170,AE455&gt;0),Tarification!$D$10,0)))</f>
        <v>0</v>
      </c>
      <c r="AF745" s="37">
        <f>IF(AND(AF455&lt;=$I170,AF455&gt;$J170),Tarification!$D$8,IF(AND(AF455&lt;=$J170,AF455&gt;$K170),Tarification!$D$9,IF(AND(AF455&lt;=$K170,AF455&gt;0),Tarification!$D$10,0)))</f>
        <v>50000</v>
      </c>
      <c r="AG745" s="37">
        <f>IF(AND(AG455&lt;=$I170,AG455&gt;$J170),Tarification!$D$8,IF(AND(AG455&lt;=$J170,AG455&gt;$K170),Tarification!$D$9,IF(AND(AG455&lt;=$K170,AG455&gt;0),Tarification!$D$10,0)))</f>
        <v>0</v>
      </c>
      <c r="AH745" s="37">
        <f>IF(AND(AH455&lt;=$I170,AH455&gt;$J170),Tarification!$D$8,IF(AND(AH455&lt;=$J170,AH455&gt;$K170),Tarification!$D$9,IF(AND(AH455&lt;=$K170,AH455&gt;0),Tarification!$D$10,0)))</f>
        <v>0</v>
      </c>
      <c r="AI745" s="37">
        <f>IF(AND(AI455&lt;=$I170,AI455&gt;$J170),Tarification!$D$8,IF(AND(AI455&lt;=$J170,AI455&gt;$K170),Tarification!$D$9,IF(AND(AI455&lt;=$K170,AI455&gt;0),Tarification!$D$10,0)))</f>
        <v>0</v>
      </c>
      <c r="AJ745" s="37">
        <f>IF(AND(AJ455&lt;=$I170,AJ455&gt;$J170),Tarification!$D$8,IF(AND(AJ455&lt;=$J170,AJ455&gt;$K170),Tarification!$D$9,IF(AND(AJ455&lt;=$K170,AJ455&gt;0),Tarification!$D$10,0)))</f>
        <v>50000</v>
      </c>
      <c r="AK745" s="37">
        <f>IF(AND(AK455&lt;=$I170,AK455&gt;$J170),Tarification!$D$8,IF(AND(AK455&lt;=$J170,AK455&gt;$K170),Tarification!$D$9,IF(AND(AK455&lt;=$K170,AK455&gt;0),Tarification!$D$10,0)))</f>
        <v>0</v>
      </c>
      <c r="AL745" s="37">
        <f>IF(AND(AL455&lt;=$I170,AL455&gt;$J170),Tarification!$D$8,IF(AND(AL455&lt;=$J170,AL455&gt;$K170),Tarification!$D$9,IF(AND(AL455&lt;=$K170,AL455&gt;0),Tarification!$D$10,0)))</f>
        <v>0</v>
      </c>
      <c r="AM745" s="37">
        <f>IF(AND(AM455&lt;=$I170,AM455&gt;$J170),Tarification!$D$8,IF(AND(AM455&lt;=$J170,AM455&gt;$K170),Tarification!$D$9,IF(AND(AM455&lt;=$K170,AM455&gt;0),Tarification!$D$10,0)))</f>
        <v>0</v>
      </c>
      <c r="AN745" s="37">
        <f>IF(AND(AN455&lt;=$I170,AN455&gt;$J170),Tarification!$D$8,IF(AND(AN455&lt;=$J170,AN455&gt;$K170),Tarification!$D$9,IF(AND(AN455&lt;=$K170,AN455&gt;0),Tarification!$D$10,0)))</f>
        <v>50000</v>
      </c>
      <c r="AQ745" s="101">
        <f t="shared" si="150"/>
        <v>15789.473684210527</v>
      </c>
    </row>
    <row r="746" spans="14:43" ht="15.6">
      <c r="N746" s="39" t="s">
        <v>27</v>
      </c>
      <c r="O746" s="39" t="s">
        <v>572</v>
      </c>
      <c r="P746" t="s">
        <v>772</v>
      </c>
      <c r="Q746" s="39"/>
      <c r="V746" s="37">
        <f>IF(AND(V456&lt;=$I171,V456&gt;$J171),Tarification!$D$8,IF(AND(V456&lt;=$J171,V456&gt;$K171),Tarification!$D$9,IF(AND(V456&lt;=$K171,V456&gt;0),Tarification!$D$10,0)))</f>
        <v>0</v>
      </c>
      <c r="W746" s="37">
        <f>IF(AND(W456&lt;=$I171,W456&gt;$J171),Tarification!$D$8,IF(AND(W456&lt;=$J171,W456&gt;$K171),Tarification!$D$9,IF(AND(W456&lt;=$K171,W456&gt;0),Tarification!$D$10,0)))</f>
        <v>0</v>
      </c>
      <c r="X746" s="37">
        <f>IF(AND(X456&lt;=$I171,X456&gt;$J171),Tarification!$D$8,IF(AND(X456&lt;=$J171,X456&gt;$K171),Tarification!$D$9,IF(AND(X456&lt;=$K171,X456&gt;0),Tarification!$D$10,0)))</f>
        <v>0</v>
      </c>
      <c r="Y746" s="37">
        <f>IF(AND(Y456&lt;=$I171,Y456&gt;$J171),Tarification!$D$8,IF(AND(Y456&lt;=$J171,Y456&gt;$K171),Tarification!$D$9,IF(AND(Y456&lt;=$K171,Y456&gt;0),Tarification!$D$10,0)))</f>
        <v>0</v>
      </c>
      <c r="Z746" s="37">
        <f>IF(AND(Z456&lt;=$I171,Z456&gt;$J171),Tarification!$D$8,IF(AND(Z456&lt;=$J171,Z456&gt;$K171),Tarification!$D$9,IF(AND(Z456&lt;=$K171,Z456&gt;0),Tarification!$D$10,0)))</f>
        <v>0</v>
      </c>
      <c r="AA746" s="37">
        <f>IF(AND(AA456&lt;=$I171,AA456&gt;$J171),Tarification!$D$8,IF(AND(AA456&lt;=$J171,AA456&gt;$K171),Tarification!$D$9,IF(AND(AA456&lt;=$K171,AA456&gt;0),Tarification!$D$10,0)))</f>
        <v>0</v>
      </c>
      <c r="AB746" s="37">
        <f>IF(AND(AB456&lt;=$I171,AB456&gt;$J171),Tarification!$D$8,IF(AND(AB456&lt;=$J171,AB456&gt;$K171),Tarification!$D$9,IF(AND(AB456&lt;=$K171,AB456&gt;0),Tarification!$D$10,0)))</f>
        <v>0</v>
      </c>
      <c r="AC746" s="37">
        <f>IF(AND(AC456&lt;=$I171,AC456&gt;$J171),Tarification!$D$8,IF(AND(AC456&lt;=$J171,AC456&gt;$K171),Tarification!$D$9,IF(AND(AC456&lt;=$K171,AC456&gt;0),Tarification!$D$10,0)))</f>
        <v>0</v>
      </c>
      <c r="AD746" s="37">
        <f>IF(AND(AD456&lt;=$I171,AD456&gt;$J171),Tarification!$D$8,IF(AND(AD456&lt;=$J171,AD456&gt;$K171),Tarification!$D$9,IF(AND(AD456&lt;=$K171,AD456&gt;0),Tarification!$D$10,0)))</f>
        <v>0</v>
      </c>
      <c r="AE746" s="37">
        <f>IF(AND(AE456&lt;=$I171,AE456&gt;$J171),Tarification!$D$8,IF(AND(AE456&lt;=$J171,AE456&gt;$K171),Tarification!$D$9,IF(AND(AE456&lt;=$K171,AE456&gt;0),Tarification!$D$10,0)))</f>
        <v>0</v>
      </c>
      <c r="AF746" s="37">
        <f>IF(AND(AF456&lt;=$I171,AF456&gt;$J171),Tarification!$D$8,IF(AND(AF456&lt;=$J171,AF456&gt;$K171),Tarification!$D$9,IF(AND(AF456&lt;=$K171,AF456&gt;0),Tarification!$D$10,0)))</f>
        <v>0</v>
      </c>
      <c r="AG746" s="37">
        <f>IF(AND(AG456&lt;=$I171,AG456&gt;$J171),Tarification!$D$8,IF(AND(AG456&lt;=$J171,AG456&gt;$K171),Tarification!$D$9,IF(AND(AG456&lt;=$K171,AG456&gt;0),Tarification!$D$10,0)))</f>
        <v>0</v>
      </c>
      <c r="AH746" s="37">
        <f>IF(AND(AH456&lt;=$I171,AH456&gt;$J171),Tarification!$D$8,IF(AND(AH456&lt;=$J171,AH456&gt;$K171),Tarification!$D$9,IF(AND(AH456&lt;=$K171,AH456&gt;0),Tarification!$D$10,0)))</f>
        <v>0</v>
      </c>
      <c r="AI746" s="37">
        <f>IF(AND(AI456&lt;=$I171,AI456&gt;$J171),Tarification!$D$8,IF(AND(AI456&lt;=$J171,AI456&gt;$K171),Tarification!$D$9,IF(AND(AI456&lt;=$K171,AI456&gt;0),Tarification!$D$10,0)))</f>
        <v>0</v>
      </c>
      <c r="AJ746" s="37">
        <f>IF(AND(AJ456&lt;=$I171,AJ456&gt;$J171),Tarification!$D$8,IF(AND(AJ456&lt;=$J171,AJ456&gt;$K171),Tarification!$D$9,IF(AND(AJ456&lt;=$K171,AJ456&gt;0),Tarification!$D$10,0)))</f>
        <v>0</v>
      </c>
      <c r="AK746" s="37">
        <f>IF(AND(AK456&lt;=$I171,AK456&gt;$J171),Tarification!$D$8,IF(AND(AK456&lt;=$J171,AK456&gt;$K171),Tarification!$D$9,IF(AND(AK456&lt;=$K171,AK456&gt;0),Tarification!$D$10,0)))</f>
        <v>0</v>
      </c>
      <c r="AL746" s="37">
        <f>IF(AND(AL456&lt;=$I171,AL456&gt;$J171),Tarification!$D$8,IF(AND(AL456&lt;=$J171,AL456&gt;$K171),Tarification!$D$9,IF(AND(AL456&lt;=$K171,AL456&gt;0),Tarification!$D$10,0)))</f>
        <v>0</v>
      </c>
      <c r="AM746" s="37">
        <f>IF(AND(AM456&lt;=$I171,AM456&gt;$J171),Tarification!$D$8,IF(AND(AM456&lt;=$J171,AM456&gt;$K171),Tarification!$D$9,IF(AND(AM456&lt;=$K171,AM456&gt;0),Tarification!$D$10,0)))</f>
        <v>0</v>
      </c>
      <c r="AN746" s="37">
        <f>IF(AND(AN456&lt;=$I171,AN456&gt;$J171),Tarification!$D$8,IF(AND(AN456&lt;=$J171,AN456&gt;$K171),Tarification!$D$9,IF(AND(AN456&lt;=$K171,AN456&gt;0),Tarification!$D$10,0)))</f>
        <v>0</v>
      </c>
      <c r="AQ746" s="101">
        <f t="shared" si="150"/>
        <v>0</v>
      </c>
    </row>
    <row r="747" spans="14:43" ht="15.6">
      <c r="N747" s="39" t="s">
        <v>26</v>
      </c>
      <c r="O747" s="39" t="s">
        <v>527</v>
      </c>
      <c r="P747" t="s">
        <v>666</v>
      </c>
      <c r="Q747" s="39"/>
      <c r="V747" s="37">
        <f>IF(AND(V457&lt;=$I172,V457&gt;$J172),Tarification!$D$8,IF(AND(V457&lt;=$J172,V457&gt;$K172),Tarification!$D$9,IF(AND(V457&lt;=$K172,V457&gt;0),Tarification!$D$10,0)))</f>
        <v>0</v>
      </c>
      <c r="W747" s="37">
        <f>IF(AND(W457&lt;=$I172,W457&gt;$J172),Tarification!$D$8,IF(AND(W457&lt;=$J172,W457&gt;$K172),Tarification!$D$9,IF(AND(W457&lt;=$K172,W457&gt;0),Tarification!$D$10,0)))</f>
        <v>50000</v>
      </c>
      <c r="X747" s="37">
        <f>IF(AND(X457&lt;=$I172,X457&gt;$J172),Tarification!$D$8,IF(AND(X457&lt;=$J172,X457&gt;$K172),Tarification!$D$9,IF(AND(X457&lt;=$K172,X457&gt;0),Tarification!$D$10,0)))</f>
        <v>0</v>
      </c>
      <c r="Y747" s="37">
        <f>IF(AND(Y457&lt;=$I172,Y457&gt;$J172),Tarification!$D$8,IF(AND(Y457&lt;=$J172,Y457&gt;$K172),Tarification!$D$9,IF(AND(Y457&lt;=$K172,Y457&gt;0),Tarification!$D$10,0)))</f>
        <v>0</v>
      </c>
      <c r="Z747" s="37">
        <f>IF(AND(Z457&lt;=$I172,Z457&gt;$J172),Tarification!$D$8,IF(AND(Z457&lt;=$J172,Z457&gt;$K172),Tarification!$D$9,IF(AND(Z457&lt;=$K172,Z457&gt;0),Tarification!$D$10,0)))</f>
        <v>125000</v>
      </c>
      <c r="AA747" s="37">
        <f>IF(AND(AA457&lt;=$I172,AA457&gt;$J172),Tarification!$D$8,IF(AND(AA457&lt;=$J172,AA457&gt;$K172),Tarification!$D$9,IF(AND(AA457&lt;=$K172,AA457&gt;0),Tarification!$D$10,0)))</f>
        <v>0</v>
      </c>
      <c r="AB747" s="37">
        <f>IF(AND(AB457&lt;=$I172,AB457&gt;$J172),Tarification!$D$8,IF(AND(AB457&lt;=$J172,AB457&gt;$K172),Tarification!$D$9,IF(AND(AB457&lt;=$K172,AB457&gt;0),Tarification!$D$10,0)))</f>
        <v>0</v>
      </c>
      <c r="AC747" s="37">
        <f>IF(AND(AC457&lt;=$I172,AC457&gt;$J172),Tarification!$D$8,IF(AND(AC457&lt;=$J172,AC457&gt;$K172),Tarification!$D$9,IF(AND(AC457&lt;=$K172,AC457&gt;0),Tarification!$D$10,0)))</f>
        <v>0</v>
      </c>
      <c r="AD747" s="37">
        <f>IF(AND(AD457&lt;=$I172,AD457&gt;$J172),Tarification!$D$8,IF(AND(AD457&lt;=$J172,AD457&gt;$K172),Tarification!$D$9,IF(AND(AD457&lt;=$K172,AD457&gt;0),Tarification!$D$10,0)))</f>
        <v>50000</v>
      </c>
      <c r="AE747" s="37">
        <f>IF(AND(AE457&lt;=$I172,AE457&gt;$J172),Tarification!$D$8,IF(AND(AE457&lt;=$J172,AE457&gt;$K172),Tarification!$D$9,IF(AND(AE457&lt;=$K172,AE457&gt;0),Tarification!$D$10,0)))</f>
        <v>125000</v>
      </c>
      <c r="AF747" s="37">
        <f>IF(AND(AF457&lt;=$I172,AF457&gt;$J172),Tarification!$D$8,IF(AND(AF457&lt;=$J172,AF457&gt;$K172),Tarification!$D$9,IF(AND(AF457&lt;=$K172,AF457&gt;0),Tarification!$D$10,0)))</f>
        <v>50000</v>
      </c>
      <c r="AG747" s="37">
        <f>IF(AND(AG457&lt;=$I172,AG457&gt;$J172),Tarification!$D$8,IF(AND(AG457&lt;=$J172,AG457&gt;$K172),Tarification!$D$9,IF(AND(AG457&lt;=$K172,AG457&gt;0),Tarification!$D$10,0)))</f>
        <v>0</v>
      </c>
      <c r="AH747" s="37">
        <f>IF(AND(AH457&lt;=$I172,AH457&gt;$J172),Tarification!$D$8,IF(AND(AH457&lt;=$J172,AH457&gt;$K172),Tarification!$D$9,IF(AND(AH457&lt;=$K172,AH457&gt;0),Tarification!$D$10,0)))</f>
        <v>0</v>
      </c>
      <c r="AI747" s="37">
        <f>IF(AND(AI457&lt;=$I172,AI457&gt;$J172),Tarification!$D$8,IF(AND(AI457&lt;=$J172,AI457&gt;$K172),Tarification!$D$9,IF(AND(AI457&lt;=$K172,AI457&gt;0),Tarification!$D$10,0)))</f>
        <v>0</v>
      </c>
      <c r="AJ747" s="37">
        <f>IF(AND(AJ457&lt;=$I172,AJ457&gt;$J172),Tarification!$D$8,IF(AND(AJ457&lt;=$J172,AJ457&gt;$K172),Tarification!$D$9,IF(AND(AJ457&lt;=$K172,AJ457&gt;0),Tarification!$D$10,0)))</f>
        <v>0</v>
      </c>
      <c r="AK747" s="37">
        <f>IF(AND(AK457&lt;=$I172,AK457&gt;$J172),Tarification!$D$8,IF(AND(AK457&lt;=$J172,AK457&gt;$K172),Tarification!$D$9,IF(AND(AK457&lt;=$K172,AK457&gt;0),Tarification!$D$10,0)))</f>
        <v>0</v>
      </c>
      <c r="AL747" s="37">
        <f>IF(AND(AL457&lt;=$I172,AL457&gt;$J172),Tarification!$D$8,IF(AND(AL457&lt;=$J172,AL457&gt;$K172),Tarification!$D$9,IF(AND(AL457&lt;=$K172,AL457&gt;0),Tarification!$D$10,0)))</f>
        <v>0</v>
      </c>
      <c r="AM747" s="37">
        <f>IF(AND(AM457&lt;=$I172,AM457&gt;$J172),Tarification!$D$8,IF(AND(AM457&lt;=$J172,AM457&gt;$K172),Tarification!$D$9,IF(AND(AM457&lt;=$K172,AM457&gt;0),Tarification!$D$10,0)))</f>
        <v>0</v>
      </c>
      <c r="AN747" s="37">
        <f>IF(AND(AN457&lt;=$I172,AN457&gt;$J172),Tarification!$D$8,IF(AND(AN457&lt;=$J172,AN457&gt;$K172),Tarification!$D$9,IF(AND(AN457&lt;=$K172,AN457&gt;0),Tarification!$D$10,0)))</f>
        <v>0</v>
      </c>
      <c r="AQ747" s="101">
        <f t="shared" si="150"/>
        <v>21052.63157894737</v>
      </c>
    </row>
    <row r="748" spans="14:43" ht="15.6">
      <c r="N748" s="39" t="s">
        <v>27</v>
      </c>
      <c r="O748" s="39" t="s">
        <v>484</v>
      </c>
      <c r="P748" t="s">
        <v>773</v>
      </c>
      <c r="Q748" s="39"/>
      <c r="V748" s="37">
        <f>IF(AND(V458&lt;=$I173,V458&gt;$J173),Tarification!$D$8,IF(AND(V458&lt;=$J173,V458&gt;$K173),Tarification!$D$9,IF(AND(V458&lt;=$K173,V458&gt;0),Tarification!$D$10,0)))</f>
        <v>0</v>
      </c>
      <c r="W748" s="37">
        <f>IF(AND(W458&lt;=$I173,W458&gt;$J173),Tarification!$D$8,IF(AND(W458&lt;=$J173,W458&gt;$K173),Tarification!$D$9,IF(AND(W458&lt;=$K173,W458&gt;0),Tarification!$D$10,0)))</f>
        <v>0</v>
      </c>
      <c r="X748" s="37">
        <f>IF(AND(X458&lt;=$I173,X458&gt;$J173),Tarification!$D$8,IF(AND(X458&lt;=$J173,X458&gt;$K173),Tarification!$D$9,IF(AND(X458&lt;=$K173,X458&gt;0),Tarification!$D$10,0)))</f>
        <v>0</v>
      </c>
      <c r="Y748" s="37">
        <f>IF(AND(Y458&lt;=$I173,Y458&gt;$J173),Tarification!$D$8,IF(AND(Y458&lt;=$J173,Y458&gt;$K173),Tarification!$D$9,IF(AND(Y458&lt;=$K173,Y458&gt;0),Tarification!$D$10,0)))</f>
        <v>0</v>
      </c>
      <c r="Z748" s="37">
        <f>IF(AND(Z458&lt;=$I173,Z458&gt;$J173),Tarification!$D$8,IF(AND(Z458&lt;=$J173,Z458&gt;$K173),Tarification!$D$9,IF(AND(Z458&lt;=$K173,Z458&gt;0),Tarification!$D$10,0)))</f>
        <v>0</v>
      </c>
      <c r="AA748" s="37">
        <f>IF(AND(AA458&lt;=$I173,AA458&gt;$J173),Tarification!$D$8,IF(AND(AA458&lt;=$J173,AA458&gt;$K173),Tarification!$D$9,IF(AND(AA458&lt;=$K173,AA458&gt;0),Tarification!$D$10,0)))</f>
        <v>0</v>
      </c>
      <c r="AB748" s="37">
        <f>IF(AND(AB458&lt;=$I173,AB458&gt;$J173),Tarification!$D$8,IF(AND(AB458&lt;=$J173,AB458&gt;$K173),Tarification!$D$9,IF(AND(AB458&lt;=$K173,AB458&gt;0),Tarification!$D$10,0)))</f>
        <v>0</v>
      </c>
      <c r="AC748" s="37">
        <f>IF(AND(AC458&lt;=$I173,AC458&gt;$J173),Tarification!$D$8,IF(AND(AC458&lt;=$J173,AC458&gt;$K173),Tarification!$D$9,IF(AND(AC458&lt;=$K173,AC458&gt;0),Tarification!$D$10,0)))</f>
        <v>0</v>
      </c>
      <c r="AD748" s="37">
        <f>IF(AND(AD458&lt;=$I173,AD458&gt;$J173),Tarification!$D$8,IF(AND(AD458&lt;=$J173,AD458&gt;$K173),Tarification!$D$9,IF(AND(AD458&lt;=$K173,AD458&gt;0),Tarification!$D$10,0)))</f>
        <v>0</v>
      </c>
      <c r="AE748" s="37">
        <f>IF(AND(AE458&lt;=$I173,AE458&gt;$J173),Tarification!$D$8,IF(AND(AE458&lt;=$J173,AE458&gt;$K173),Tarification!$D$9,IF(AND(AE458&lt;=$K173,AE458&gt;0),Tarification!$D$10,0)))</f>
        <v>0</v>
      </c>
      <c r="AF748" s="37">
        <f>IF(AND(AF458&lt;=$I173,AF458&gt;$J173),Tarification!$D$8,IF(AND(AF458&lt;=$J173,AF458&gt;$K173),Tarification!$D$9,IF(AND(AF458&lt;=$K173,AF458&gt;0),Tarification!$D$10,0)))</f>
        <v>0</v>
      </c>
      <c r="AG748" s="37">
        <f>IF(AND(AG458&lt;=$I173,AG458&gt;$J173),Tarification!$D$8,IF(AND(AG458&lt;=$J173,AG458&gt;$K173),Tarification!$D$9,IF(AND(AG458&lt;=$K173,AG458&gt;0),Tarification!$D$10,0)))</f>
        <v>0</v>
      </c>
      <c r="AH748" s="37">
        <f>IF(AND(AH458&lt;=$I173,AH458&gt;$J173),Tarification!$D$8,IF(AND(AH458&lt;=$J173,AH458&gt;$K173),Tarification!$D$9,IF(AND(AH458&lt;=$K173,AH458&gt;0),Tarification!$D$10,0)))</f>
        <v>0</v>
      </c>
      <c r="AI748" s="37">
        <f>IF(AND(AI458&lt;=$I173,AI458&gt;$J173),Tarification!$D$8,IF(AND(AI458&lt;=$J173,AI458&gt;$K173),Tarification!$D$9,IF(AND(AI458&lt;=$K173,AI458&gt;0),Tarification!$D$10,0)))</f>
        <v>0</v>
      </c>
      <c r="AJ748" s="37">
        <f>IF(AND(AJ458&lt;=$I173,AJ458&gt;$J173),Tarification!$D$8,IF(AND(AJ458&lt;=$J173,AJ458&gt;$K173),Tarification!$D$9,IF(AND(AJ458&lt;=$K173,AJ458&gt;0),Tarification!$D$10,0)))</f>
        <v>0</v>
      </c>
      <c r="AK748" s="37">
        <f>IF(AND(AK458&lt;=$I173,AK458&gt;$J173),Tarification!$D$8,IF(AND(AK458&lt;=$J173,AK458&gt;$K173),Tarification!$D$9,IF(AND(AK458&lt;=$K173,AK458&gt;0),Tarification!$D$10,0)))</f>
        <v>0</v>
      </c>
      <c r="AL748" s="37">
        <f>IF(AND(AL458&lt;=$I173,AL458&gt;$J173),Tarification!$D$8,IF(AND(AL458&lt;=$J173,AL458&gt;$K173),Tarification!$D$9,IF(AND(AL458&lt;=$K173,AL458&gt;0),Tarification!$D$10,0)))</f>
        <v>0</v>
      </c>
      <c r="AM748" s="37">
        <f>IF(AND(AM458&lt;=$I173,AM458&gt;$J173),Tarification!$D$8,IF(AND(AM458&lt;=$J173,AM458&gt;$K173),Tarification!$D$9,IF(AND(AM458&lt;=$K173,AM458&gt;0),Tarification!$D$10,0)))</f>
        <v>0</v>
      </c>
      <c r="AN748" s="37">
        <f>IF(AND(AN458&lt;=$I173,AN458&gt;$J173),Tarification!$D$8,IF(AND(AN458&lt;=$J173,AN458&gt;$K173),Tarification!$D$9,IF(AND(AN458&lt;=$K173,AN458&gt;0),Tarification!$D$10,0)))</f>
        <v>0</v>
      </c>
      <c r="AQ748" s="101">
        <f t="shared" si="150"/>
        <v>0</v>
      </c>
    </row>
    <row r="749" spans="14:43" ht="15.6">
      <c r="N749" s="39" t="s">
        <v>27</v>
      </c>
      <c r="O749" s="39" t="s">
        <v>566</v>
      </c>
      <c r="P749" t="s">
        <v>774</v>
      </c>
      <c r="Q749" s="39"/>
      <c r="V749" s="37">
        <f>IF(AND(V459&lt;=$I174,V459&gt;$J174),Tarification!$D$8,IF(AND(V459&lt;=$J174,V459&gt;$K174),Tarification!$D$9,IF(AND(V459&lt;=$K174,V459&gt;0),Tarification!$D$10,0)))</f>
        <v>0</v>
      </c>
      <c r="W749" s="37">
        <f>IF(AND(W459&lt;=$I174,W459&gt;$J174),Tarification!$D$8,IF(AND(W459&lt;=$J174,W459&gt;$K174),Tarification!$D$9,IF(AND(W459&lt;=$K174,W459&gt;0),Tarification!$D$10,0)))</f>
        <v>0</v>
      </c>
      <c r="X749" s="37">
        <f>IF(AND(X459&lt;=$I174,X459&gt;$J174),Tarification!$D$8,IF(AND(X459&lt;=$J174,X459&gt;$K174),Tarification!$D$9,IF(AND(X459&lt;=$K174,X459&gt;0),Tarification!$D$10,0)))</f>
        <v>0</v>
      </c>
      <c r="Y749" s="37">
        <f>IF(AND(Y459&lt;=$I174,Y459&gt;$J174),Tarification!$D$8,IF(AND(Y459&lt;=$J174,Y459&gt;$K174),Tarification!$D$9,IF(AND(Y459&lt;=$K174,Y459&gt;0),Tarification!$D$10,0)))</f>
        <v>0</v>
      </c>
      <c r="Z749" s="37">
        <f>IF(AND(Z459&lt;=$I174,Z459&gt;$J174),Tarification!$D$8,IF(AND(Z459&lt;=$J174,Z459&gt;$K174),Tarification!$D$9,IF(AND(Z459&lt;=$K174,Z459&gt;0),Tarification!$D$10,0)))</f>
        <v>0</v>
      </c>
      <c r="AA749" s="37">
        <f>IF(AND(AA459&lt;=$I174,AA459&gt;$J174),Tarification!$D$8,IF(AND(AA459&lt;=$J174,AA459&gt;$K174),Tarification!$D$9,IF(AND(AA459&lt;=$K174,AA459&gt;0),Tarification!$D$10,0)))</f>
        <v>0</v>
      </c>
      <c r="AB749" s="37">
        <f>IF(AND(AB459&lt;=$I174,AB459&gt;$J174),Tarification!$D$8,IF(AND(AB459&lt;=$J174,AB459&gt;$K174),Tarification!$D$9,IF(AND(AB459&lt;=$K174,AB459&gt;0),Tarification!$D$10,0)))</f>
        <v>0</v>
      </c>
      <c r="AC749" s="37">
        <f>IF(AND(AC459&lt;=$I174,AC459&gt;$J174),Tarification!$D$8,IF(AND(AC459&lt;=$J174,AC459&gt;$K174),Tarification!$D$9,IF(AND(AC459&lt;=$K174,AC459&gt;0),Tarification!$D$10,0)))</f>
        <v>0</v>
      </c>
      <c r="AD749" s="37">
        <f>IF(AND(AD459&lt;=$I174,AD459&gt;$J174),Tarification!$D$8,IF(AND(AD459&lt;=$J174,AD459&gt;$K174),Tarification!$D$9,IF(AND(AD459&lt;=$K174,AD459&gt;0),Tarification!$D$10,0)))</f>
        <v>0</v>
      </c>
      <c r="AE749" s="37">
        <f>IF(AND(AE459&lt;=$I174,AE459&gt;$J174),Tarification!$D$8,IF(AND(AE459&lt;=$J174,AE459&gt;$K174),Tarification!$D$9,IF(AND(AE459&lt;=$K174,AE459&gt;0),Tarification!$D$10,0)))</f>
        <v>0</v>
      </c>
      <c r="AF749" s="37">
        <f>IF(AND(AF459&lt;=$I174,AF459&gt;$J174),Tarification!$D$8,IF(AND(AF459&lt;=$J174,AF459&gt;$K174),Tarification!$D$9,IF(AND(AF459&lt;=$K174,AF459&gt;0),Tarification!$D$10,0)))</f>
        <v>0</v>
      </c>
      <c r="AG749" s="37">
        <f>IF(AND(AG459&lt;=$I174,AG459&gt;$J174),Tarification!$D$8,IF(AND(AG459&lt;=$J174,AG459&gt;$K174),Tarification!$D$9,IF(AND(AG459&lt;=$K174,AG459&gt;0),Tarification!$D$10,0)))</f>
        <v>0</v>
      </c>
      <c r="AH749" s="37">
        <f>IF(AND(AH459&lt;=$I174,AH459&gt;$J174),Tarification!$D$8,IF(AND(AH459&lt;=$J174,AH459&gt;$K174),Tarification!$D$9,IF(AND(AH459&lt;=$K174,AH459&gt;0),Tarification!$D$10,0)))</f>
        <v>0</v>
      </c>
      <c r="AI749" s="37">
        <f>IF(AND(AI459&lt;=$I174,AI459&gt;$J174),Tarification!$D$8,IF(AND(AI459&lt;=$J174,AI459&gt;$K174),Tarification!$D$9,IF(AND(AI459&lt;=$K174,AI459&gt;0),Tarification!$D$10,0)))</f>
        <v>0</v>
      </c>
      <c r="AJ749" s="37">
        <f>IF(AND(AJ459&lt;=$I174,AJ459&gt;$J174),Tarification!$D$8,IF(AND(AJ459&lt;=$J174,AJ459&gt;$K174),Tarification!$D$9,IF(AND(AJ459&lt;=$K174,AJ459&gt;0),Tarification!$D$10,0)))</f>
        <v>0</v>
      </c>
      <c r="AK749" s="37">
        <f>IF(AND(AK459&lt;=$I174,AK459&gt;$J174),Tarification!$D$8,IF(AND(AK459&lt;=$J174,AK459&gt;$K174),Tarification!$D$9,IF(AND(AK459&lt;=$K174,AK459&gt;0),Tarification!$D$10,0)))</f>
        <v>0</v>
      </c>
      <c r="AL749" s="37">
        <f>IF(AND(AL459&lt;=$I174,AL459&gt;$J174),Tarification!$D$8,IF(AND(AL459&lt;=$J174,AL459&gt;$K174),Tarification!$D$9,IF(AND(AL459&lt;=$K174,AL459&gt;0),Tarification!$D$10,0)))</f>
        <v>0</v>
      </c>
      <c r="AM749" s="37">
        <f>IF(AND(AM459&lt;=$I174,AM459&gt;$J174),Tarification!$D$8,IF(AND(AM459&lt;=$J174,AM459&gt;$K174),Tarification!$D$9,IF(AND(AM459&lt;=$K174,AM459&gt;0),Tarification!$D$10,0)))</f>
        <v>0</v>
      </c>
      <c r="AN749" s="37">
        <f>IF(AND(AN459&lt;=$I174,AN459&gt;$J174),Tarification!$D$8,IF(AND(AN459&lt;=$J174,AN459&gt;$K174),Tarification!$D$9,IF(AND(AN459&lt;=$K174,AN459&gt;0),Tarification!$D$10,0)))</f>
        <v>0</v>
      </c>
      <c r="AQ749" s="101">
        <f t="shared" si="150"/>
        <v>0</v>
      </c>
    </row>
    <row r="750" spans="14:43" ht="15.6">
      <c r="N750" s="39" t="s">
        <v>27</v>
      </c>
      <c r="O750" s="39" t="s">
        <v>166</v>
      </c>
      <c r="P750" t="s">
        <v>775</v>
      </c>
      <c r="Q750" s="39"/>
      <c r="V750" s="37">
        <f>IF(AND(V460&lt;=$I175,V460&gt;$J175),Tarification!$D$8,IF(AND(V460&lt;=$J175,V460&gt;$K175),Tarification!$D$9,IF(AND(V460&lt;=$K175,V460&gt;0),Tarification!$D$10,0)))</f>
        <v>0</v>
      </c>
      <c r="W750" s="37">
        <f>IF(AND(W460&lt;=$I175,W460&gt;$J175),Tarification!$D$8,IF(AND(W460&lt;=$J175,W460&gt;$K175),Tarification!$D$9,IF(AND(W460&lt;=$K175,W460&gt;0),Tarification!$D$10,0)))</f>
        <v>0</v>
      </c>
      <c r="X750" s="37">
        <f>IF(AND(X460&lt;=$I175,X460&gt;$J175),Tarification!$D$8,IF(AND(X460&lt;=$J175,X460&gt;$K175),Tarification!$D$9,IF(AND(X460&lt;=$K175,X460&gt;0),Tarification!$D$10,0)))</f>
        <v>0</v>
      </c>
      <c r="Y750" s="37">
        <f>IF(AND(Y460&lt;=$I175,Y460&gt;$J175),Tarification!$D$8,IF(AND(Y460&lt;=$J175,Y460&gt;$K175),Tarification!$D$9,IF(AND(Y460&lt;=$K175,Y460&gt;0),Tarification!$D$10,0)))</f>
        <v>0</v>
      </c>
      <c r="Z750" s="37">
        <f>IF(AND(Z460&lt;=$I175,Z460&gt;$J175),Tarification!$D$8,IF(AND(Z460&lt;=$J175,Z460&gt;$K175),Tarification!$D$9,IF(AND(Z460&lt;=$K175,Z460&gt;0),Tarification!$D$10,0)))</f>
        <v>0</v>
      </c>
      <c r="AA750" s="37">
        <f>IF(AND(AA460&lt;=$I175,AA460&gt;$J175),Tarification!$D$8,IF(AND(AA460&lt;=$J175,AA460&gt;$K175),Tarification!$D$9,IF(AND(AA460&lt;=$K175,AA460&gt;0),Tarification!$D$10,0)))</f>
        <v>0</v>
      </c>
      <c r="AB750" s="37">
        <f>IF(AND(AB460&lt;=$I175,AB460&gt;$J175),Tarification!$D$8,IF(AND(AB460&lt;=$J175,AB460&gt;$K175),Tarification!$D$9,IF(AND(AB460&lt;=$K175,AB460&gt;0),Tarification!$D$10,0)))</f>
        <v>0</v>
      </c>
      <c r="AC750" s="37">
        <f>IF(AND(AC460&lt;=$I175,AC460&gt;$J175),Tarification!$D$8,IF(AND(AC460&lt;=$J175,AC460&gt;$K175),Tarification!$D$9,IF(AND(AC460&lt;=$K175,AC460&gt;0),Tarification!$D$10,0)))</f>
        <v>0</v>
      </c>
      <c r="AD750" s="37">
        <f>IF(AND(AD460&lt;=$I175,AD460&gt;$J175),Tarification!$D$8,IF(AND(AD460&lt;=$J175,AD460&gt;$K175),Tarification!$D$9,IF(AND(AD460&lt;=$K175,AD460&gt;0),Tarification!$D$10,0)))</f>
        <v>0</v>
      </c>
      <c r="AE750" s="37">
        <f>IF(AND(AE460&lt;=$I175,AE460&gt;$J175),Tarification!$D$8,IF(AND(AE460&lt;=$J175,AE460&gt;$K175),Tarification!$D$9,IF(AND(AE460&lt;=$K175,AE460&gt;0),Tarification!$D$10,0)))</f>
        <v>0</v>
      </c>
      <c r="AF750" s="37">
        <f>IF(AND(AF460&lt;=$I175,AF460&gt;$J175),Tarification!$D$8,IF(AND(AF460&lt;=$J175,AF460&gt;$K175),Tarification!$D$9,IF(AND(AF460&lt;=$K175,AF460&gt;0),Tarification!$D$10,0)))</f>
        <v>0</v>
      </c>
      <c r="AG750" s="37">
        <f>IF(AND(AG460&lt;=$I175,AG460&gt;$J175),Tarification!$D$8,IF(AND(AG460&lt;=$J175,AG460&gt;$K175),Tarification!$D$9,IF(AND(AG460&lt;=$K175,AG460&gt;0),Tarification!$D$10,0)))</f>
        <v>0</v>
      </c>
      <c r="AH750" s="37">
        <f>IF(AND(AH460&lt;=$I175,AH460&gt;$J175),Tarification!$D$8,IF(AND(AH460&lt;=$J175,AH460&gt;$K175),Tarification!$D$9,IF(AND(AH460&lt;=$K175,AH460&gt;0),Tarification!$D$10,0)))</f>
        <v>0</v>
      </c>
      <c r="AI750" s="37">
        <f>IF(AND(AI460&lt;=$I175,AI460&gt;$J175),Tarification!$D$8,IF(AND(AI460&lt;=$J175,AI460&gt;$K175),Tarification!$D$9,IF(AND(AI460&lt;=$K175,AI460&gt;0),Tarification!$D$10,0)))</f>
        <v>0</v>
      </c>
      <c r="AJ750" s="37">
        <f>IF(AND(AJ460&lt;=$I175,AJ460&gt;$J175),Tarification!$D$8,IF(AND(AJ460&lt;=$J175,AJ460&gt;$K175),Tarification!$D$9,IF(AND(AJ460&lt;=$K175,AJ460&gt;0),Tarification!$D$10,0)))</f>
        <v>0</v>
      </c>
      <c r="AK750" s="37">
        <f>IF(AND(AK460&lt;=$I175,AK460&gt;$J175),Tarification!$D$8,IF(AND(AK460&lt;=$J175,AK460&gt;$K175),Tarification!$D$9,IF(AND(AK460&lt;=$K175,AK460&gt;0),Tarification!$D$10,0)))</f>
        <v>0</v>
      </c>
      <c r="AL750" s="37">
        <f>IF(AND(AL460&lt;=$I175,AL460&gt;$J175),Tarification!$D$8,IF(AND(AL460&lt;=$J175,AL460&gt;$K175),Tarification!$D$9,IF(AND(AL460&lt;=$K175,AL460&gt;0),Tarification!$D$10,0)))</f>
        <v>0</v>
      </c>
      <c r="AM750" s="37">
        <f>IF(AND(AM460&lt;=$I175,AM460&gt;$J175),Tarification!$D$8,IF(AND(AM460&lt;=$J175,AM460&gt;$K175),Tarification!$D$9,IF(AND(AM460&lt;=$K175,AM460&gt;0),Tarification!$D$10,0)))</f>
        <v>0</v>
      </c>
      <c r="AN750" s="37">
        <f>IF(AND(AN460&lt;=$I175,AN460&gt;$J175),Tarification!$D$8,IF(AND(AN460&lt;=$J175,AN460&gt;$K175),Tarification!$D$9,IF(AND(AN460&lt;=$K175,AN460&gt;0),Tarification!$D$10,0)))</f>
        <v>0</v>
      </c>
      <c r="AQ750" s="101">
        <f t="shared" si="150"/>
        <v>0</v>
      </c>
    </row>
    <row r="751" spans="14:43" ht="15.6">
      <c r="N751" s="39" t="s">
        <v>27</v>
      </c>
      <c r="O751" s="39" t="s">
        <v>489</v>
      </c>
      <c r="P751" t="s">
        <v>776</v>
      </c>
      <c r="Q751" s="39"/>
      <c r="V751" s="37">
        <f>IF(AND(V461&lt;=$I176,V461&gt;$J176),Tarification!$D$8,IF(AND(V461&lt;=$J176,V461&gt;$K176),Tarification!$D$9,IF(AND(V461&lt;=$K176,V461&gt;0),Tarification!$D$10,0)))</f>
        <v>0</v>
      </c>
      <c r="W751" s="37">
        <f>IF(AND(W461&lt;=$I176,W461&gt;$J176),Tarification!$D$8,IF(AND(W461&lt;=$J176,W461&gt;$K176),Tarification!$D$9,IF(AND(W461&lt;=$K176,W461&gt;0),Tarification!$D$10,0)))</f>
        <v>0</v>
      </c>
      <c r="X751" s="37">
        <f>IF(AND(X461&lt;=$I176,X461&gt;$J176),Tarification!$D$8,IF(AND(X461&lt;=$J176,X461&gt;$K176),Tarification!$D$9,IF(AND(X461&lt;=$K176,X461&gt;0),Tarification!$D$10,0)))</f>
        <v>0</v>
      </c>
      <c r="Y751" s="37">
        <f>IF(AND(Y461&lt;=$I176,Y461&gt;$J176),Tarification!$D$8,IF(AND(Y461&lt;=$J176,Y461&gt;$K176),Tarification!$D$9,IF(AND(Y461&lt;=$K176,Y461&gt;0),Tarification!$D$10,0)))</f>
        <v>0</v>
      </c>
      <c r="Z751" s="37">
        <f>IF(AND(Z461&lt;=$I176,Z461&gt;$J176),Tarification!$D$8,IF(AND(Z461&lt;=$J176,Z461&gt;$K176),Tarification!$D$9,IF(AND(Z461&lt;=$K176,Z461&gt;0),Tarification!$D$10,0)))</f>
        <v>0</v>
      </c>
      <c r="AA751" s="37">
        <f>IF(AND(AA461&lt;=$I176,AA461&gt;$J176),Tarification!$D$8,IF(AND(AA461&lt;=$J176,AA461&gt;$K176),Tarification!$D$9,IF(AND(AA461&lt;=$K176,AA461&gt;0),Tarification!$D$10,0)))</f>
        <v>0</v>
      </c>
      <c r="AB751" s="37">
        <f>IF(AND(AB461&lt;=$I176,AB461&gt;$J176),Tarification!$D$8,IF(AND(AB461&lt;=$J176,AB461&gt;$K176),Tarification!$D$9,IF(AND(AB461&lt;=$K176,AB461&gt;0),Tarification!$D$10,0)))</f>
        <v>0</v>
      </c>
      <c r="AC751" s="37">
        <f>IF(AND(AC461&lt;=$I176,AC461&gt;$J176),Tarification!$D$8,IF(AND(AC461&lt;=$J176,AC461&gt;$K176),Tarification!$D$9,IF(AND(AC461&lt;=$K176,AC461&gt;0),Tarification!$D$10,0)))</f>
        <v>0</v>
      </c>
      <c r="AD751" s="37">
        <f>IF(AND(AD461&lt;=$I176,AD461&gt;$J176),Tarification!$D$8,IF(AND(AD461&lt;=$J176,AD461&gt;$K176),Tarification!$D$9,IF(AND(AD461&lt;=$K176,AD461&gt;0),Tarification!$D$10,0)))</f>
        <v>0</v>
      </c>
      <c r="AE751" s="37">
        <f>IF(AND(AE461&lt;=$I176,AE461&gt;$J176),Tarification!$D$8,IF(AND(AE461&lt;=$J176,AE461&gt;$K176),Tarification!$D$9,IF(AND(AE461&lt;=$K176,AE461&gt;0),Tarification!$D$10,0)))</f>
        <v>0</v>
      </c>
      <c r="AF751" s="37">
        <f>IF(AND(AF461&lt;=$I176,AF461&gt;$J176),Tarification!$D$8,IF(AND(AF461&lt;=$J176,AF461&gt;$K176),Tarification!$D$9,IF(AND(AF461&lt;=$K176,AF461&gt;0),Tarification!$D$10,0)))</f>
        <v>0</v>
      </c>
      <c r="AG751" s="37">
        <f>IF(AND(AG461&lt;=$I176,AG461&gt;$J176),Tarification!$D$8,IF(AND(AG461&lt;=$J176,AG461&gt;$K176),Tarification!$D$9,IF(AND(AG461&lt;=$K176,AG461&gt;0),Tarification!$D$10,0)))</f>
        <v>0</v>
      </c>
      <c r="AH751" s="37">
        <f>IF(AND(AH461&lt;=$I176,AH461&gt;$J176),Tarification!$D$8,IF(AND(AH461&lt;=$J176,AH461&gt;$K176),Tarification!$D$9,IF(AND(AH461&lt;=$K176,AH461&gt;0),Tarification!$D$10,0)))</f>
        <v>0</v>
      </c>
      <c r="AI751" s="37">
        <f>IF(AND(AI461&lt;=$I176,AI461&gt;$J176),Tarification!$D$8,IF(AND(AI461&lt;=$J176,AI461&gt;$K176),Tarification!$D$9,IF(AND(AI461&lt;=$K176,AI461&gt;0),Tarification!$D$10,0)))</f>
        <v>0</v>
      </c>
      <c r="AJ751" s="37">
        <f>IF(AND(AJ461&lt;=$I176,AJ461&gt;$J176),Tarification!$D$8,IF(AND(AJ461&lt;=$J176,AJ461&gt;$K176),Tarification!$D$9,IF(AND(AJ461&lt;=$K176,AJ461&gt;0),Tarification!$D$10,0)))</f>
        <v>0</v>
      </c>
      <c r="AK751" s="37">
        <f>IF(AND(AK461&lt;=$I176,AK461&gt;$J176),Tarification!$D$8,IF(AND(AK461&lt;=$J176,AK461&gt;$K176),Tarification!$D$9,IF(AND(AK461&lt;=$K176,AK461&gt;0),Tarification!$D$10,0)))</f>
        <v>0</v>
      </c>
      <c r="AL751" s="37">
        <f>IF(AND(AL461&lt;=$I176,AL461&gt;$J176),Tarification!$D$8,IF(AND(AL461&lt;=$J176,AL461&gt;$K176),Tarification!$D$9,IF(AND(AL461&lt;=$K176,AL461&gt;0),Tarification!$D$10,0)))</f>
        <v>0</v>
      </c>
      <c r="AM751" s="37">
        <f>IF(AND(AM461&lt;=$I176,AM461&gt;$J176),Tarification!$D$8,IF(AND(AM461&lt;=$J176,AM461&gt;$K176),Tarification!$D$9,IF(AND(AM461&lt;=$K176,AM461&gt;0),Tarification!$D$10,0)))</f>
        <v>0</v>
      </c>
      <c r="AN751" s="37">
        <f>IF(AND(AN461&lt;=$I176,AN461&gt;$J176),Tarification!$D$8,IF(AND(AN461&lt;=$J176,AN461&gt;$K176),Tarification!$D$9,IF(AND(AN461&lt;=$K176,AN461&gt;0),Tarification!$D$10,0)))</f>
        <v>0</v>
      </c>
      <c r="AQ751" s="101">
        <f t="shared" si="150"/>
        <v>0</v>
      </c>
    </row>
    <row r="752" spans="14:43" ht="15.6">
      <c r="N752" s="39" t="s">
        <v>27</v>
      </c>
      <c r="O752" s="39" t="s">
        <v>179</v>
      </c>
      <c r="P752" t="s">
        <v>777</v>
      </c>
      <c r="Q752" s="39"/>
      <c r="V752" s="37">
        <f>IF(AND(V462&lt;=$I177,V462&gt;$J177),Tarification!$D$8,IF(AND(V462&lt;=$J177,V462&gt;$K177),Tarification!$D$9,IF(AND(V462&lt;=$K177,V462&gt;0),Tarification!$D$10,0)))</f>
        <v>0</v>
      </c>
      <c r="W752" s="37">
        <f>IF(AND(W462&lt;=$I177,W462&gt;$J177),Tarification!$D$8,IF(AND(W462&lt;=$J177,W462&gt;$K177),Tarification!$D$9,IF(AND(W462&lt;=$K177,W462&gt;0),Tarification!$D$10,0)))</f>
        <v>0</v>
      </c>
      <c r="X752" s="37">
        <f>IF(AND(X462&lt;=$I177,X462&gt;$J177),Tarification!$D$8,IF(AND(X462&lt;=$J177,X462&gt;$K177),Tarification!$D$9,IF(AND(X462&lt;=$K177,X462&gt;0),Tarification!$D$10,0)))</f>
        <v>0</v>
      </c>
      <c r="Y752" s="37">
        <f>IF(AND(Y462&lt;=$I177,Y462&gt;$J177),Tarification!$D$8,IF(AND(Y462&lt;=$J177,Y462&gt;$K177),Tarification!$D$9,IF(AND(Y462&lt;=$K177,Y462&gt;0),Tarification!$D$10,0)))</f>
        <v>0</v>
      </c>
      <c r="Z752" s="37">
        <f>IF(AND(Z462&lt;=$I177,Z462&gt;$J177),Tarification!$D$8,IF(AND(Z462&lt;=$J177,Z462&gt;$K177),Tarification!$D$9,IF(AND(Z462&lt;=$K177,Z462&gt;0),Tarification!$D$10,0)))</f>
        <v>0</v>
      </c>
      <c r="AA752" s="37">
        <f>IF(AND(AA462&lt;=$I177,AA462&gt;$J177),Tarification!$D$8,IF(AND(AA462&lt;=$J177,AA462&gt;$K177),Tarification!$D$9,IF(AND(AA462&lt;=$K177,AA462&gt;0),Tarification!$D$10,0)))</f>
        <v>0</v>
      </c>
      <c r="AB752" s="37">
        <f>IF(AND(AB462&lt;=$I177,AB462&gt;$J177),Tarification!$D$8,IF(AND(AB462&lt;=$J177,AB462&gt;$K177),Tarification!$D$9,IF(AND(AB462&lt;=$K177,AB462&gt;0),Tarification!$D$10,0)))</f>
        <v>0</v>
      </c>
      <c r="AC752" s="37">
        <f>IF(AND(AC462&lt;=$I177,AC462&gt;$J177),Tarification!$D$8,IF(AND(AC462&lt;=$J177,AC462&gt;$K177),Tarification!$D$9,IF(AND(AC462&lt;=$K177,AC462&gt;0),Tarification!$D$10,0)))</f>
        <v>0</v>
      </c>
      <c r="AD752" s="37">
        <f>IF(AND(AD462&lt;=$I177,AD462&gt;$J177),Tarification!$D$8,IF(AND(AD462&lt;=$J177,AD462&gt;$K177),Tarification!$D$9,IF(AND(AD462&lt;=$K177,AD462&gt;0),Tarification!$D$10,0)))</f>
        <v>0</v>
      </c>
      <c r="AE752" s="37">
        <f>IF(AND(AE462&lt;=$I177,AE462&gt;$J177),Tarification!$D$8,IF(AND(AE462&lt;=$J177,AE462&gt;$K177),Tarification!$D$9,IF(AND(AE462&lt;=$K177,AE462&gt;0),Tarification!$D$10,0)))</f>
        <v>0</v>
      </c>
      <c r="AF752" s="37">
        <f>IF(AND(AF462&lt;=$I177,AF462&gt;$J177),Tarification!$D$8,IF(AND(AF462&lt;=$J177,AF462&gt;$K177),Tarification!$D$9,IF(AND(AF462&lt;=$K177,AF462&gt;0),Tarification!$D$10,0)))</f>
        <v>0</v>
      </c>
      <c r="AG752" s="37">
        <f>IF(AND(AG462&lt;=$I177,AG462&gt;$J177),Tarification!$D$8,IF(AND(AG462&lt;=$J177,AG462&gt;$K177),Tarification!$D$9,IF(AND(AG462&lt;=$K177,AG462&gt;0),Tarification!$D$10,0)))</f>
        <v>0</v>
      </c>
      <c r="AH752" s="37">
        <f>IF(AND(AH462&lt;=$I177,AH462&gt;$J177),Tarification!$D$8,IF(AND(AH462&lt;=$J177,AH462&gt;$K177),Tarification!$D$9,IF(AND(AH462&lt;=$K177,AH462&gt;0),Tarification!$D$10,0)))</f>
        <v>0</v>
      </c>
      <c r="AI752" s="37">
        <f>IF(AND(AI462&lt;=$I177,AI462&gt;$J177),Tarification!$D$8,IF(AND(AI462&lt;=$J177,AI462&gt;$K177),Tarification!$D$9,IF(AND(AI462&lt;=$K177,AI462&gt;0),Tarification!$D$10,0)))</f>
        <v>0</v>
      </c>
      <c r="AJ752" s="37">
        <f>IF(AND(AJ462&lt;=$I177,AJ462&gt;$J177),Tarification!$D$8,IF(AND(AJ462&lt;=$J177,AJ462&gt;$K177),Tarification!$D$9,IF(AND(AJ462&lt;=$K177,AJ462&gt;0),Tarification!$D$10,0)))</f>
        <v>0</v>
      </c>
      <c r="AK752" s="37">
        <f>IF(AND(AK462&lt;=$I177,AK462&gt;$J177),Tarification!$D$8,IF(AND(AK462&lt;=$J177,AK462&gt;$K177),Tarification!$D$9,IF(AND(AK462&lt;=$K177,AK462&gt;0),Tarification!$D$10,0)))</f>
        <v>0</v>
      </c>
      <c r="AL752" s="37">
        <f>IF(AND(AL462&lt;=$I177,AL462&gt;$J177),Tarification!$D$8,IF(AND(AL462&lt;=$J177,AL462&gt;$K177),Tarification!$D$9,IF(AND(AL462&lt;=$K177,AL462&gt;0),Tarification!$D$10,0)))</f>
        <v>0</v>
      </c>
      <c r="AM752" s="37">
        <f>IF(AND(AM462&lt;=$I177,AM462&gt;$J177),Tarification!$D$8,IF(AND(AM462&lt;=$J177,AM462&gt;$K177),Tarification!$D$9,IF(AND(AM462&lt;=$K177,AM462&gt;0),Tarification!$D$10,0)))</f>
        <v>0</v>
      </c>
      <c r="AN752" s="37">
        <f>IF(AND(AN462&lt;=$I177,AN462&gt;$J177),Tarification!$D$8,IF(AND(AN462&lt;=$J177,AN462&gt;$K177),Tarification!$D$9,IF(AND(AN462&lt;=$K177,AN462&gt;0),Tarification!$D$10,0)))</f>
        <v>0</v>
      </c>
      <c r="AQ752" s="101">
        <f t="shared" si="150"/>
        <v>0</v>
      </c>
    </row>
    <row r="753" spans="14:43" ht="15.6">
      <c r="N753" s="39" t="s">
        <v>27</v>
      </c>
      <c r="O753" s="39" t="s">
        <v>618</v>
      </c>
      <c r="P753" t="s">
        <v>57</v>
      </c>
      <c r="Q753" s="39"/>
      <c r="V753" s="37">
        <f>IF(AND(V463&lt;=$I178,V463&gt;$J178),Tarification!$D$8,IF(AND(V463&lt;=$J178,V463&gt;$K178),Tarification!$D$9,IF(AND(V463&lt;=$K178,V463&gt;0),Tarification!$D$10,0)))</f>
        <v>0</v>
      </c>
      <c r="W753" s="37">
        <f>IF(AND(W463&lt;=$I178,W463&gt;$J178),Tarification!$D$8,IF(AND(W463&lt;=$J178,W463&gt;$K178),Tarification!$D$9,IF(AND(W463&lt;=$K178,W463&gt;0),Tarification!$D$10,0)))</f>
        <v>50000</v>
      </c>
      <c r="X753" s="37">
        <f>IF(AND(X463&lt;=$I178,X463&gt;$J178),Tarification!$D$8,IF(AND(X463&lt;=$J178,X463&gt;$K178),Tarification!$D$9,IF(AND(X463&lt;=$K178,X463&gt;0),Tarification!$D$10,0)))</f>
        <v>0</v>
      </c>
      <c r="Y753" s="37">
        <f>IF(AND(Y463&lt;=$I178,Y463&gt;$J178),Tarification!$D$8,IF(AND(Y463&lt;=$J178,Y463&gt;$K178),Tarification!$D$9,IF(AND(Y463&lt;=$K178,Y463&gt;0),Tarification!$D$10,0)))</f>
        <v>0</v>
      </c>
      <c r="Z753" s="37">
        <f>IF(AND(Z463&lt;=$I178,Z463&gt;$J178),Tarification!$D$8,IF(AND(Z463&lt;=$J178,Z463&gt;$K178),Tarification!$D$9,IF(AND(Z463&lt;=$K178,Z463&gt;0),Tarification!$D$10,0)))</f>
        <v>50000</v>
      </c>
      <c r="AA753" s="37">
        <f>IF(AND(AA463&lt;=$I178,AA463&gt;$J178),Tarification!$D$8,IF(AND(AA463&lt;=$J178,AA463&gt;$K178),Tarification!$D$9,IF(AND(AA463&lt;=$K178,AA463&gt;0),Tarification!$D$10,0)))</f>
        <v>0</v>
      </c>
      <c r="AB753" s="37">
        <f>IF(AND(AB463&lt;=$I178,AB463&gt;$J178),Tarification!$D$8,IF(AND(AB463&lt;=$J178,AB463&gt;$K178),Tarification!$D$9,IF(AND(AB463&lt;=$K178,AB463&gt;0),Tarification!$D$10,0)))</f>
        <v>0</v>
      </c>
      <c r="AC753" s="37">
        <f>IF(AND(AC463&lt;=$I178,AC463&gt;$J178),Tarification!$D$8,IF(AND(AC463&lt;=$J178,AC463&gt;$K178),Tarification!$D$9,IF(AND(AC463&lt;=$K178,AC463&gt;0),Tarification!$D$10,0)))</f>
        <v>50000</v>
      </c>
      <c r="AD753" s="37">
        <f>IF(AND(AD463&lt;=$I178,AD463&gt;$J178),Tarification!$D$8,IF(AND(AD463&lt;=$J178,AD463&gt;$K178),Tarification!$D$9,IF(AND(AD463&lt;=$K178,AD463&gt;0),Tarification!$D$10,0)))</f>
        <v>50000</v>
      </c>
      <c r="AE753" s="37">
        <f>IF(AND(AE463&lt;=$I178,AE463&gt;$J178),Tarification!$D$8,IF(AND(AE463&lt;=$J178,AE463&gt;$K178),Tarification!$D$9,IF(AND(AE463&lt;=$K178,AE463&gt;0),Tarification!$D$10,0)))</f>
        <v>0</v>
      </c>
      <c r="AF753" s="37">
        <f>IF(AND(AF463&lt;=$I178,AF463&gt;$J178),Tarification!$D$8,IF(AND(AF463&lt;=$J178,AF463&gt;$K178),Tarification!$D$9,IF(AND(AF463&lt;=$K178,AF463&gt;0),Tarification!$D$10,0)))</f>
        <v>50000</v>
      </c>
      <c r="AG753" s="37">
        <f>IF(AND(AG463&lt;=$I178,AG463&gt;$J178),Tarification!$D$8,IF(AND(AG463&lt;=$J178,AG463&gt;$K178),Tarification!$D$9,IF(AND(AG463&lt;=$K178,AG463&gt;0),Tarification!$D$10,0)))</f>
        <v>0</v>
      </c>
      <c r="AH753" s="37">
        <f>IF(AND(AH463&lt;=$I178,AH463&gt;$J178),Tarification!$D$8,IF(AND(AH463&lt;=$J178,AH463&gt;$K178),Tarification!$D$9,IF(AND(AH463&lt;=$K178,AH463&gt;0),Tarification!$D$10,0)))</f>
        <v>0</v>
      </c>
      <c r="AI753" s="37">
        <f>IF(AND(AI463&lt;=$I178,AI463&gt;$J178),Tarification!$D$8,IF(AND(AI463&lt;=$J178,AI463&gt;$K178),Tarification!$D$9,IF(AND(AI463&lt;=$K178,AI463&gt;0),Tarification!$D$10,0)))</f>
        <v>0</v>
      </c>
      <c r="AJ753" s="37">
        <f>IF(AND(AJ463&lt;=$I178,AJ463&gt;$J178),Tarification!$D$8,IF(AND(AJ463&lt;=$J178,AJ463&gt;$K178),Tarification!$D$9,IF(AND(AJ463&lt;=$K178,AJ463&gt;0),Tarification!$D$10,0)))</f>
        <v>0</v>
      </c>
      <c r="AK753" s="37">
        <f>IF(AND(AK463&lt;=$I178,AK463&gt;$J178),Tarification!$D$8,IF(AND(AK463&lt;=$J178,AK463&gt;$K178),Tarification!$D$9,IF(AND(AK463&lt;=$K178,AK463&gt;0),Tarification!$D$10,0)))</f>
        <v>0</v>
      </c>
      <c r="AL753" s="37">
        <f>IF(AND(AL463&lt;=$I178,AL463&gt;$J178),Tarification!$D$8,IF(AND(AL463&lt;=$J178,AL463&gt;$K178),Tarification!$D$9,IF(AND(AL463&lt;=$K178,AL463&gt;0),Tarification!$D$10,0)))</f>
        <v>0</v>
      </c>
      <c r="AM753" s="37">
        <f>IF(AND(AM463&lt;=$I178,AM463&gt;$J178),Tarification!$D$8,IF(AND(AM463&lt;=$J178,AM463&gt;$K178),Tarification!$D$9,IF(AND(AM463&lt;=$K178,AM463&gt;0),Tarification!$D$10,0)))</f>
        <v>0</v>
      </c>
      <c r="AN753" s="37">
        <f>IF(AND(AN463&lt;=$I178,AN463&gt;$J178),Tarification!$D$8,IF(AND(AN463&lt;=$J178,AN463&gt;$K178),Tarification!$D$9,IF(AND(AN463&lt;=$K178,AN463&gt;0),Tarification!$D$10,0)))</f>
        <v>50000</v>
      </c>
      <c r="AQ753" s="101">
        <f t="shared" si="150"/>
        <v>15789.473684210527</v>
      </c>
    </row>
    <row r="754" spans="14:43" ht="15.6">
      <c r="N754" s="39" t="s">
        <v>27</v>
      </c>
      <c r="O754" s="39" t="s">
        <v>566</v>
      </c>
      <c r="P754" t="s">
        <v>778</v>
      </c>
      <c r="Q754" s="39"/>
      <c r="V754" s="37">
        <f>IF(AND(V464&lt;=$I179,V464&gt;$J179),Tarification!$D$8,IF(AND(V464&lt;=$J179,V464&gt;$K179),Tarification!$D$9,IF(AND(V464&lt;=$K179,V464&gt;0),Tarification!$D$10,0)))</f>
        <v>0</v>
      </c>
      <c r="W754" s="37">
        <f>IF(AND(W464&lt;=$I179,W464&gt;$J179),Tarification!$D$8,IF(AND(W464&lt;=$J179,W464&gt;$K179),Tarification!$D$9,IF(AND(W464&lt;=$K179,W464&gt;0),Tarification!$D$10,0)))</f>
        <v>0</v>
      </c>
      <c r="X754" s="37">
        <f>IF(AND(X464&lt;=$I179,X464&gt;$J179),Tarification!$D$8,IF(AND(X464&lt;=$J179,X464&gt;$K179),Tarification!$D$9,IF(AND(X464&lt;=$K179,X464&gt;0),Tarification!$D$10,0)))</f>
        <v>0</v>
      </c>
      <c r="Y754" s="37">
        <f>IF(AND(Y464&lt;=$I179,Y464&gt;$J179),Tarification!$D$8,IF(AND(Y464&lt;=$J179,Y464&gt;$K179),Tarification!$D$9,IF(AND(Y464&lt;=$K179,Y464&gt;0),Tarification!$D$10,0)))</f>
        <v>0</v>
      </c>
      <c r="Z754" s="37">
        <f>IF(AND(Z464&lt;=$I179,Z464&gt;$J179),Tarification!$D$8,IF(AND(Z464&lt;=$J179,Z464&gt;$K179),Tarification!$D$9,IF(AND(Z464&lt;=$K179,Z464&gt;0),Tarification!$D$10,0)))</f>
        <v>0</v>
      </c>
      <c r="AA754" s="37">
        <f>IF(AND(AA464&lt;=$I179,AA464&gt;$J179),Tarification!$D$8,IF(AND(AA464&lt;=$J179,AA464&gt;$K179),Tarification!$D$9,IF(AND(AA464&lt;=$K179,AA464&gt;0),Tarification!$D$10,0)))</f>
        <v>0</v>
      </c>
      <c r="AB754" s="37">
        <f>IF(AND(AB464&lt;=$I179,AB464&gt;$J179),Tarification!$D$8,IF(AND(AB464&lt;=$J179,AB464&gt;$K179),Tarification!$D$9,IF(AND(AB464&lt;=$K179,AB464&gt;0),Tarification!$D$10,0)))</f>
        <v>0</v>
      </c>
      <c r="AC754" s="37">
        <f>IF(AND(AC464&lt;=$I179,AC464&gt;$J179),Tarification!$D$8,IF(AND(AC464&lt;=$J179,AC464&gt;$K179),Tarification!$D$9,IF(AND(AC464&lt;=$K179,AC464&gt;0),Tarification!$D$10,0)))</f>
        <v>0</v>
      </c>
      <c r="AD754" s="37">
        <f>IF(AND(AD464&lt;=$I179,AD464&gt;$J179),Tarification!$D$8,IF(AND(AD464&lt;=$J179,AD464&gt;$K179),Tarification!$D$9,IF(AND(AD464&lt;=$K179,AD464&gt;0),Tarification!$D$10,0)))</f>
        <v>0</v>
      </c>
      <c r="AE754" s="37">
        <f>IF(AND(AE464&lt;=$I179,AE464&gt;$J179),Tarification!$D$8,IF(AND(AE464&lt;=$J179,AE464&gt;$K179),Tarification!$D$9,IF(AND(AE464&lt;=$K179,AE464&gt;0),Tarification!$D$10,0)))</f>
        <v>0</v>
      </c>
      <c r="AF754" s="37">
        <f>IF(AND(AF464&lt;=$I179,AF464&gt;$J179),Tarification!$D$8,IF(AND(AF464&lt;=$J179,AF464&gt;$K179),Tarification!$D$9,IF(AND(AF464&lt;=$K179,AF464&gt;0),Tarification!$D$10,0)))</f>
        <v>0</v>
      </c>
      <c r="AG754" s="37">
        <f>IF(AND(AG464&lt;=$I179,AG464&gt;$J179),Tarification!$D$8,IF(AND(AG464&lt;=$J179,AG464&gt;$K179),Tarification!$D$9,IF(AND(AG464&lt;=$K179,AG464&gt;0),Tarification!$D$10,0)))</f>
        <v>0</v>
      </c>
      <c r="AH754" s="37">
        <f>IF(AND(AH464&lt;=$I179,AH464&gt;$J179),Tarification!$D$8,IF(AND(AH464&lt;=$J179,AH464&gt;$K179),Tarification!$D$9,IF(AND(AH464&lt;=$K179,AH464&gt;0),Tarification!$D$10,0)))</f>
        <v>0</v>
      </c>
      <c r="AI754" s="37">
        <f>IF(AND(AI464&lt;=$I179,AI464&gt;$J179),Tarification!$D$8,IF(AND(AI464&lt;=$J179,AI464&gt;$K179),Tarification!$D$9,IF(AND(AI464&lt;=$K179,AI464&gt;0),Tarification!$D$10,0)))</f>
        <v>0</v>
      </c>
      <c r="AJ754" s="37">
        <f>IF(AND(AJ464&lt;=$I179,AJ464&gt;$J179),Tarification!$D$8,IF(AND(AJ464&lt;=$J179,AJ464&gt;$K179),Tarification!$D$9,IF(AND(AJ464&lt;=$K179,AJ464&gt;0),Tarification!$D$10,0)))</f>
        <v>0</v>
      </c>
      <c r="AK754" s="37">
        <f>IF(AND(AK464&lt;=$I179,AK464&gt;$J179),Tarification!$D$8,IF(AND(AK464&lt;=$J179,AK464&gt;$K179),Tarification!$D$9,IF(AND(AK464&lt;=$K179,AK464&gt;0),Tarification!$D$10,0)))</f>
        <v>0</v>
      </c>
      <c r="AL754" s="37">
        <f>IF(AND(AL464&lt;=$I179,AL464&gt;$J179),Tarification!$D$8,IF(AND(AL464&lt;=$J179,AL464&gt;$K179),Tarification!$D$9,IF(AND(AL464&lt;=$K179,AL464&gt;0),Tarification!$D$10,0)))</f>
        <v>0</v>
      </c>
      <c r="AM754" s="37">
        <f>IF(AND(AM464&lt;=$I179,AM464&gt;$J179),Tarification!$D$8,IF(AND(AM464&lt;=$J179,AM464&gt;$K179),Tarification!$D$9,IF(AND(AM464&lt;=$K179,AM464&gt;0),Tarification!$D$10,0)))</f>
        <v>0</v>
      </c>
      <c r="AN754" s="37">
        <f>IF(AND(AN464&lt;=$I179,AN464&gt;$J179),Tarification!$D$8,IF(AND(AN464&lt;=$J179,AN464&gt;$K179),Tarification!$D$9,IF(AND(AN464&lt;=$K179,AN464&gt;0),Tarification!$D$10,0)))</f>
        <v>0</v>
      </c>
      <c r="AQ754" s="101">
        <f t="shared" si="150"/>
        <v>0</v>
      </c>
    </row>
    <row r="755" spans="14:43" ht="15.6">
      <c r="N755" s="39" t="s">
        <v>27</v>
      </c>
      <c r="O755" s="39" t="s">
        <v>331</v>
      </c>
      <c r="P755" t="s">
        <v>779</v>
      </c>
      <c r="Q755" s="39"/>
      <c r="V755" s="37">
        <f>IF(AND(V465&lt;=$I180,V465&gt;$J180),Tarification!$D$8,IF(AND(V465&lt;=$J180,V465&gt;$K180),Tarification!$D$9,IF(AND(V465&lt;=$K180,V465&gt;0),Tarification!$D$10,0)))</f>
        <v>0</v>
      </c>
      <c r="W755" s="37">
        <f>IF(AND(W465&lt;=$I180,W465&gt;$J180),Tarification!$D$8,IF(AND(W465&lt;=$J180,W465&gt;$K180),Tarification!$D$9,IF(AND(W465&lt;=$K180,W465&gt;0),Tarification!$D$10,0)))</f>
        <v>50000</v>
      </c>
      <c r="X755" s="37">
        <f>IF(AND(X465&lt;=$I180,X465&gt;$J180),Tarification!$D$8,IF(AND(X465&lt;=$J180,X465&gt;$K180),Tarification!$D$9,IF(AND(X465&lt;=$K180,X465&gt;0),Tarification!$D$10,0)))</f>
        <v>0</v>
      </c>
      <c r="Y755" s="37">
        <f>IF(AND(Y465&lt;=$I180,Y465&gt;$J180),Tarification!$D$8,IF(AND(Y465&lt;=$J180,Y465&gt;$K180),Tarification!$D$9,IF(AND(Y465&lt;=$K180,Y465&gt;0),Tarification!$D$10,0)))</f>
        <v>0</v>
      </c>
      <c r="Z755" s="37">
        <f>IF(AND(Z465&lt;=$I180,Z465&gt;$J180),Tarification!$D$8,IF(AND(Z465&lt;=$J180,Z465&gt;$K180),Tarification!$D$9,IF(AND(Z465&lt;=$K180,Z465&gt;0),Tarification!$D$10,0)))</f>
        <v>0</v>
      </c>
      <c r="AA755" s="37">
        <f>IF(AND(AA465&lt;=$I180,AA465&gt;$J180),Tarification!$D$8,IF(AND(AA465&lt;=$J180,AA465&gt;$K180),Tarification!$D$9,IF(AND(AA465&lt;=$K180,AA465&gt;0),Tarification!$D$10,0)))</f>
        <v>50000</v>
      </c>
      <c r="AB755" s="37">
        <f>IF(AND(AB465&lt;=$I180,AB465&gt;$J180),Tarification!$D$8,IF(AND(AB465&lt;=$J180,AB465&gt;$K180),Tarification!$D$9,IF(AND(AB465&lt;=$K180,AB465&gt;0),Tarification!$D$10,0)))</f>
        <v>0</v>
      </c>
      <c r="AC755" s="37">
        <f>IF(AND(AC465&lt;=$I180,AC465&gt;$J180),Tarification!$D$8,IF(AND(AC465&lt;=$J180,AC465&gt;$K180),Tarification!$D$9,IF(AND(AC465&lt;=$K180,AC465&gt;0),Tarification!$D$10,0)))</f>
        <v>0</v>
      </c>
      <c r="AD755" s="37">
        <f>IF(AND(AD465&lt;=$I180,AD465&gt;$J180),Tarification!$D$8,IF(AND(AD465&lt;=$J180,AD465&gt;$K180),Tarification!$D$9,IF(AND(AD465&lt;=$K180,AD465&gt;0),Tarification!$D$10,0)))</f>
        <v>50000</v>
      </c>
      <c r="AE755" s="37">
        <f>IF(AND(AE465&lt;=$I180,AE465&gt;$J180),Tarification!$D$8,IF(AND(AE465&lt;=$J180,AE465&gt;$K180),Tarification!$D$9,IF(AND(AE465&lt;=$K180,AE465&gt;0),Tarification!$D$10,0)))</f>
        <v>0</v>
      </c>
      <c r="AF755" s="37">
        <f>IF(AND(AF465&lt;=$I180,AF465&gt;$J180),Tarification!$D$8,IF(AND(AF465&lt;=$J180,AF465&gt;$K180),Tarification!$D$9,IF(AND(AF465&lt;=$K180,AF465&gt;0),Tarification!$D$10,0)))</f>
        <v>0</v>
      </c>
      <c r="AG755" s="37">
        <f>IF(AND(AG465&lt;=$I180,AG465&gt;$J180),Tarification!$D$8,IF(AND(AG465&lt;=$J180,AG465&gt;$K180),Tarification!$D$9,IF(AND(AG465&lt;=$K180,AG465&gt;0),Tarification!$D$10,0)))</f>
        <v>0</v>
      </c>
      <c r="AH755" s="37">
        <f>IF(AND(AH465&lt;=$I180,AH465&gt;$J180),Tarification!$D$8,IF(AND(AH465&lt;=$J180,AH465&gt;$K180),Tarification!$D$9,IF(AND(AH465&lt;=$K180,AH465&gt;0),Tarification!$D$10,0)))</f>
        <v>0</v>
      </c>
      <c r="AI755" s="37">
        <f>IF(AND(AI465&lt;=$I180,AI465&gt;$J180),Tarification!$D$8,IF(AND(AI465&lt;=$J180,AI465&gt;$K180),Tarification!$D$9,IF(AND(AI465&lt;=$K180,AI465&gt;0),Tarification!$D$10,0)))</f>
        <v>0</v>
      </c>
      <c r="AJ755" s="37">
        <f>IF(AND(AJ465&lt;=$I180,AJ465&gt;$J180),Tarification!$D$8,IF(AND(AJ465&lt;=$J180,AJ465&gt;$K180),Tarification!$D$9,IF(AND(AJ465&lt;=$K180,AJ465&gt;0),Tarification!$D$10,0)))</f>
        <v>0</v>
      </c>
      <c r="AK755" s="37">
        <f>IF(AND(AK465&lt;=$I180,AK465&gt;$J180),Tarification!$D$8,IF(AND(AK465&lt;=$J180,AK465&gt;$K180),Tarification!$D$9,IF(AND(AK465&lt;=$K180,AK465&gt;0),Tarification!$D$10,0)))</f>
        <v>0</v>
      </c>
      <c r="AL755" s="37">
        <f>IF(AND(AL465&lt;=$I180,AL465&gt;$J180),Tarification!$D$8,IF(AND(AL465&lt;=$J180,AL465&gt;$K180),Tarification!$D$9,IF(AND(AL465&lt;=$K180,AL465&gt;0),Tarification!$D$10,0)))</f>
        <v>0</v>
      </c>
      <c r="AM755" s="37">
        <f>IF(AND(AM465&lt;=$I180,AM465&gt;$J180),Tarification!$D$8,IF(AND(AM465&lt;=$J180,AM465&gt;$K180),Tarification!$D$9,IF(AND(AM465&lt;=$K180,AM465&gt;0),Tarification!$D$10,0)))</f>
        <v>0</v>
      </c>
      <c r="AN755" s="37">
        <f>IF(AND(AN465&lt;=$I180,AN465&gt;$J180),Tarification!$D$8,IF(AND(AN465&lt;=$J180,AN465&gt;$K180),Tarification!$D$9,IF(AND(AN465&lt;=$K180,AN465&gt;0),Tarification!$D$10,0)))</f>
        <v>0</v>
      </c>
      <c r="AQ755" s="101">
        <f t="shared" si="150"/>
        <v>7894.7368421052633</v>
      </c>
    </row>
    <row r="756" spans="14:43" ht="15.6">
      <c r="N756" s="39" t="s">
        <v>27</v>
      </c>
      <c r="O756" s="39" t="s">
        <v>181</v>
      </c>
      <c r="P756" t="s">
        <v>780</v>
      </c>
      <c r="Q756" s="39"/>
      <c r="V756" s="37">
        <f>IF(AND(V466&lt;=$I181,V466&gt;$J181),Tarification!$D$8,IF(AND(V466&lt;=$J181,V466&gt;$K181),Tarification!$D$9,IF(AND(V466&lt;=$K181,V466&gt;0),Tarification!$D$10,0)))</f>
        <v>0</v>
      </c>
      <c r="W756" s="37">
        <f>IF(AND(W466&lt;=$I181,W466&gt;$J181),Tarification!$D$8,IF(AND(W466&lt;=$J181,W466&gt;$K181),Tarification!$D$9,IF(AND(W466&lt;=$K181,W466&gt;0),Tarification!$D$10,0)))</f>
        <v>0</v>
      </c>
      <c r="X756" s="37">
        <f>IF(AND(X466&lt;=$I181,X466&gt;$J181),Tarification!$D$8,IF(AND(X466&lt;=$J181,X466&gt;$K181),Tarification!$D$9,IF(AND(X466&lt;=$K181,X466&gt;0),Tarification!$D$10,0)))</f>
        <v>0</v>
      </c>
      <c r="Y756" s="37">
        <f>IF(AND(Y466&lt;=$I181,Y466&gt;$J181),Tarification!$D$8,IF(AND(Y466&lt;=$J181,Y466&gt;$K181),Tarification!$D$9,IF(AND(Y466&lt;=$K181,Y466&gt;0),Tarification!$D$10,0)))</f>
        <v>0</v>
      </c>
      <c r="Z756" s="37">
        <f>IF(AND(Z466&lt;=$I181,Z466&gt;$J181),Tarification!$D$8,IF(AND(Z466&lt;=$J181,Z466&gt;$K181),Tarification!$D$9,IF(AND(Z466&lt;=$K181,Z466&gt;0),Tarification!$D$10,0)))</f>
        <v>0</v>
      </c>
      <c r="AA756" s="37">
        <f>IF(AND(AA466&lt;=$I181,AA466&gt;$J181),Tarification!$D$8,IF(AND(AA466&lt;=$J181,AA466&gt;$K181),Tarification!$D$9,IF(AND(AA466&lt;=$K181,AA466&gt;0),Tarification!$D$10,0)))</f>
        <v>0</v>
      </c>
      <c r="AB756" s="37">
        <f>IF(AND(AB466&lt;=$I181,AB466&gt;$J181),Tarification!$D$8,IF(AND(AB466&lt;=$J181,AB466&gt;$K181),Tarification!$D$9,IF(AND(AB466&lt;=$K181,AB466&gt;0),Tarification!$D$10,0)))</f>
        <v>0</v>
      </c>
      <c r="AC756" s="37">
        <f>IF(AND(AC466&lt;=$I181,AC466&gt;$J181),Tarification!$D$8,IF(AND(AC466&lt;=$J181,AC466&gt;$K181),Tarification!$D$9,IF(AND(AC466&lt;=$K181,AC466&gt;0),Tarification!$D$10,0)))</f>
        <v>0</v>
      </c>
      <c r="AD756" s="37">
        <f>IF(AND(AD466&lt;=$I181,AD466&gt;$J181),Tarification!$D$8,IF(AND(AD466&lt;=$J181,AD466&gt;$K181),Tarification!$D$9,IF(AND(AD466&lt;=$K181,AD466&gt;0),Tarification!$D$10,0)))</f>
        <v>0</v>
      </c>
      <c r="AE756" s="37">
        <f>IF(AND(AE466&lt;=$I181,AE466&gt;$J181),Tarification!$D$8,IF(AND(AE466&lt;=$J181,AE466&gt;$K181),Tarification!$D$9,IF(AND(AE466&lt;=$K181,AE466&gt;0),Tarification!$D$10,0)))</f>
        <v>0</v>
      </c>
      <c r="AF756" s="37">
        <f>IF(AND(AF466&lt;=$I181,AF466&gt;$J181),Tarification!$D$8,IF(AND(AF466&lt;=$J181,AF466&gt;$K181),Tarification!$D$9,IF(AND(AF466&lt;=$K181,AF466&gt;0),Tarification!$D$10,0)))</f>
        <v>0</v>
      </c>
      <c r="AG756" s="37">
        <f>IF(AND(AG466&lt;=$I181,AG466&gt;$J181),Tarification!$D$8,IF(AND(AG466&lt;=$J181,AG466&gt;$K181),Tarification!$D$9,IF(AND(AG466&lt;=$K181,AG466&gt;0),Tarification!$D$10,0)))</f>
        <v>0</v>
      </c>
      <c r="AH756" s="37">
        <f>IF(AND(AH466&lt;=$I181,AH466&gt;$J181),Tarification!$D$8,IF(AND(AH466&lt;=$J181,AH466&gt;$K181),Tarification!$D$9,IF(AND(AH466&lt;=$K181,AH466&gt;0),Tarification!$D$10,0)))</f>
        <v>0</v>
      </c>
      <c r="AI756" s="37">
        <f>IF(AND(AI466&lt;=$I181,AI466&gt;$J181),Tarification!$D$8,IF(AND(AI466&lt;=$J181,AI466&gt;$K181),Tarification!$D$9,IF(AND(AI466&lt;=$K181,AI466&gt;0),Tarification!$D$10,0)))</f>
        <v>0</v>
      </c>
      <c r="AJ756" s="37">
        <f>IF(AND(AJ466&lt;=$I181,AJ466&gt;$J181),Tarification!$D$8,IF(AND(AJ466&lt;=$J181,AJ466&gt;$K181),Tarification!$D$9,IF(AND(AJ466&lt;=$K181,AJ466&gt;0),Tarification!$D$10,0)))</f>
        <v>0</v>
      </c>
      <c r="AK756" s="37">
        <f>IF(AND(AK466&lt;=$I181,AK466&gt;$J181),Tarification!$D$8,IF(AND(AK466&lt;=$J181,AK466&gt;$K181),Tarification!$D$9,IF(AND(AK466&lt;=$K181,AK466&gt;0),Tarification!$D$10,0)))</f>
        <v>0</v>
      </c>
      <c r="AL756" s="37">
        <f>IF(AND(AL466&lt;=$I181,AL466&gt;$J181),Tarification!$D$8,IF(AND(AL466&lt;=$J181,AL466&gt;$K181),Tarification!$D$9,IF(AND(AL466&lt;=$K181,AL466&gt;0),Tarification!$D$10,0)))</f>
        <v>0</v>
      </c>
      <c r="AM756" s="37">
        <f>IF(AND(AM466&lt;=$I181,AM466&gt;$J181),Tarification!$D$8,IF(AND(AM466&lt;=$J181,AM466&gt;$K181),Tarification!$D$9,IF(AND(AM466&lt;=$K181,AM466&gt;0),Tarification!$D$10,0)))</f>
        <v>0</v>
      </c>
      <c r="AN756" s="37">
        <f>IF(AND(AN466&lt;=$I181,AN466&gt;$J181),Tarification!$D$8,IF(AND(AN466&lt;=$J181,AN466&gt;$K181),Tarification!$D$9,IF(AND(AN466&lt;=$K181,AN466&gt;0),Tarification!$D$10,0)))</f>
        <v>0</v>
      </c>
      <c r="AQ756" s="101">
        <f t="shared" si="150"/>
        <v>0</v>
      </c>
    </row>
    <row r="757" spans="14:43" ht="15.6">
      <c r="N757" s="39" t="s">
        <v>27</v>
      </c>
      <c r="O757" s="39" t="s">
        <v>445</v>
      </c>
      <c r="P757" t="s">
        <v>781</v>
      </c>
      <c r="Q757" s="39"/>
      <c r="V757" s="37">
        <f>IF(AND(V467&lt;=$I182,V467&gt;$J182),Tarification!$D$8,IF(AND(V467&lt;=$J182,V467&gt;$K182),Tarification!$D$9,IF(AND(V467&lt;=$K182,V467&gt;0),Tarification!$D$10,0)))</f>
        <v>0</v>
      </c>
      <c r="W757" s="37">
        <f>IF(AND(W467&lt;=$I182,W467&gt;$J182),Tarification!$D$8,IF(AND(W467&lt;=$J182,W467&gt;$K182),Tarification!$D$9,IF(AND(W467&lt;=$K182,W467&gt;0),Tarification!$D$10,0)))</f>
        <v>0</v>
      </c>
      <c r="X757" s="37">
        <f>IF(AND(X467&lt;=$I182,X467&gt;$J182),Tarification!$D$8,IF(AND(X467&lt;=$J182,X467&gt;$K182),Tarification!$D$9,IF(AND(X467&lt;=$K182,X467&gt;0),Tarification!$D$10,0)))</f>
        <v>0</v>
      </c>
      <c r="Y757" s="37">
        <f>IF(AND(Y467&lt;=$I182,Y467&gt;$J182),Tarification!$D$8,IF(AND(Y467&lt;=$J182,Y467&gt;$K182),Tarification!$D$9,IF(AND(Y467&lt;=$K182,Y467&gt;0),Tarification!$D$10,0)))</f>
        <v>0</v>
      </c>
      <c r="Z757" s="37">
        <f>IF(AND(Z467&lt;=$I182,Z467&gt;$J182),Tarification!$D$8,IF(AND(Z467&lt;=$J182,Z467&gt;$K182),Tarification!$D$9,IF(AND(Z467&lt;=$K182,Z467&gt;0),Tarification!$D$10,0)))</f>
        <v>0</v>
      </c>
      <c r="AA757" s="37">
        <f>IF(AND(AA467&lt;=$I182,AA467&gt;$J182),Tarification!$D$8,IF(AND(AA467&lt;=$J182,AA467&gt;$K182),Tarification!$D$9,IF(AND(AA467&lt;=$K182,AA467&gt;0),Tarification!$D$10,0)))</f>
        <v>0</v>
      </c>
      <c r="AB757" s="37">
        <f>IF(AND(AB467&lt;=$I182,AB467&gt;$J182),Tarification!$D$8,IF(AND(AB467&lt;=$J182,AB467&gt;$K182),Tarification!$D$9,IF(AND(AB467&lt;=$K182,AB467&gt;0),Tarification!$D$10,0)))</f>
        <v>0</v>
      </c>
      <c r="AC757" s="37">
        <f>IF(AND(AC467&lt;=$I182,AC467&gt;$J182),Tarification!$D$8,IF(AND(AC467&lt;=$J182,AC467&gt;$K182),Tarification!$D$9,IF(AND(AC467&lt;=$K182,AC467&gt;0),Tarification!$D$10,0)))</f>
        <v>0</v>
      </c>
      <c r="AD757" s="37">
        <f>IF(AND(AD467&lt;=$I182,AD467&gt;$J182),Tarification!$D$8,IF(AND(AD467&lt;=$J182,AD467&gt;$K182),Tarification!$D$9,IF(AND(AD467&lt;=$K182,AD467&gt;0),Tarification!$D$10,0)))</f>
        <v>0</v>
      </c>
      <c r="AE757" s="37">
        <f>IF(AND(AE467&lt;=$I182,AE467&gt;$J182),Tarification!$D$8,IF(AND(AE467&lt;=$J182,AE467&gt;$K182),Tarification!$D$9,IF(AND(AE467&lt;=$K182,AE467&gt;0),Tarification!$D$10,0)))</f>
        <v>0</v>
      </c>
      <c r="AF757" s="37">
        <f>IF(AND(AF467&lt;=$I182,AF467&gt;$J182),Tarification!$D$8,IF(AND(AF467&lt;=$J182,AF467&gt;$K182),Tarification!$D$9,IF(AND(AF467&lt;=$K182,AF467&gt;0),Tarification!$D$10,0)))</f>
        <v>0</v>
      </c>
      <c r="AG757" s="37">
        <f>IF(AND(AG467&lt;=$I182,AG467&gt;$J182),Tarification!$D$8,IF(AND(AG467&lt;=$J182,AG467&gt;$K182),Tarification!$D$9,IF(AND(AG467&lt;=$K182,AG467&gt;0),Tarification!$D$10,0)))</f>
        <v>0</v>
      </c>
      <c r="AH757" s="37">
        <f>IF(AND(AH467&lt;=$I182,AH467&gt;$J182),Tarification!$D$8,IF(AND(AH467&lt;=$J182,AH467&gt;$K182),Tarification!$D$9,IF(AND(AH467&lt;=$K182,AH467&gt;0),Tarification!$D$10,0)))</f>
        <v>0</v>
      </c>
      <c r="AI757" s="37">
        <f>IF(AND(AI467&lt;=$I182,AI467&gt;$J182),Tarification!$D$8,IF(AND(AI467&lt;=$J182,AI467&gt;$K182),Tarification!$D$9,IF(AND(AI467&lt;=$K182,AI467&gt;0),Tarification!$D$10,0)))</f>
        <v>0</v>
      </c>
      <c r="AJ757" s="37">
        <f>IF(AND(AJ467&lt;=$I182,AJ467&gt;$J182),Tarification!$D$8,IF(AND(AJ467&lt;=$J182,AJ467&gt;$K182),Tarification!$D$9,IF(AND(AJ467&lt;=$K182,AJ467&gt;0),Tarification!$D$10,0)))</f>
        <v>0</v>
      </c>
      <c r="AK757" s="37">
        <f>IF(AND(AK467&lt;=$I182,AK467&gt;$J182),Tarification!$D$8,IF(AND(AK467&lt;=$J182,AK467&gt;$K182),Tarification!$D$9,IF(AND(AK467&lt;=$K182,AK467&gt;0),Tarification!$D$10,0)))</f>
        <v>0</v>
      </c>
      <c r="AL757" s="37">
        <f>IF(AND(AL467&lt;=$I182,AL467&gt;$J182),Tarification!$D$8,IF(AND(AL467&lt;=$J182,AL467&gt;$K182),Tarification!$D$9,IF(AND(AL467&lt;=$K182,AL467&gt;0),Tarification!$D$10,0)))</f>
        <v>0</v>
      </c>
      <c r="AM757" s="37">
        <f>IF(AND(AM467&lt;=$I182,AM467&gt;$J182),Tarification!$D$8,IF(AND(AM467&lt;=$J182,AM467&gt;$K182),Tarification!$D$9,IF(AND(AM467&lt;=$K182,AM467&gt;0),Tarification!$D$10,0)))</f>
        <v>0</v>
      </c>
      <c r="AN757" s="37">
        <f>IF(AND(AN467&lt;=$I182,AN467&gt;$J182),Tarification!$D$8,IF(AND(AN467&lt;=$J182,AN467&gt;$K182),Tarification!$D$9,IF(AND(AN467&lt;=$K182,AN467&gt;0),Tarification!$D$10,0)))</f>
        <v>0</v>
      </c>
      <c r="AQ757" s="101">
        <f t="shared" si="150"/>
        <v>0</v>
      </c>
    </row>
    <row r="758" spans="14:43" ht="15.6">
      <c r="N758" s="39" t="s">
        <v>27</v>
      </c>
      <c r="O758" s="39" t="s">
        <v>572</v>
      </c>
      <c r="P758" t="s">
        <v>782</v>
      </c>
      <c r="Q758" s="39"/>
      <c r="V758" s="37">
        <f>IF(AND(V468&lt;=$I183,V468&gt;$J183),Tarification!$D$8,IF(AND(V468&lt;=$J183,V468&gt;$K183),Tarification!$D$9,IF(AND(V468&lt;=$K183,V468&gt;0),Tarification!$D$10,0)))</f>
        <v>0</v>
      </c>
      <c r="W758" s="37">
        <f>IF(AND(W468&lt;=$I183,W468&gt;$J183),Tarification!$D$8,IF(AND(W468&lt;=$J183,W468&gt;$K183),Tarification!$D$9,IF(AND(W468&lt;=$K183,W468&gt;0),Tarification!$D$10,0)))</f>
        <v>0</v>
      </c>
      <c r="X758" s="37">
        <f>IF(AND(X468&lt;=$I183,X468&gt;$J183),Tarification!$D$8,IF(AND(X468&lt;=$J183,X468&gt;$K183),Tarification!$D$9,IF(AND(X468&lt;=$K183,X468&gt;0),Tarification!$D$10,0)))</f>
        <v>0</v>
      </c>
      <c r="Y758" s="37">
        <f>IF(AND(Y468&lt;=$I183,Y468&gt;$J183),Tarification!$D$8,IF(AND(Y468&lt;=$J183,Y468&gt;$K183),Tarification!$D$9,IF(AND(Y468&lt;=$K183,Y468&gt;0),Tarification!$D$10,0)))</f>
        <v>0</v>
      </c>
      <c r="Z758" s="37">
        <f>IF(AND(Z468&lt;=$I183,Z468&gt;$J183),Tarification!$D$8,IF(AND(Z468&lt;=$J183,Z468&gt;$K183),Tarification!$D$9,IF(AND(Z468&lt;=$K183,Z468&gt;0),Tarification!$D$10,0)))</f>
        <v>0</v>
      </c>
      <c r="AA758" s="37">
        <f>IF(AND(AA468&lt;=$I183,AA468&gt;$J183),Tarification!$D$8,IF(AND(AA468&lt;=$J183,AA468&gt;$K183),Tarification!$D$9,IF(AND(AA468&lt;=$K183,AA468&gt;0),Tarification!$D$10,0)))</f>
        <v>0</v>
      </c>
      <c r="AB758" s="37">
        <f>IF(AND(AB468&lt;=$I183,AB468&gt;$J183),Tarification!$D$8,IF(AND(AB468&lt;=$J183,AB468&gt;$K183),Tarification!$D$9,IF(AND(AB468&lt;=$K183,AB468&gt;0),Tarification!$D$10,0)))</f>
        <v>0</v>
      </c>
      <c r="AC758" s="37">
        <f>IF(AND(AC468&lt;=$I183,AC468&gt;$J183),Tarification!$D$8,IF(AND(AC468&lt;=$J183,AC468&gt;$K183),Tarification!$D$9,IF(AND(AC468&lt;=$K183,AC468&gt;0),Tarification!$D$10,0)))</f>
        <v>0</v>
      </c>
      <c r="AD758" s="37">
        <f>IF(AND(AD468&lt;=$I183,AD468&gt;$J183),Tarification!$D$8,IF(AND(AD468&lt;=$J183,AD468&gt;$K183),Tarification!$D$9,IF(AND(AD468&lt;=$K183,AD468&gt;0),Tarification!$D$10,0)))</f>
        <v>0</v>
      </c>
      <c r="AE758" s="37">
        <f>IF(AND(AE468&lt;=$I183,AE468&gt;$J183),Tarification!$D$8,IF(AND(AE468&lt;=$J183,AE468&gt;$K183),Tarification!$D$9,IF(AND(AE468&lt;=$K183,AE468&gt;0),Tarification!$D$10,0)))</f>
        <v>0</v>
      </c>
      <c r="AF758" s="37">
        <f>IF(AND(AF468&lt;=$I183,AF468&gt;$J183),Tarification!$D$8,IF(AND(AF468&lt;=$J183,AF468&gt;$K183),Tarification!$D$9,IF(AND(AF468&lt;=$K183,AF468&gt;0),Tarification!$D$10,0)))</f>
        <v>0</v>
      </c>
      <c r="AG758" s="37">
        <f>IF(AND(AG468&lt;=$I183,AG468&gt;$J183),Tarification!$D$8,IF(AND(AG468&lt;=$J183,AG468&gt;$K183),Tarification!$D$9,IF(AND(AG468&lt;=$K183,AG468&gt;0),Tarification!$D$10,0)))</f>
        <v>0</v>
      </c>
      <c r="AH758" s="37">
        <f>IF(AND(AH468&lt;=$I183,AH468&gt;$J183),Tarification!$D$8,IF(AND(AH468&lt;=$J183,AH468&gt;$K183),Tarification!$D$9,IF(AND(AH468&lt;=$K183,AH468&gt;0),Tarification!$D$10,0)))</f>
        <v>0</v>
      </c>
      <c r="AI758" s="37">
        <f>IF(AND(AI468&lt;=$I183,AI468&gt;$J183),Tarification!$D$8,IF(AND(AI468&lt;=$J183,AI468&gt;$K183),Tarification!$D$9,IF(AND(AI468&lt;=$K183,AI468&gt;0),Tarification!$D$10,0)))</f>
        <v>0</v>
      </c>
      <c r="AJ758" s="37">
        <f>IF(AND(AJ468&lt;=$I183,AJ468&gt;$J183),Tarification!$D$8,IF(AND(AJ468&lt;=$J183,AJ468&gt;$K183),Tarification!$D$9,IF(AND(AJ468&lt;=$K183,AJ468&gt;0),Tarification!$D$10,0)))</f>
        <v>0</v>
      </c>
      <c r="AK758" s="37">
        <f>IF(AND(AK468&lt;=$I183,AK468&gt;$J183),Tarification!$D$8,IF(AND(AK468&lt;=$J183,AK468&gt;$K183),Tarification!$D$9,IF(AND(AK468&lt;=$K183,AK468&gt;0),Tarification!$D$10,0)))</f>
        <v>0</v>
      </c>
      <c r="AL758" s="37">
        <f>IF(AND(AL468&lt;=$I183,AL468&gt;$J183),Tarification!$D$8,IF(AND(AL468&lt;=$J183,AL468&gt;$K183),Tarification!$D$9,IF(AND(AL468&lt;=$K183,AL468&gt;0),Tarification!$D$10,0)))</f>
        <v>0</v>
      </c>
      <c r="AM758" s="37">
        <f>IF(AND(AM468&lt;=$I183,AM468&gt;$J183),Tarification!$D$8,IF(AND(AM468&lt;=$J183,AM468&gt;$K183),Tarification!$D$9,IF(AND(AM468&lt;=$K183,AM468&gt;0),Tarification!$D$10,0)))</f>
        <v>0</v>
      </c>
      <c r="AN758" s="37">
        <f>IF(AND(AN468&lt;=$I183,AN468&gt;$J183),Tarification!$D$8,IF(AND(AN468&lt;=$J183,AN468&gt;$K183),Tarification!$D$9,IF(AND(AN468&lt;=$K183,AN468&gt;0),Tarification!$D$10,0)))</f>
        <v>0</v>
      </c>
      <c r="AQ758" s="101">
        <f t="shared" si="150"/>
        <v>0</v>
      </c>
    </row>
    <row r="759" spans="14:43" ht="15.6">
      <c r="N759" s="39" t="s">
        <v>27</v>
      </c>
      <c r="O759" s="39" t="s">
        <v>468</v>
      </c>
      <c r="P759" t="s">
        <v>783</v>
      </c>
      <c r="Q759" s="39"/>
      <c r="V759" s="37">
        <f>IF(AND(V469&lt;=$I184,V469&gt;$J184),Tarification!$D$8,IF(AND(V469&lt;=$J184,V469&gt;$K184),Tarification!$D$9,IF(AND(V469&lt;=$K184,V469&gt;0),Tarification!$D$10,0)))</f>
        <v>0</v>
      </c>
      <c r="W759" s="37">
        <f>IF(AND(W469&lt;=$I184,W469&gt;$J184),Tarification!$D$8,IF(AND(W469&lt;=$J184,W469&gt;$K184),Tarification!$D$9,IF(AND(W469&lt;=$K184,W469&gt;0),Tarification!$D$10,0)))</f>
        <v>0</v>
      </c>
      <c r="X759" s="37">
        <f>IF(AND(X469&lt;=$I184,X469&gt;$J184),Tarification!$D$8,IF(AND(X469&lt;=$J184,X469&gt;$K184),Tarification!$D$9,IF(AND(X469&lt;=$K184,X469&gt;0),Tarification!$D$10,0)))</f>
        <v>0</v>
      </c>
      <c r="Y759" s="37">
        <f>IF(AND(Y469&lt;=$I184,Y469&gt;$J184),Tarification!$D$8,IF(AND(Y469&lt;=$J184,Y469&gt;$K184),Tarification!$D$9,IF(AND(Y469&lt;=$K184,Y469&gt;0),Tarification!$D$10,0)))</f>
        <v>0</v>
      </c>
      <c r="Z759" s="37">
        <f>IF(AND(Z469&lt;=$I184,Z469&gt;$J184),Tarification!$D$8,IF(AND(Z469&lt;=$J184,Z469&gt;$K184),Tarification!$D$9,IF(AND(Z469&lt;=$K184,Z469&gt;0),Tarification!$D$10,0)))</f>
        <v>0</v>
      </c>
      <c r="AA759" s="37">
        <f>IF(AND(AA469&lt;=$I184,AA469&gt;$J184),Tarification!$D$8,IF(AND(AA469&lt;=$J184,AA469&gt;$K184),Tarification!$D$9,IF(AND(AA469&lt;=$K184,AA469&gt;0),Tarification!$D$10,0)))</f>
        <v>0</v>
      </c>
      <c r="AB759" s="37">
        <f>IF(AND(AB469&lt;=$I184,AB469&gt;$J184),Tarification!$D$8,IF(AND(AB469&lt;=$J184,AB469&gt;$K184),Tarification!$D$9,IF(AND(AB469&lt;=$K184,AB469&gt;0),Tarification!$D$10,0)))</f>
        <v>0</v>
      </c>
      <c r="AC759" s="37">
        <f>IF(AND(AC469&lt;=$I184,AC469&gt;$J184),Tarification!$D$8,IF(AND(AC469&lt;=$J184,AC469&gt;$K184),Tarification!$D$9,IF(AND(AC469&lt;=$K184,AC469&gt;0),Tarification!$D$10,0)))</f>
        <v>0</v>
      </c>
      <c r="AD759" s="37">
        <f>IF(AND(AD469&lt;=$I184,AD469&gt;$J184),Tarification!$D$8,IF(AND(AD469&lt;=$J184,AD469&gt;$K184),Tarification!$D$9,IF(AND(AD469&lt;=$K184,AD469&gt;0),Tarification!$D$10,0)))</f>
        <v>50000</v>
      </c>
      <c r="AE759" s="37">
        <f>IF(AND(AE469&lt;=$I184,AE469&gt;$J184),Tarification!$D$8,IF(AND(AE469&lt;=$J184,AE469&gt;$K184),Tarification!$D$9,IF(AND(AE469&lt;=$K184,AE469&gt;0),Tarification!$D$10,0)))</f>
        <v>0</v>
      </c>
      <c r="AF759" s="37">
        <f>IF(AND(AF469&lt;=$I184,AF469&gt;$J184),Tarification!$D$8,IF(AND(AF469&lt;=$J184,AF469&gt;$K184),Tarification!$D$9,IF(AND(AF469&lt;=$K184,AF469&gt;0),Tarification!$D$10,0)))</f>
        <v>0</v>
      </c>
      <c r="AG759" s="37">
        <f>IF(AND(AG469&lt;=$I184,AG469&gt;$J184),Tarification!$D$8,IF(AND(AG469&lt;=$J184,AG469&gt;$K184),Tarification!$D$9,IF(AND(AG469&lt;=$K184,AG469&gt;0),Tarification!$D$10,0)))</f>
        <v>0</v>
      </c>
      <c r="AH759" s="37">
        <f>IF(AND(AH469&lt;=$I184,AH469&gt;$J184),Tarification!$D$8,IF(AND(AH469&lt;=$J184,AH469&gt;$K184),Tarification!$D$9,IF(AND(AH469&lt;=$K184,AH469&gt;0),Tarification!$D$10,0)))</f>
        <v>0</v>
      </c>
      <c r="AI759" s="37">
        <f>IF(AND(AI469&lt;=$I184,AI469&gt;$J184),Tarification!$D$8,IF(AND(AI469&lt;=$J184,AI469&gt;$K184),Tarification!$D$9,IF(AND(AI469&lt;=$K184,AI469&gt;0),Tarification!$D$10,0)))</f>
        <v>0</v>
      </c>
      <c r="AJ759" s="37">
        <f>IF(AND(AJ469&lt;=$I184,AJ469&gt;$J184),Tarification!$D$8,IF(AND(AJ469&lt;=$J184,AJ469&gt;$K184),Tarification!$D$9,IF(AND(AJ469&lt;=$K184,AJ469&gt;0),Tarification!$D$10,0)))</f>
        <v>0</v>
      </c>
      <c r="AK759" s="37">
        <f>IF(AND(AK469&lt;=$I184,AK469&gt;$J184),Tarification!$D$8,IF(AND(AK469&lt;=$J184,AK469&gt;$K184),Tarification!$D$9,IF(AND(AK469&lt;=$K184,AK469&gt;0),Tarification!$D$10,0)))</f>
        <v>0</v>
      </c>
      <c r="AL759" s="37">
        <f>IF(AND(AL469&lt;=$I184,AL469&gt;$J184),Tarification!$D$8,IF(AND(AL469&lt;=$J184,AL469&gt;$K184),Tarification!$D$9,IF(AND(AL469&lt;=$K184,AL469&gt;0),Tarification!$D$10,0)))</f>
        <v>0</v>
      </c>
      <c r="AM759" s="37">
        <f>IF(AND(AM469&lt;=$I184,AM469&gt;$J184),Tarification!$D$8,IF(AND(AM469&lt;=$J184,AM469&gt;$K184),Tarification!$D$9,IF(AND(AM469&lt;=$K184,AM469&gt;0),Tarification!$D$10,0)))</f>
        <v>0</v>
      </c>
      <c r="AN759" s="37">
        <f>IF(AND(AN469&lt;=$I184,AN469&gt;$J184),Tarification!$D$8,IF(AND(AN469&lt;=$J184,AN469&gt;$K184),Tarification!$D$9,IF(AND(AN469&lt;=$K184,AN469&gt;0),Tarification!$D$10,0)))</f>
        <v>0</v>
      </c>
      <c r="AQ759" s="101">
        <f t="shared" si="150"/>
        <v>2631.5789473684213</v>
      </c>
    </row>
    <row r="760" spans="14:43" ht="15.6">
      <c r="N760" s="39" t="s">
        <v>27</v>
      </c>
      <c r="O760" s="39" t="s">
        <v>613</v>
      </c>
      <c r="P760" t="s">
        <v>784</v>
      </c>
      <c r="Q760" s="39"/>
      <c r="V760" s="37">
        <f>IF(AND(V470&lt;=$I185,V470&gt;$J185),Tarification!$D$8,IF(AND(V470&lt;=$J185,V470&gt;$K185),Tarification!$D$9,IF(AND(V470&lt;=$K185,V470&gt;0),Tarification!$D$10,0)))</f>
        <v>0</v>
      </c>
      <c r="W760" s="37">
        <f>IF(AND(W470&lt;=$I185,W470&gt;$J185),Tarification!$D$8,IF(AND(W470&lt;=$J185,W470&gt;$K185),Tarification!$D$9,IF(AND(W470&lt;=$K185,W470&gt;0),Tarification!$D$10,0)))</f>
        <v>50000</v>
      </c>
      <c r="X760" s="37">
        <f>IF(AND(X470&lt;=$I185,X470&gt;$J185),Tarification!$D$8,IF(AND(X470&lt;=$J185,X470&gt;$K185),Tarification!$D$9,IF(AND(X470&lt;=$K185,X470&gt;0),Tarification!$D$10,0)))</f>
        <v>0</v>
      </c>
      <c r="Y760" s="37">
        <f>IF(AND(Y470&lt;=$I185,Y470&gt;$J185),Tarification!$D$8,IF(AND(Y470&lt;=$J185,Y470&gt;$K185),Tarification!$D$9,IF(AND(Y470&lt;=$K185,Y470&gt;0),Tarification!$D$10,0)))</f>
        <v>0</v>
      </c>
      <c r="Z760" s="37">
        <f>IF(AND(Z470&lt;=$I185,Z470&gt;$J185),Tarification!$D$8,IF(AND(Z470&lt;=$J185,Z470&gt;$K185),Tarification!$D$9,IF(AND(Z470&lt;=$K185,Z470&gt;0),Tarification!$D$10,0)))</f>
        <v>0</v>
      </c>
      <c r="AA760" s="37">
        <f>IF(AND(AA470&lt;=$I185,AA470&gt;$J185),Tarification!$D$8,IF(AND(AA470&lt;=$J185,AA470&gt;$K185),Tarification!$D$9,IF(AND(AA470&lt;=$K185,AA470&gt;0),Tarification!$D$10,0)))</f>
        <v>0</v>
      </c>
      <c r="AB760" s="37">
        <f>IF(AND(AB470&lt;=$I185,AB470&gt;$J185),Tarification!$D$8,IF(AND(AB470&lt;=$J185,AB470&gt;$K185),Tarification!$D$9,IF(AND(AB470&lt;=$K185,AB470&gt;0),Tarification!$D$10,0)))</f>
        <v>0</v>
      </c>
      <c r="AC760" s="37">
        <f>IF(AND(AC470&lt;=$I185,AC470&gt;$J185),Tarification!$D$8,IF(AND(AC470&lt;=$J185,AC470&gt;$K185),Tarification!$D$9,IF(AND(AC470&lt;=$K185,AC470&gt;0),Tarification!$D$10,0)))</f>
        <v>250000</v>
      </c>
      <c r="AD760" s="37">
        <f>IF(AND(AD470&lt;=$I185,AD470&gt;$J185),Tarification!$D$8,IF(AND(AD470&lt;=$J185,AD470&gt;$K185),Tarification!$D$9,IF(AND(AD470&lt;=$K185,AD470&gt;0),Tarification!$D$10,0)))</f>
        <v>125000</v>
      </c>
      <c r="AE760" s="37">
        <f>IF(AND(AE470&lt;=$I185,AE470&gt;$J185),Tarification!$D$8,IF(AND(AE470&lt;=$J185,AE470&gt;$K185),Tarification!$D$9,IF(AND(AE470&lt;=$K185,AE470&gt;0),Tarification!$D$10,0)))</f>
        <v>125000</v>
      </c>
      <c r="AF760" s="37">
        <f>IF(AND(AF470&lt;=$I185,AF470&gt;$J185),Tarification!$D$8,IF(AND(AF470&lt;=$J185,AF470&gt;$K185),Tarification!$D$9,IF(AND(AF470&lt;=$K185,AF470&gt;0),Tarification!$D$10,0)))</f>
        <v>0</v>
      </c>
      <c r="AG760" s="37">
        <f>IF(AND(AG470&lt;=$I185,AG470&gt;$J185),Tarification!$D$8,IF(AND(AG470&lt;=$J185,AG470&gt;$K185),Tarification!$D$9,IF(AND(AG470&lt;=$K185,AG470&gt;0),Tarification!$D$10,0)))</f>
        <v>0</v>
      </c>
      <c r="AH760" s="37">
        <f>IF(AND(AH470&lt;=$I185,AH470&gt;$J185),Tarification!$D$8,IF(AND(AH470&lt;=$J185,AH470&gt;$K185),Tarification!$D$9,IF(AND(AH470&lt;=$K185,AH470&gt;0),Tarification!$D$10,0)))</f>
        <v>0</v>
      </c>
      <c r="AI760" s="37">
        <f>IF(AND(AI470&lt;=$I185,AI470&gt;$J185),Tarification!$D$8,IF(AND(AI470&lt;=$J185,AI470&gt;$K185),Tarification!$D$9,IF(AND(AI470&lt;=$K185,AI470&gt;0),Tarification!$D$10,0)))</f>
        <v>0</v>
      </c>
      <c r="AJ760" s="37">
        <f>IF(AND(AJ470&lt;=$I185,AJ470&gt;$J185),Tarification!$D$8,IF(AND(AJ470&lt;=$J185,AJ470&gt;$K185),Tarification!$D$9,IF(AND(AJ470&lt;=$K185,AJ470&gt;0),Tarification!$D$10,0)))</f>
        <v>0</v>
      </c>
      <c r="AK760" s="37">
        <f>IF(AND(AK470&lt;=$I185,AK470&gt;$J185),Tarification!$D$8,IF(AND(AK470&lt;=$J185,AK470&gt;$K185),Tarification!$D$9,IF(AND(AK470&lt;=$K185,AK470&gt;0),Tarification!$D$10,0)))</f>
        <v>0</v>
      </c>
      <c r="AL760" s="37">
        <f>IF(AND(AL470&lt;=$I185,AL470&gt;$J185),Tarification!$D$8,IF(AND(AL470&lt;=$J185,AL470&gt;$K185),Tarification!$D$9,IF(AND(AL470&lt;=$K185,AL470&gt;0),Tarification!$D$10,0)))</f>
        <v>0</v>
      </c>
      <c r="AM760" s="37">
        <f>IF(AND(AM470&lt;=$I185,AM470&gt;$J185),Tarification!$D$8,IF(AND(AM470&lt;=$J185,AM470&gt;$K185),Tarification!$D$9,IF(AND(AM470&lt;=$K185,AM470&gt;0),Tarification!$D$10,0)))</f>
        <v>0</v>
      </c>
      <c r="AN760" s="37">
        <f>IF(AND(AN470&lt;=$I185,AN470&gt;$J185),Tarification!$D$8,IF(AND(AN470&lt;=$J185,AN470&gt;$K185),Tarification!$D$9,IF(AND(AN470&lt;=$K185,AN470&gt;0),Tarification!$D$10,0)))</f>
        <v>125000</v>
      </c>
      <c r="AQ760" s="101">
        <f t="shared" si="150"/>
        <v>35526.315789473687</v>
      </c>
    </row>
    <row r="761" spans="14:43" ht="15.6">
      <c r="N761" s="39" t="s">
        <v>27</v>
      </c>
      <c r="O761" s="39" t="s">
        <v>609</v>
      </c>
      <c r="P761" t="s">
        <v>785</v>
      </c>
      <c r="Q761" s="39"/>
      <c r="V761" s="37">
        <f>IF(AND(V471&lt;=$I186,V471&gt;$J186),Tarification!$D$8,IF(AND(V471&lt;=$J186,V471&gt;$K186),Tarification!$D$9,IF(AND(V471&lt;=$K186,V471&gt;0),Tarification!$D$10,0)))</f>
        <v>0</v>
      </c>
      <c r="W761" s="37">
        <f>IF(AND(W471&lt;=$I186,W471&gt;$J186),Tarification!$D$8,IF(AND(W471&lt;=$J186,W471&gt;$K186),Tarification!$D$9,IF(AND(W471&lt;=$K186,W471&gt;0),Tarification!$D$10,0)))</f>
        <v>50000</v>
      </c>
      <c r="X761" s="37">
        <f>IF(AND(X471&lt;=$I186,X471&gt;$J186),Tarification!$D$8,IF(AND(X471&lt;=$J186,X471&gt;$K186),Tarification!$D$9,IF(AND(X471&lt;=$K186,X471&gt;0),Tarification!$D$10,0)))</f>
        <v>0</v>
      </c>
      <c r="Y761" s="37">
        <f>IF(AND(Y471&lt;=$I186,Y471&gt;$J186),Tarification!$D$8,IF(AND(Y471&lt;=$J186,Y471&gt;$K186),Tarification!$D$9,IF(AND(Y471&lt;=$K186,Y471&gt;0),Tarification!$D$10,0)))</f>
        <v>0</v>
      </c>
      <c r="Z761" s="37">
        <f>IF(AND(Z471&lt;=$I186,Z471&gt;$J186),Tarification!$D$8,IF(AND(Z471&lt;=$J186,Z471&gt;$K186),Tarification!$D$9,IF(AND(Z471&lt;=$K186,Z471&gt;0),Tarification!$D$10,0)))</f>
        <v>0</v>
      </c>
      <c r="AA761" s="37">
        <f>IF(AND(AA471&lt;=$I186,AA471&gt;$J186),Tarification!$D$8,IF(AND(AA471&lt;=$J186,AA471&gt;$K186),Tarification!$D$9,IF(AND(AA471&lt;=$K186,AA471&gt;0),Tarification!$D$10,0)))</f>
        <v>0</v>
      </c>
      <c r="AB761" s="37">
        <f>IF(AND(AB471&lt;=$I186,AB471&gt;$J186),Tarification!$D$8,IF(AND(AB471&lt;=$J186,AB471&gt;$K186),Tarification!$D$9,IF(AND(AB471&lt;=$K186,AB471&gt;0),Tarification!$D$10,0)))</f>
        <v>0</v>
      </c>
      <c r="AC761" s="37">
        <f>IF(AND(AC471&lt;=$I186,AC471&gt;$J186),Tarification!$D$8,IF(AND(AC471&lt;=$J186,AC471&gt;$K186),Tarification!$D$9,IF(AND(AC471&lt;=$K186,AC471&gt;0),Tarification!$D$10,0)))</f>
        <v>125000</v>
      </c>
      <c r="AD761" s="37">
        <f>IF(AND(AD471&lt;=$I186,AD471&gt;$J186),Tarification!$D$8,IF(AND(AD471&lt;=$J186,AD471&gt;$K186),Tarification!$D$9,IF(AND(AD471&lt;=$K186,AD471&gt;0),Tarification!$D$10,0)))</f>
        <v>0</v>
      </c>
      <c r="AE761" s="37">
        <f>IF(AND(AE471&lt;=$I186,AE471&gt;$J186),Tarification!$D$8,IF(AND(AE471&lt;=$J186,AE471&gt;$K186),Tarification!$D$9,IF(AND(AE471&lt;=$K186,AE471&gt;0),Tarification!$D$10,0)))</f>
        <v>0</v>
      </c>
      <c r="AF761" s="37">
        <f>IF(AND(AF471&lt;=$I186,AF471&gt;$J186),Tarification!$D$8,IF(AND(AF471&lt;=$J186,AF471&gt;$K186),Tarification!$D$9,IF(AND(AF471&lt;=$K186,AF471&gt;0),Tarification!$D$10,0)))</f>
        <v>0</v>
      </c>
      <c r="AG761" s="37">
        <f>IF(AND(AG471&lt;=$I186,AG471&gt;$J186),Tarification!$D$8,IF(AND(AG471&lt;=$J186,AG471&gt;$K186),Tarification!$D$9,IF(AND(AG471&lt;=$K186,AG471&gt;0),Tarification!$D$10,0)))</f>
        <v>0</v>
      </c>
      <c r="AH761" s="37">
        <f>IF(AND(AH471&lt;=$I186,AH471&gt;$J186),Tarification!$D$8,IF(AND(AH471&lt;=$J186,AH471&gt;$K186),Tarification!$D$9,IF(AND(AH471&lt;=$K186,AH471&gt;0),Tarification!$D$10,0)))</f>
        <v>0</v>
      </c>
      <c r="AI761" s="37">
        <f>IF(AND(AI471&lt;=$I186,AI471&gt;$J186),Tarification!$D$8,IF(AND(AI471&lt;=$J186,AI471&gt;$K186),Tarification!$D$9,IF(AND(AI471&lt;=$K186,AI471&gt;0),Tarification!$D$10,0)))</f>
        <v>0</v>
      </c>
      <c r="AJ761" s="37">
        <f>IF(AND(AJ471&lt;=$I186,AJ471&gt;$J186),Tarification!$D$8,IF(AND(AJ471&lt;=$J186,AJ471&gt;$K186),Tarification!$D$9,IF(AND(AJ471&lt;=$K186,AJ471&gt;0),Tarification!$D$10,0)))</f>
        <v>0</v>
      </c>
      <c r="AK761" s="37">
        <f>IF(AND(AK471&lt;=$I186,AK471&gt;$J186),Tarification!$D$8,IF(AND(AK471&lt;=$J186,AK471&gt;$K186),Tarification!$D$9,IF(AND(AK471&lt;=$K186,AK471&gt;0),Tarification!$D$10,0)))</f>
        <v>0</v>
      </c>
      <c r="AL761" s="37">
        <f>IF(AND(AL471&lt;=$I186,AL471&gt;$J186),Tarification!$D$8,IF(AND(AL471&lt;=$J186,AL471&gt;$K186),Tarification!$D$9,IF(AND(AL471&lt;=$K186,AL471&gt;0),Tarification!$D$10,0)))</f>
        <v>0</v>
      </c>
      <c r="AM761" s="37">
        <f>IF(AND(AM471&lt;=$I186,AM471&gt;$J186),Tarification!$D$8,IF(AND(AM471&lt;=$J186,AM471&gt;$K186),Tarification!$D$9,IF(AND(AM471&lt;=$K186,AM471&gt;0),Tarification!$D$10,0)))</f>
        <v>0</v>
      </c>
      <c r="AN761" s="37">
        <f>IF(AND(AN471&lt;=$I186,AN471&gt;$J186),Tarification!$D$8,IF(AND(AN471&lt;=$J186,AN471&gt;$K186),Tarification!$D$9,IF(AND(AN471&lt;=$K186,AN471&gt;0),Tarification!$D$10,0)))</f>
        <v>50000</v>
      </c>
      <c r="AQ761" s="101">
        <f t="shared" si="150"/>
        <v>11842.105263157895</v>
      </c>
    </row>
    <row r="762" spans="14:43" ht="15.6">
      <c r="N762" s="39" t="s">
        <v>27</v>
      </c>
      <c r="O762" s="39" t="s">
        <v>542</v>
      </c>
      <c r="P762" t="s">
        <v>786</v>
      </c>
      <c r="Q762" s="39"/>
      <c r="V762" s="37">
        <f>IF(AND(V472&lt;=$I187,V472&gt;$J187),Tarification!$D$8,IF(AND(V472&lt;=$J187,V472&gt;$K187),Tarification!$D$9,IF(AND(V472&lt;=$K187,V472&gt;0),Tarification!$D$10,0)))</f>
        <v>0</v>
      </c>
      <c r="W762" s="37">
        <f>IF(AND(W472&lt;=$I187,W472&gt;$J187),Tarification!$D$8,IF(AND(W472&lt;=$J187,W472&gt;$K187),Tarification!$D$9,IF(AND(W472&lt;=$K187,W472&gt;0),Tarification!$D$10,0)))</f>
        <v>50000</v>
      </c>
      <c r="X762" s="37">
        <f>IF(AND(X472&lt;=$I187,X472&gt;$J187),Tarification!$D$8,IF(AND(X472&lt;=$J187,X472&gt;$K187),Tarification!$D$9,IF(AND(X472&lt;=$K187,X472&gt;0),Tarification!$D$10,0)))</f>
        <v>0</v>
      </c>
      <c r="Y762" s="37">
        <f>IF(AND(Y472&lt;=$I187,Y472&gt;$J187),Tarification!$D$8,IF(AND(Y472&lt;=$J187,Y472&gt;$K187),Tarification!$D$9,IF(AND(Y472&lt;=$K187,Y472&gt;0),Tarification!$D$10,0)))</f>
        <v>0</v>
      </c>
      <c r="Z762" s="37">
        <f>IF(AND(Z472&lt;=$I187,Z472&gt;$J187),Tarification!$D$8,IF(AND(Z472&lt;=$J187,Z472&gt;$K187),Tarification!$D$9,IF(AND(Z472&lt;=$K187,Z472&gt;0),Tarification!$D$10,0)))</f>
        <v>0</v>
      </c>
      <c r="AA762" s="37">
        <f>IF(AND(AA472&lt;=$I187,AA472&gt;$J187),Tarification!$D$8,IF(AND(AA472&lt;=$J187,AA472&gt;$K187),Tarification!$D$9,IF(AND(AA472&lt;=$K187,AA472&gt;0),Tarification!$D$10,0)))</f>
        <v>50000</v>
      </c>
      <c r="AB762" s="37">
        <f>IF(AND(AB472&lt;=$I187,AB472&gt;$J187),Tarification!$D$8,IF(AND(AB472&lt;=$J187,AB472&gt;$K187),Tarification!$D$9,IF(AND(AB472&lt;=$K187,AB472&gt;0),Tarification!$D$10,0)))</f>
        <v>0</v>
      </c>
      <c r="AC762" s="37">
        <f>IF(AND(AC472&lt;=$I187,AC472&gt;$J187),Tarification!$D$8,IF(AND(AC472&lt;=$J187,AC472&gt;$K187),Tarification!$D$9,IF(AND(AC472&lt;=$K187,AC472&gt;0),Tarification!$D$10,0)))</f>
        <v>0</v>
      </c>
      <c r="AD762" s="37">
        <f>IF(AND(AD472&lt;=$I187,AD472&gt;$J187),Tarification!$D$8,IF(AND(AD472&lt;=$J187,AD472&gt;$K187),Tarification!$D$9,IF(AND(AD472&lt;=$K187,AD472&gt;0),Tarification!$D$10,0)))</f>
        <v>50000</v>
      </c>
      <c r="AE762" s="37">
        <f>IF(AND(AE472&lt;=$I187,AE472&gt;$J187),Tarification!$D$8,IF(AND(AE472&lt;=$J187,AE472&gt;$K187),Tarification!$D$9,IF(AND(AE472&lt;=$K187,AE472&gt;0),Tarification!$D$10,0)))</f>
        <v>0</v>
      </c>
      <c r="AF762" s="37">
        <f>IF(AND(AF472&lt;=$I187,AF472&gt;$J187),Tarification!$D$8,IF(AND(AF472&lt;=$J187,AF472&gt;$K187),Tarification!$D$9,IF(AND(AF472&lt;=$K187,AF472&gt;0),Tarification!$D$10,0)))</f>
        <v>0</v>
      </c>
      <c r="AG762" s="37">
        <f>IF(AND(AG472&lt;=$I187,AG472&gt;$J187),Tarification!$D$8,IF(AND(AG472&lt;=$J187,AG472&gt;$K187),Tarification!$D$9,IF(AND(AG472&lt;=$K187,AG472&gt;0),Tarification!$D$10,0)))</f>
        <v>0</v>
      </c>
      <c r="AH762" s="37">
        <f>IF(AND(AH472&lt;=$I187,AH472&gt;$J187),Tarification!$D$8,IF(AND(AH472&lt;=$J187,AH472&gt;$K187),Tarification!$D$9,IF(AND(AH472&lt;=$K187,AH472&gt;0),Tarification!$D$10,0)))</f>
        <v>0</v>
      </c>
      <c r="AI762" s="37">
        <f>IF(AND(AI472&lt;=$I187,AI472&gt;$J187),Tarification!$D$8,IF(AND(AI472&lt;=$J187,AI472&gt;$K187),Tarification!$D$9,IF(AND(AI472&lt;=$K187,AI472&gt;0),Tarification!$D$10,0)))</f>
        <v>0</v>
      </c>
      <c r="AJ762" s="37">
        <f>IF(AND(AJ472&lt;=$I187,AJ472&gt;$J187),Tarification!$D$8,IF(AND(AJ472&lt;=$J187,AJ472&gt;$K187),Tarification!$D$9,IF(AND(AJ472&lt;=$K187,AJ472&gt;0),Tarification!$D$10,0)))</f>
        <v>0</v>
      </c>
      <c r="AK762" s="37">
        <f>IF(AND(AK472&lt;=$I187,AK472&gt;$J187),Tarification!$D$8,IF(AND(AK472&lt;=$J187,AK472&gt;$K187),Tarification!$D$9,IF(AND(AK472&lt;=$K187,AK472&gt;0),Tarification!$D$10,0)))</f>
        <v>0</v>
      </c>
      <c r="AL762" s="37">
        <f>IF(AND(AL472&lt;=$I187,AL472&gt;$J187),Tarification!$D$8,IF(AND(AL472&lt;=$J187,AL472&gt;$K187),Tarification!$D$9,IF(AND(AL472&lt;=$K187,AL472&gt;0),Tarification!$D$10,0)))</f>
        <v>0</v>
      </c>
      <c r="AM762" s="37">
        <f>IF(AND(AM472&lt;=$I187,AM472&gt;$J187),Tarification!$D$8,IF(AND(AM472&lt;=$J187,AM472&gt;$K187),Tarification!$D$9,IF(AND(AM472&lt;=$K187,AM472&gt;0),Tarification!$D$10,0)))</f>
        <v>0</v>
      </c>
      <c r="AN762" s="37">
        <f>IF(AND(AN472&lt;=$I187,AN472&gt;$J187),Tarification!$D$8,IF(AND(AN472&lt;=$J187,AN472&gt;$K187),Tarification!$D$9,IF(AND(AN472&lt;=$K187,AN472&gt;0),Tarification!$D$10,0)))</f>
        <v>0</v>
      </c>
      <c r="AQ762" s="101">
        <f t="shared" si="150"/>
        <v>7894.7368421052633</v>
      </c>
    </row>
    <row r="763" spans="14:43" ht="15.6">
      <c r="N763" s="39" t="s">
        <v>27</v>
      </c>
      <c r="O763" s="39" t="s">
        <v>494</v>
      </c>
      <c r="P763" t="s">
        <v>787</v>
      </c>
      <c r="Q763" s="39"/>
      <c r="V763" s="37">
        <f>IF(AND(V473&lt;=$I188,V473&gt;$J188),Tarification!$D$8,IF(AND(V473&lt;=$J188,V473&gt;$K188),Tarification!$D$9,IF(AND(V473&lt;=$K188,V473&gt;0),Tarification!$D$10,0)))</f>
        <v>0</v>
      </c>
      <c r="W763" s="37">
        <f>IF(AND(W473&lt;=$I188,W473&gt;$J188),Tarification!$D$8,IF(AND(W473&lt;=$J188,W473&gt;$K188),Tarification!$D$9,IF(AND(W473&lt;=$K188,W473&gt;0),Tarification!$D$10,0)))</f>
        <v>0</v>
      </c>
      <c r="X763" s="37">
        <f>IF(AND(X473&lt;=$I188,X473&gt;$J188),Tarification!$D$8,IF(AND(X473&lt;=$J188,X473&gt;$K188),Tarification!$D$9,IF(AND(X473&lt;=$K188,X473&gt;0),Tarification!$D$10,0)))</f>
        <v>0</v>
      </c>
      <c r="Y763" s="37">
        <f>IF(AND(Y473&lt;=$I188,Y473&gt;$J188),Tarification!$D$8,IF(AND(Y473&lt;=$J188,Y473&gt;$K188),Tarification!$D$9,IF(AND(Y473&lt;=$K188,Y473&gt;0),Tarification!$D$10,0)))</f>
        <v>0</v>
      </c>
      <c r="Z763" s="37">
        <f>IF(AND(Z473&lt;=$I188,Z473&gt;$J188),Tarification!$D$8,IF(AND(Z473&lt;=$J188,Z473&gt;$K188),Tarification!$D$9,IF(AND(Z473&lt;=$K188,Z473&gt;0),Tarification!$D$10,0)))</f>
        <v>0</v>
      </c>
      <c r="AA763" s="37">
        <f>IF(AND(AA473&lt;=$I188,AA473&gt;$J188),Tarification!$D$8,IF(AND(AA473&lt;=$J188,AA473&gt;$K188),Tarification!$D$9,IF(AND(AA473&lt;=$K188,AA473&gt;0),Tarification!$D$10,0)))</f>
        <v>0</v>
      </c>
      <c r="AB763" s="37">
        <f>IF(AND(AB473&lt;=$I188,AB473&gt;$J188),Tarification!$D$8,IF(AND(AB473&lt;=$J188,AB473&gt;$K188),Tarification!$D$9,IF(AND(AB473&lt;=$K188,AB473&gt;0),Tarification!$D$10,0)))</f>
        <v>0</v>
      </c>
      <c r="AC763" s="37">
        <f>IF(AND(AC473&lt;=$I188,AC473&gt;$J188),Tarification!$D$8,IF(AND(AC473&lt;=$J188,AC473&gt;$K188),Tarification!$D$9,IF(AND(AC473&lt;=$K188,AC473&gt;0),Tarification!$D$10,0)))</f>
        <v>0</v>
      </c>
      <c r="AD763" s="37">
        <f>IF(AND(AD473&lt;=$I188,AD473&gt;$J188),Tarification!$D$8,IF(AND(AD473&lt;=$J188,AD473&gt;$K188),Tarification!$D$9,IF(AND(AD473&lt;=$K188,AD473&gt;0),Tarification!$D$10,0)))</f>
        <v>0</v>
      </c>
      <c r="AE763" s="37">
        <f>IF(AND(AE473&lt;=$I188,AE473&gt;$J188),Tarification!$D$8,IF(AND(AE473&lt;=$J188,AE473&gt;$K188),Tarification!$D$9,IF(AND(AE473&lt;=$K188,AE473&gt;0),Tarification!$D$10,0)))</f>
        <v>0</v>
      </c>
      <c r="AF763" s="37">
        <f>IF(AND(AF473&lt;=$I188,AF473&gt;$J188),Tarification!$D$8,IF(AND(AF473&lt;=$J188,AF473&gt;$K188),Tarification!$D$9,IF(AND(AF473&lt;=$K188,AF473&gt;0),Tarification!$D$10,0)))</f>
        <v>0</v>
      </c>
      <c r="AG763" s="37">
        <f>IF(AND(AG473&lt;=$I188,AG473&gt;$J188),Tarification!$D$8,IF(AND(AG473&lt;=$J188,AG473&gt;$K188),Tarification!$D$9,IF(AND(AG473&lt;=$K188,AG473&gt;0),Tarification!$D$10,0)))</f>
        <v>0</v>
      </c>
      <c r="AH763" s="37">
        <f>IF(AND(AH473&lt;=$I188,AH473&gt;$J188),Tarification!$D$8,IF(AND(AH473&lt;=$J188,AH473&gt;$K188),Tarification!$D$9,IF(AND(AH473&lt;=$K188,AH473&gt;0),Tarification!$D$10,0)))</f>
        <v>0</v>
      </c>
      <c r="AI763" s="37">
        <f>IF(AND(AI473&lt;=$I188,AI473&gt;$J188),Tarification!$D$8,IF(AND(AI473&lt;=$J188,AI473&gt;$K188),Tarification!$D$9,IF(AND(AI473&lt;=$K188,AI473&gt;0),Tarification!$D$10,0)))</f>
        <v>0</v>
      </c>
      <c r="AJ763" s="37">
        <f>IF(AND(AJ473&lt;=$I188,AJ473&gt;$J188),Tarification!$D$8,IF(AND(AJ473&lt;=$J188,AJ473&gt;$K188),Tarification!$D$9,IF(AND(AJ473&lt;=$K188,AJ473&gt;0),Tarification!$D$10,0)))</f>
        <v>0</v>
      </c>
      <c r="AK763" s="37">
        <f>IF(AND(AK473&lt;=$I188,AK473&gt;$J188),Tarification!$D$8,IF(AND(AK473&lt;=$J188,AK473&gt;$K188),Tarification!$D$9,IF(AND(AK473&lt;=$K188,AK473&gt;0),Tarification!$D$10,0)))</f>
        <v>0</v>
      </c>
      <c r="AL763" s="37">
        <f>IF(AND(AL473&lt;=$I188,AL473&gt;$J188),Tarification!$D$8,IF(AND(AL473&lt;=$J188,AL473&gt;$K188),Tarification!$D$9,IF(AND(AL473&lt;=$K188,AL473&gt;0),Tarification!$D$10,0)))</f>
        <v>0</v>
      </c>
      <c r="AM763" s="37">
        <f>IF(AND(AM473&lt;=$I188,AM473&gt;$J188),Tarification!$D$8,IF(AND(AM473&lt;=$J188,AM473&gt;$K188),Tarification!$D$9,IF(AND(AM473&lt;=$K188,AM473&gt;0),Tarification!$D$10,0)))</f>
        <v>0</v>
      </c>
      <c r="AN763" s="37">
        <f>IF(AND(AN473&lt;=$I188,AN473&gt;$J188),Tarification!$D$8,IF(AND(AN473&lt;=$J188,AN473&gt;$K188),Tarification!$D$9,IF(AND(AN473&lt;=$K188,AN473&gt;0),Tarification!$D$10,0)))</f>
        <v>0</v>
      </c>
      <c r="AQ763" s="101">
        <f t="shared" si="150"/>
        <v>0</v>
      </c>
    </row>
    <row r="764" spans="14:43" ht="15.6">
      <c r="N764" s="39" t="s">
        <v>27</v>
      </c>
      <c r="O764" s="39" t="s">
        <v>537</v>
      </c>
      <c r="P764" t="s">
        <v>788</v>
      </c>
      <c r="Q764" s="39"/>
      <c r="V764" s="37">
        <f>IF(AND(V474&lt;=$I189,V474&gt;$J189),Tarification!$D$8,IF(AND(V474&lt;=$J189,V474&gt;$K189),Tarification!$D$9,IF(AND(V474&lt;=$K189,V474&gt;0),Tarification!$D$10,0)))</f>
        <v>0</v>
      </c>
      <c r="W764" s="37">
        <f>IF(AND(W474&lt;=$I189,W474&gt;$J189),Tarification!$D$8,IF(AND(W474&lt;=$J189,W474&gt;$K189),Tarification!$D$9,IF(AND(W474&lt;=$K189,W474&gt;0),Tarification!$D$10,0)))</f>
        <v>50000</v>
      </c>
      <c r="X764" s="37">
        <f>IF(AND(X474&lt;=$I189,X474&gt;$J189),Tarification!$D$8,IF(AND(X474&lt;=$J189,X474&gt;$K189),Tarification!$D$9,IF(AND(X474&lt;=$K189,X474&gt;0),Tarification!$D$10,0)))</f>
        <v>0</v>
      </c>
      <c r="Y764" s="37">
        <f>IF(AND(Y474&lt;=$I189,Y474&gt;$J189),Tarification!$D$8,IF(AND(Y474&lt;=$J189,Y474&gt;$K189),Tarification!$D$9,IF(AND(Y474&lt;=$K189,Y474&gt;0),Tarification!$D$10,0)))</f>
        <v>0</v>
      </c>
      <c r="Z764" s="37">
        <f>IF(AND(Z474&lt;=$I189,Z474&gt;$J189),Tarification!$D$8,IF(AND(Z474&lt;=$J189,Z474&gt;$K189),Tarification!$D$9,IF(AND(Z474&lt;=$K189,Z474&gt;0),Tarification!$D$10,0)))</f>
        <v>0</v>
      </c>
      <c r="AA764" s="37">
        <f>IF(AND(AA474&lt;=$I189,AA474&gt;$J189),Tarification!$D$8,IF(AND(AA474&lt;=$J189,AA474&gt;$K189),Tarification!$D$9,IF(AND(AA474&lt;=$K189,AA474&gt;0),Tarification!$D$10,0)))</f>
        <v>0</v>
      </c>
      <c r="AB764" s="37">
        <f>IF(AND(AB474&lt;=$I189,AB474&gt;$J189),Tarification!$D$8,IF(AND(AB474&lt;=$J189,AB474&gt;$K189),Tarification!$D$9,IF(AND(AB474&lt;=$K189,AB474&gt;0),Tarification!$D$10,0)))</f>
        <v>0</v>
      </c>
      <c r="AC764" s="37">
        <f>IF(AND(AC474&lt;=$I189,AC474&gt;$J189),Tarification!$D$8,IF(AND(AC474&lt;=$J189,AC474&gt;$K189),Tarification!$D$9,IF(AND(AC474&lt;=$K189,AC474&gt;0),Tarification!$D$10,0)))</f>
        <v>0</v>
      </c>
      <c r="AD764" s="37">
        <f>IF(AND(AD474&lt;=$I189,AD474&gt;$J189),Tarification!$D$8,IF(AND(AD474&lt;=$J189,AD474&gt;$K189),Tarification!$D$9,IF(AND(AD474&lt;=$K189,AD474&gt;0),Tarification!$D$10,0)))</f>
        <v>50000</v>
      </c>
      <c r="AE764" s="37">
        <f>IF(AND(AE474&lt;=$I189,AE474&gt;$J189),Tarification!$D$8,IF(AND(AE474&lt;=$J189,AE474&gt;$K189),Tarification!$D$9,IF(AND(AE474&lt;=$K189,AE474&gt;0),Tarification!$D$10,0)))</f>
        <v>50000</v>
      </c>
      <c r="AF764" s="37">
        <f>IF(AND(AF474&lt;=$I189,AF474&gt;$J189),Tarification!$D$8,IF(AND(AF474&lt;=$J189,AF474&gt;$K189),Tarification!$D$9,IF(AND(AF474&lt;=$K189,AF474&gt;0),Tarification!$D$10,0)))</f>
        <v>0</v>
      </c>
      <c r="AG764" s="37">
        <f>IF(AND(AG474&lt;=$I189,AG474&gt;$J189),Tarification!$D$8,IF(AND(AG474&lt;=$J189,AG474&gt;$K189),Tarification!$D$9,IF(AND(AG474&lt;=$K189,AG474&gt;0),Tarification!$D$10,0)))</f>
        <v>0</v>
      </c>
      <c r="AH764" s="37">
        <f>IF(AND(AH474&lt;=$I189,AH474&gt;$J189),Tarification!$D$8,IF(AND(AH474&lt;=$J189,AH474&gt;$K189),Tarification!$D$9,IF(AND(AH474&lt;=$K189,AH474&gt;0),Tarification!$D$10,0)))</f>
        <v>0</v>
      </c>
      <c r="AI764" s="37">
        <f>IF(AND(AI474&lt;=$I189,AI474&gt;$J189),Tarification!$D$8,IF(AND(AI474&lt;=$J189,AI474&gt;$K189),Tarification!$D$9,IF(AND(AI474&lt;=$K189,AI474&gt;0),Tarification!$D$10,0)))</f>
        <v>0</v>
      </c>
      <c r="AJ764" s="37">
        <f>IF(AND(AJ474&lt;=$I189,AJ474&gt;$J189),Tarification!$D$8,IF(AND(AJ474&lt;=$J189,AJ474&gt;$K189),Tarification!$D$9,IF(AND(AJ474&lt;=$K189,AJ474&gt;0),Tarification!$D$10,0)))</f>
        <v>0</v>
      </c>
      <c r="AK764" s="37">
        <f>IF(AND(AK474&lt;=$I189,AK474&gt;$J189),Tarification!$D$8,IF(AND(AK474&lt;=$J189,AK474&gt;$K189),Tarification!$D$9,IF(AND(AK474&lt;=$K189,AK474&gt;0),Tarification!$D$10,0)))</f>
        <v>0</v>
      </c>
      <c r="AL764" s="37">
        <f>IF(AND(AL474&lt;=$I189,AL474&gt;$J189),Tarification!$D$8,IF(AND(AL474&lt;=$J189,AL474&gt;$K189),Tarification!$D$9,IF(AND(AL474&lt;=$K189,AL474&gt;0),Tarification!$D$10,0)))</f>
        <v>0</v>
      </c>
      <c r="AM764" s="37">
        <f>IF(AND(AM474&lt;=$I189,AM474&gt;$J189),Tarification!$D$8,IF(AND(AM474&lt;=$J189,AM474&gt;$K189),Tarification!$D$9,IF(AND(AM474&lt;=$K189,AM474&gt;0),Tarification!$D$10,0)))</f>
        <v>0</v>
      </c>
      <c r="AN764" s="37">
        <f>IF(AND(AN474&lt;=$I189,AN474&gt;$J189),Tarification!$D$8,IF(AND(AN474&lt;=$J189,AN474&gt;$K189),Tarification!$D$9,IF(AND(AN474&lt;=$K189,AN474&gt;0),Tarification!$D$10,0)))</f>
        <v>0</v>
      </c>
      <c r="AQ764" s="101">
        <f t="shared" si="150"/>
        <v>7894.7368421052633</v>
      </c>
    </row>
    <row r="765" spans="14:43" ht="15.6">
      <c r="N765" s="39" t="s">
        <v>27</v>
      </c>
      <c r="O765" s="39" t="s">
        <v>181</v>
      </c>
      <c r="P765" t="s">
        <v>789</v>
      </c>
      <c r="Q765" s="39"/>
      <c r="V765" s="37">
        <f>IF(AND(V475&lt;=$I190,V475&gt;$J190),Tarification!$D$8,IF(AND(V475&lt;=$J190,V475&gt;$K190),Tarification!$D$9,IF(AND(V475&lt;=$K190,V475&gt;0),Tarification!$D$10,0)))</f>
        <v>0</v>
      </c>
      <c r="W765" s="37">
        <f>IF(AND(W475&lt;=$I190,W475&gt;$J190),Tarification!$D$8,IF(AND(W475&lt;=$J190,W475&gt;$K190),Tarification!$D$9,IF(AND(W475&lt;=$K190,W475&gt;0),Tarification!$D$10,0)))</f>
        <v>0</v>
      </c>
      <c r="X765" s="37">
        <f>IF(AND(X475&lt;=$I190,X475&gt;$J190),Tarification!$D$8,IF(AND(X475&lt;=$J190,X475&gt;$K190),Tarification!$D$9,IF(AND(X475&lt;=$K190,X475&gt;0),Tarification!$D$10,0)))</f>
        <v>0</v>
      </c>
      <c r="Y765" s="37">
        <f>IF(AND(Y475&lt;=$I190,Y475&gt;$J190),Tarification!$D$8,IF(AND(Y475&lt;=$J190,Y475&gt;$K190),Tarification!$D$9,IF(AND(Y475&lt;=$K190,Y475&gt;0),Tarification!$D$10,0)))</f>
        <v>0</v>
      </c>
      <c r="Z765" s="37">
        <f>IF(AND(Z475&lt;=$I190,Z475&gt;$J190),Tarification!$D$8,IF(AND(Z475&lt;=$J190,Z475&gt;$K190),Tarification!$D$9,IF(AND(Z475&lt;=$K190,Z475&gt;0),Tarification!$D$10,0)))</f>
        <v>0</v>
      </c>
      <c r="AA765" s="37">
        <f>IF(AND(AA475&lt;=$I190,AA475&gt;$J190),Tarification!$D$8,IF(AND(AA475&lt;=$J190,AA475&gt;$K190),Tarification!$D$9,IF(AND(AA475&lt;=$K190,AA475&gt;0),Tarification!$D$10,0)))</f>
        <v>0</v>
      </c>
      <c r="AB765" s="37">
        <f>IF(AND(AB475&lt;=$I190,AB475&gt;$J190),Tarification!$D$8,IF(AND(AB475&lt;=$J190,AB475&gt;$K190),Tarification!$D$9,IF(AND(AB475&lt;=$K190,AB475&gt;0),Tarification!$D$10,0)))</f>
        <v>0</v>
      </c>
      <c r="AC765" s="37">
        <f>IF(AND(AC475&lt;=$I190,AC475&gt;$J190),Tarification!$D$8,IF(AND(AC475&lt;=$J190,AC475&gt;$K190),Tarification!$D$9,IF(AND(AC475&lt;=$K190,AC475&gt;0),Tarification!$D$10,0)))</f>
        <v>0</v>
      </c>
      <c r="AD765" s="37">
        <f>IF(AND(AD475&lt;=$I190,AD475&gt;$J190),Tarification!$D$8,IF(AND(AD475&lt;=$J190,AD475&gt;$K190),Tarification!$D$9,IF(AND(AD475&lt;=$K190,AD475&gt;0),Tarification!$D$10,0)))</f>
        <v>0</v>
      </c>
      <c r="AE765" s="37">
        <f>IF(AND(AE475&lt;=$I190,AE475&gt;$J190),Tarification!$D$8,IF(AND(AE475&lt;=$J190,AE475&gt;$K190),Tarification!$D$9,IF(AND(AE475&lt;=$K190,AE475&gt;0),Tarification!$D$10,0)))</f>
        <v>0</v>
      </c>
      <c r="AF765" s="37">
        <f>IF(AND(AF475&lt;=$I190,AF475&gt;$J190),Tarification!$D$8,IF(AND(AF475&lt;=$J190,AF475&gt;$K190),Tarification!$D$9,IF(AND(AF475&lt;=$K190,AF475&gt;0),Tarification!$D$10,0)))</f>
        <v>0</v>
      </c>
      <c r="AG765" s="37">
        <f>IF(AND(AG475&lt;=$I190,AG475&gt;$J190),Tarification!$D$8,IF(AND(AG475&lt;=$J190,AG475&gt;$K190),Tarification!$D$9,IF(AND(AG475&lt;=$K190,AG475&gt;0),Tarification!$D$10,0)))</f>
        <v>0</v>
      </c>
      <c r="AH765" s="37">
        <f>IF(AND(AH475&lt;=$I190,AH475&gt;$J190),Tarification!$D$8,IF(AND(AH475&lt;=$J190,AH475&gt;$K190),Tarification!$D$9,IF(AND(AH475&lt;=$K190,AH475&gt;0),Tarification!$D$10,0)))</f>
        <v>0</v>
      </c>
      <c r="AI765" s="37">
        <f>IF(AND(AI475&lt;=$I190,AI475&gt;$J190),Tarification!$D$8,IF(AND(AI475&lt;=$J190,AI475&gt;$K190),Tarification!$D$9,IF(AND(AI475&lt;=$K190,AI475&gt;0),Tarification!$D$10,0)))</f>
        <v>0</v>
      </c>
      <c r="AJ765" s="37">
        <f>IF(AND(AJ475&lt;=$I190,AJ475&gt;$J190),Tarification!$D$8,IF(AND(AJ475&lt;=$J190,AJ475&gt;$K190),Tarification!$D$9,IF(AND(AJ475&lt;=$K190,AJ475&gt;0),Tarification!$D$10,0)))</f>
        <v>0</v>
      </c>
      <c r="AK765" s="37">
        <f>IF(AND(AK475&lt;=$I190,AK475&gt;$J190),Tarification!$D$8,IF(AND(AK475&lt;=$J190,AK475&gt;$K190),Tarification!$D$9,IF(AND(AK475&lt;=$K190,AK475&gt;0),Tarification!$D$10,0)))</f>
        <v>0</v>
      </c>
      <c r="AL765" s="37">
        <f>IF(AND(AL475&lt;=$I190,AL475&gt;$J190),Tarification!$D$8,IF(AND(AL475&lt;=$J190,AL475&gt;$K190),Tarification!$D$9,IF(AND(AL475&lt;=$K190,AL475&gt;0),Tarification!$D$10,0)))</f>
        <v>0</v>
      </c>
      <c r="AM765" s="37">
        <f>IF(AND(AM475&lt;=$I190,AM475&gt;$J190),Tarification!$D$8,IF(AND(AM475&lt;=$J190,AM475&gt;$K190),Tarification!$D$9,IF(AND(AM475&lt;=$K190,AM475&gt;0),Tarification!$D$10,0)))</f>
        <v>0</v>
      </c>
      <c r="AN765" s="37">
        <f>IF(AND(AN475&lt;=$I190,AN475&gt;$J190),Tarification!$D$8,IF(AND(AN475&lt;=$J190,AN475&gt;$K190),Tarification!$D$9,IF(AND(AN475&lt;=$K190,AN475&gt;0),Tarification!$D$10,0)))</f>
        <v>0</v>
      </c>
      <c r="AQ765" s="101">
        <f t="shared" si="150"/>
        <v>0</v>
      </c>
    </row>
    <row r="766" spans="14:43" ht="15.6">
      <c r="N766" s="39" t="s">
        <v>27</v>
      </c>
      <c r="O766" s="39" t="s">
        <v>448</v>
      </c>
      <c r="P766" t="s">
        <v>790</v>
      </c>
      <c r="Q766" s="39"/>
      <c r="V766" s="37">
        <f>IF(AND(V476&lt;=$I191,V476&gt;$J191),Tarification!$D$8,IF(AND(V476&lt;=$J191,V476&gt;$K191),Tarification!$D$9,IF(AND(V476&lt;=$K191,V476&gt;0),Tarification!$D$10,0)))</f>
        <v>0</v>
      </c>
      <c r="W766" s="37">
        <f>IF(AND(W476&lt;=$I191,W476&gt;$J191),Tarification!$D$8,IF(AND(W476&lt;=$J191,W476&gt;$K191),Tarification!$D$9,IF(AND(W476&lt;=$K191,W476&gt;0),Tarification!$D$10,0)))</f>
        <v>0</v>
      </c>
      <c r="X766" s="37">
        <f>IF(AND(X476&lt;=$I191,X476&gt;$J191),Tarification!$D$8,IF(AND(X476&lt;=$J191,X476&gt;$K191),Tarification!$D$9,IF(AND(X476&lt;=$K191,X476&gt;0),Tarification!$D$10,0)))</f>
        <v>0</v>
      </c>
      <c r="Y766" s="37">
        <f>IF(AND(Y476&lt;=$I191,Y476&gt;$J191),Tarification!$D$8,IF(AND(Y476&lt;=$J191,Y476&gt;$K191),Tarification!$D$9,IF(AND(Y476&lt;=$K191,Y476&gt;0),Tarification!$D$10,0)))</f>
        <v>0</v>
      </c>
      <c r="Z766" s="37">
        <f>IF(AND(Z476&lt;=$I191,Z476&gt;$J191),Tarification!$D$8,IF(AND(Z476&lt;=$J191,Z476&gt;$K191),Tarification!$D$9,IF(AND(Z476&lt;=$K191,Z476&gt;0),Tarification!$D$10,0)))</f>
        <v>0</v>
      </c>
      <c r="AA766" s="37">
        <f>IF(AND(AA476&lt;=$I191,AA476&gt;$J191),Tarification!$D$8,IF(AND(AA476&lt;=$J191,AA476&gt;$K191),Tarification!$D$9,IF(AND(AA476&lt;=$K191,AA476&gt;0),Tarification!$D$10,0)))</f>
        <v>0</v>
      </c>
      <c r="AB766" s="37">
        <f>IF(AND(AB476&lt;=$I191,AB476&gt;$J191),Tarification!$D$8,IF(AND(AB476&lt;=$J191,AB476&gt;$K191),Tarification!$D$9,IF(AND(AB476&lt;=$K191,AB476&gt;0),Tarification!$D$10,0)))</f>
        <v>0</v>
      </c>
      <c r="AC766" s="37">
        <f>IF(AND(AC476&lt;=$I191,AC476&gt;$J191),Tarification!$D$8,IF(AND(AC476&lt;=$J191,AC476&gt;$K191),Tarification!$D$9,IF(AND(AC476&lt;=$K191,AC476&gt;0),Tarification!$D$10,0)))</f>
        <v>0</v>
      </c>
      <c r="AD766" s="37">
        <f>IF(AND(AD476&lt;=$I191,AD476&gt;$J191),Tarification!$D$8,IF(AND(AD476&lt;=$J191,AD476&gt;$K191),Tarification!$D$9,IF(AND(AD476&lt;=$K191,AD476&gt;0),Tarification!$D$10,0)))</f>
        <v>0</v>
      </c>
      <c r="AE766" s="37">
        <f>IF(AND(AE476&lt;=$I191,AE476&gt;$J191),Tarification!$D$8,IF(AND(AE476&lt;=$J191,AE476&gt;$K191),Tarification!$D$9,IF(AND(AE476&lt;=$K191,AE476&gt;0),Tarification!$D$10,0)))</f>
        <v>0</v>
      </c>
      <c r="AF766" s="37">
        <f>IF(AND(AF476&lt;=$I191,AF476&gt;$J191),Tarification!$D$8,IF(AND(AF476&lt;=$J191,AF476&gt;$K191),Tarification!$D$9,IF(AND(AF476&lt;=$K191,AF476&gt;0),Tarification!$D$10,0)))</f>
        <v>0</v>
      </c>
      <c r="AG766" s="37">
        <f>IF(AND(AG476&lt;=$I191,AG476&gt;$J191),Tarification!$D$8,IF(AND(AG476&lt;=$J191,AG476&gt;$K191),Tarification!$D$9,IF(AND(AG476&lt;=$K191,AG476&gt;0),Tarification!$D$10,0)))</f>
        <v>0</v>
      </c>
      <c r="AH766" s="37">
        <f>IF(AND(AH476&lt;=$I191,AH476&gt;$J191),Tarification!$D$8,IF(AND(AH476&lt;=$J191,AH476&gt;$K191),Tarification!$D$9,IF(AND(AH476&lt;=$K191,AH476&gt;0),Tarification!$D$10,0)))</f>
        <v>0</v>
      </c>
      <c r="AI766" s="37">
        <f>IF(AND(AI476&lt;=$I191,AI476&gt;$J191),Tarification!$D$8,IF(AND(AI476&lt;=$J191,AI476&gt;$K191),Tarification!$D$9,IF(AND(AI476&lt;=$K191,AI476&gt;0),Tarification!$D$10,0)))</f>
        <v>0</v>
      </c>
      <c r="AJ766" s="37">
        <f>IF(AND(AJ476&lt;=$I191,AJ476&gt;$J191),Tarification!$D$8,IF(AND(AJ476&lt;=$J191,AJ476&gt;$K191),Tarification!$D$9,IF(AND(AJ476&lt;=$K191,AJ476&gt;0),Tarification!$D$10,0)))</f>
        <v>0</v>
      </c>
      <c r="AK766" s="37">
        <f>IF(AND(AK476&lt;=$I191,AK476&gt;$J191),Tarification!$D$8,IF(AND(AK476&lt;=$J191,AK476&gt;$K191),Tarification!$D$9,IF(AND(AK476&lt;=$K191,AK476&gt;0),Tarification!$D$10,0)))</f>
        <v>0</v>
      </c>
      <c r="AL766" s="37">
        <f>IF(AND(AL476&lt;=$I191,AL476&gt;$J191),Tarification!$D$8,IF(AND(AL476&lt;=$J191,AL476&gt;$K191),Tarification!$D$9,IF(AND(AL476&lt;=$K191,AL476&gt;0),Tarification!$D$10,0)))</f>
        <v>0</v>
      </c>
      <c r="AM766" s="37">
        <f>IF(AND(AM476&lt;=$I191,AM476&gt;$J191),Tarification!$D$8,IF(AND(AM476&lt;=$J191,AM476&gt;$K191),Tarification!$D$9,IF(AND(AM476&lt;=$K191,AM476&gt;0),Tarification!$D$10,0)))</f>
        <v>0</v>
      </c>
      <c r="AN766" s="37">
        <f>IF(AND(AN476&lt;=$I191,AN476&gt;$J191),Tarification!$D$8,IF(AND(AN476&lt;=$J191,AN476&gt;$K191),Tarification!$D$9,IF(AND(AN476&lt;=$K191,AN476&gt;0),Tarification!$D$10,0)))</f>
        <v>0</v>
      </c>
      <c r="AQ766" s="101">
        <f t="shared" si="150"/>
        <v>0</v>
      </c>
    </row>
    <row r="767" spans="14:43" ht="15.6">
      <c r="N767" s="39" t="s">
        <v>27</v>
      </c>
      <c r="O767" s="39" t="s">
        <v>479</v>
      </c>
      <c r="P767" t="s">
        <v>791</v>
      </c>
      <c r="Q767" s="39"/>
      <c r="V767" s="37">
        <f>IF(AND(V477&lt;=$I192,V477&gt;$J192),Tarification!$D$8,IF(AND(V477&lt;=$J192,V477&gt;$K192),Tarification!$D$9,IF(AND(V477&lt;=$K192,V477&gt;0),Tarification!$D$10,0)))</f>
        <v>0</v>
      </c>
      <c r="W767" s="37">
        <f>IF(AND(W477&lt;=$I192,W477&gt;$J192),Tarification!$D$8,IF(AND(W477&lt;=$J192,W477&gt;$K192),Tarification!$D$9,IF(AND(W477&lt;=$K192,W477&gt;0),Tarification!$D$10,0)))</f>
        <v>0</v>
      </c>
      <c r="X767" s="37">
        <f>IF(AND(X477&lt;=$I192,X477&gt;$J192),Tarification!$D$8,IF(AND(X477&lt;=$J192,X477&gt;$K192),Tarification!$D$9,IF(AND(X477&lt;=$K192,X477&gt;0),Tarification!$D$10,0)))</f>
        <v>0</v>
      </c>
      <c r="Y767" s="37">
        <f>IF(AND(Y477&lt;=$I192,Y477&gt;$J192),Tarification!$D$8,IF(AND(Y477&lt;=$J192,Y477&gt;$K192),Tarification!$D$9,IF(AND(Y477&lt;=$K192,Y477&gt;0),Tarification!$D$10,0)))</f>
        <v>0</v>
      </c>
      <c r="Z767" s="37">
        <f>IF(AND(Z477&lt;=$I192,Z477&gt;$J192),Tarification!$D$8,IF(AND(Z477&lt;=$J192,Z477&gt;$K192),Tarification!$D$9,IF(AND(Z477&lt;=$K192,Z477&gt;0),Tarification!$D$10,0)))</f>
        <v>0</v>
      </c>
      <c r="AA767" s="37">
        <f>IF(AND(AA477&lt;=$I192,AA477&gt;$J192),Tarification!$D$8,IF(AND(AA477&lt;=$J192,AA477&gt;$K192),Tarification!$D$9,IF(AND(AA477&lt;=$K192,AA477&gt;0),Tarification!$D$10,0)))</f>
        <v>0</v>
      </c>
      <c r="AB767" s="37">
        <f>IF(AND(AB477&lt;=$I192,AB477&gt;$J192),Tarification!$D$8,IF(AND(AB477&lt;=$J192,AB477&gt;$K192),Tarification!$D$9,IF(AND(AB477&lt;=$K192,AB477&gt;0),Tarification!$D$10,0)))</f>
        <v>0</v>
      </c>
      <c r="AC767" s="37">
        <f>IF(AND(AC477&lt;=$I192,AC477&gt;$J192),Tarification!$D$8,IF(AND(AC477&lt;=$J192,AC477&gt;$K192),Tarification!$D$9,IF(AND(AC477&lt;=$K192,AC477&gt;0),Tarification!$D$10,0)))</f>
        <v>0</v>
      </c>
      <c r="AD767" s="37">
        <f>IF(AND(AD477&lt;=$I192,AD477&gt;$J192),Tarification!$D$8,IF(AND(AD477&lt;=$J192,AD477&gt;$K192),Tarification!$D$9,IF(AND(AD477&lt;=$K192,AD477&gt;0),Tarification!$D$10,0)))</f>
        <v>0</v>
      </c>
      <c r="AE767" s="37">
        <f>IF(AND(AE477&lt;=$I192,AE477&gt;$J192),Tarification!$D$8,IF(AND(AE477&lt;=$J192,AE477&gt;$K192),Tarification!$D$9,IF(AND(AE477&lt;=$K192,AE477&gt;0),Tarification!$D$10,0)))</f>
        <v>0</v>
      </c>
      <c r="AF767" s="37">
        <f>IF(AND(AF477&lt;=$I192,AF477&gt;$J192),Tarification!$D$8,IF(AND(AF477&lt;=$J192,AF477&gt;$K192),Tarification!$D$9,IF(AND(AF477&lt;=$K192,AF477&gt;0),Tarification!$D$10,0)))</f>
        <v>0</v>
      </c>
      <c r="AG767" s="37">
        <f>IF(AND(AG477&lt;=$I192,AG477&gt;$J192),Tarification!$D$8,IF(AND(AG477&lt;=$J192,AG477&gt;$K192),Tarification!$D$9,IF(AND(AG477&lt;=$K192,AG477&gt;0),Tarification!$D$10,0)))</f>
        <v>0</v>
      </c>
      <c r="AH767" s="37">
        <f>IF(AND(AH477&lt;=$I192,AH477&gt;$J192),Tarification!$D$8,IF(AND(AH477&lt;=$J192,AH477&gt;$K192),Tarification!$D$9,IF(AND(AH477&lt;=$K192,AH477&gt;0),Tarification!$D$10,0)))</f>
        <v>0</v>
      </c>
      <c r="AI767" s="37">
        <f>IF(AND(AI477&lt;=$I192,AI477&gt;$J192),Tarification!$D$8,IF(AND(AI477&lt;=$J192,AI477&gt;$K192),Tarification!$D$9,IF(AND(AI477&lt;=$K192,AI477&gt;0),Tarification!$D$10,0)))</f>
        <v>0</v>
      </c>
      <c r="AJ767" s="37">
        <f>IF(AND(AJ477&lt;=$I192,AJ477&gt;$J192),Tarification!$D$8,IF(AND(AJ477&lt;=$J192,AJ477&gt;$K192),Tarification!$D$9,IF(AND(AJ477&lt;=$K192,AJ477&gt;0),Tarification!$D$10,0)))</f>
        <v>50000</v>
      </c>
      <c r="AK767" s="37">
        <f>IF(AND(AK477&lt;=$I192,AK477&gt;$J192),Tarification!$D$8,IF(AND(AK477&lt;=$J192,AK477&gt;$K192),Tarification!$D$9,IF(AND(AK477&lt;=$K192,AK477&gt;0),Tarification!$D$10,0)))</f>
        <v>0</v>
      </c>
      <c r="AL767" s="37">
        <f>IF(AND(AL477&lt;=$I192,AL477&gt;$J192),Tarification!$D$8,IF(AND(AL477&lt;=$J192,AL477&gt;$K192),Tarification!$D$9,IF(AND(AL477&lt;=$K192,AL477&gt;0),Tarification!$D$10,0)))</f>
        <v>0</v>
      </c>
      <c r="AM767" s="37">
        <f>IF(AND(AM477&lt;=$I192,AM477&gt;$J192),Tarification!$D$8,IF(AND(AM477&lt;=$J192,AM477&gt;$K192),Tarification!$D$9,IF(AND(AM477&lt;=$K192,AM477&gt;0),Tarification!$D$10,0)))</f>
        <v>0</v>
      </c>
      <c r="AN767" s="37">
        <f>IF(AND(AN477&lt;=$I192,AN477&gt;$J192),Tarification!$D$8,IF(AND(AN477&lt;=$J192,AN477&gt;$K192),Tarification!$D$9,IF(AND(AN477&lt;=$K192,AN477&gt;0),Tarification!$D$10,0)))</f>
        <v>0</v>
      </c>
      <c r="AQ767" s="101">
        <f t="shared" si="150"/>
        <v>2631.5789473684213</v>
      </c>
    </row>
    <row r="768" spans="14:43" ht="15.6">
      <c r="N768" s="39" t="s">
        <v>27</v>
      </c>
      <c r="O768" s="39" t="s">
        <v>448</v>
      </c>
      <c r="P768" t="s">
        <v>792</v>
      </c>
      <c r="Q768" s="39"/>
      <c r="V768" s="37">
        <f>IF(AND(V478&lt;=$I193,V478&gt;$J193),Tarification!$D$8,IF(AND(V478&lt;=$J193,V478&gt;$K193),Tarification!$D$9,IF(AND(V478&lt;=$K193,V478&gt;0),Tarification!$D$10,0)))</f>
        <v>0</v>
      </c>
      <c r="W768" s="37">
        <f>IF(AND(W478&lt;=$I193,W478&gt;$J193),Tarification!$D$8,IF(AND(W478&lt;=$J193,W478&gt;$K193),Tarification!$D$9,IF(AND(W478&lt;=$K193,W478&gt;0),Tarification!$D$10,0)))</f>
        <v>0</v>
      </c>
      <c r="X768" s="37">
        <f>IF(AND(X478&lt;=$I193,X478&gt;$J193),Tarification!$D$8,IF(AND(X478&lt;=$J193,X478&gt;$K193),Tarification!$D$9,IF(AND(X478&lt;=$K193,X478&gt;0),Tarification!$D$10,0)))</f>
        <v>0</v>
      </c>
      <c r="Y768" s="37">
        <f>IF(AND(Y478&lt;=$I193,Y478&gt;$J193),Tarification!$D$8,IF(AND(Y478&lt;=$J193,Y478&gt;$K193),Tarification!$D$9,IF(AND(Y478&lt;=$K193,Y478&gt;0),Tarification!$D$10,0)))</f>
        <v>0</v>
      </c>
      <c r="Z768" s="37">
        <f>IF(AND(Z478&lt;=$I193,Z478&gt;$J193),Tarification!$D$8,IF(AND(Z478&lt;=$J193,Z478&gt;$K193),Tarification!$D$9,IF(AND(Z478&lt;=$K193,Z478&gt;0),Tarification!$D$10,0)))</f>
        <v>0</v>
      </c>
      <c r="AA768" s="37">
        <f>IF(AND(AA478&lt;=$I193,AA478&gt;$J193),Tarification!$D$8,IF(AND(AA478&lt;=$J193,AA478&gt;$K193),Tarification!$D$9,IF(AND(AA478&lt;=$K193,AA478&gt;0),Tarification!$D$10,0)))</f>
        <v>0</v>
      </c>
      <c r="AB768" s="37">
        <f>IF(AND(AB478&lt;=$I193,AB478&gt;$J193),Tarification!$D$8,IF(AND(AB478&lt;=$J193,AB478&gt;$K193),Tarification!$D$9,IF(AND(AB478&lt;=$K193,AB478&gt;0),Tarification!$D$10,0)))</f>
        <v>0</v>
      </c>
      <c r="AC768" s="37">
        <f>IF(AND(AC478&lt;=$I193,AC478&gt;$J193),Tarification!$D$8,IF(AND(AC478&lt;=$J193,AC478&gt;$K193),Tarification!$D$9,IF(AND(AC478&lt;=$K193,AC478&gt;0),Tarification!$D$10,0)))</f>
        <v>0</v>
      </c>
      <c r="AD768" s="37">
        <f>IF(AND(AD478&lt;=$I193,AD478&gt;$J193),Tarification!$D$8,IF(AND(AD478&lt;=$J193,AD478&gt;$K193),Tarification!$D$9,IF(AND(AD478&lt;=$K193,AD478&gt;0),Tarification!$D$10,0)))</f>
        <v>0</v>
      </c>
      <c r="AE768" s="37">
        <f>IF(AND(AE478&lt;=$I193,AE478&gt;$J193),Tarification!$D$8,IF(AND(AE478&lt;=$J193,AE478&gt;$K193),Tarification!$D$9,IF(AND(AE478&lt;=$K193,AE478&gt;0),Tarification!$D$10,0)))</f>
        <v>0</v>
      </c>
      <c r="AF768" s="37">
        <f>IF(AND(AF478&lt;=$I193,AF478&gt;$J193),Tarification!$D$8,IF(AND(AF478&lt;=$J193,AF478&gt;$K193),Tarification!$D$9,IF(AND(AF478&lt;=$K193,AF478&gt;0),Tarification!$D$10,0)))</f>
        <v>0</v>
      </c>
      <c r="AG768" s="37">
        <f>IF(AND(AG478&lt;=$I193,AG478&gt;$J193),Tarification!$D$8,IF(AND(AG478&lt;=$J193,AG478&gt;$K193),Tarification!$D$9,IF(AND(AG478&lt;=$K193,AG478&gt;0),Tarification!$D$10,0)))</f>
        <v>0</v>
      </c>
      <c r="AH768" s="37">
        <f>IF(AND(AH478&lt;=$I193,AH478&gt;$J193),Tarification!$D$8,IF(AND(AH478&lt;=$J193,AH478&gt;$K193),Tarification!$D$9,IF(AND(AH478&lt;=$K193,AH478&gt;0),Tarification!$D$10,0)))</f>
        <v>0</v>
      </c>
      <c r="AI768" s="37">
        <f>IF(AND(AI478&lt;=$I193,AI478&gt;$J193),Tarification!$D$8,IF(AND(AI478&lt;=$J193,AI478&gt;$K193),Tarification!$D$9,IF(AND(AI478&lt;=$K193,AI478&gt;0),Tarification!$D$10,0)))</f>
        <v>0</v>
      </c>
      <c r="AJ768" s="37">
        <f>IF(AND(AJ478&lt;=$I193,AJ478&gt;$J193),Tarification!$D$8,IF(AND(AJ478&lt;=$J193,AJ478&gt;$K193),Tarification!$D$9,IF(AND(AJ478&lt;=$K193,AJ478&gt;0),Tarification!$D$10,0)))</f>
        <v>0</v>
      </c>
      <c r="AK768" s="37">
        <f>IF(AND(AK478&lt;=$I193,AK478&gt;$J193),Tarification!$D$8,IF(AND(AK478&lt;=$J193,AK478&gt;$K193),Tarification!$D$9,IF(AND(AK478&lt;=$K193,AK478&gt;0),Tarification!$D$10,0)))</f>
        <v>0</v>
      </c>
      <c r="AL768" s="37">
        <f>IF(AND(AL478&lt;=$I193,AL478&gt;$J193),Tarification!$D$8,IF(AND(AL478&lt;=$J193,AL478&gt;$K193),Tarification!$D$9,IF(AND(AL478&lt;=$K193,AL478&gt;0),Tarification!$D$10,0)))</f>
        <v>0</v>
      </c>
      <c r="AM768" s="37">
        <f>IF(AND(AM478&lt;=$I193,AM478&gt;$J193),Tarification!$D$8,IF(AND(AM478&lt;=$J193,AM478&gt;$K193),Tarification!$D$9,IF(AND(AM478&lt;=$K193,AM478&gt;0),Tarification!$D$10,0)))</f>
        <v>0</v>
      </c>
      <c r="AN768" s="37">
        <f>IF(AND(AN478&lt;=$I193,AN478&gt;$J193),Tarification!$D$8,IF(AND(AN478&lt;=$J193,AN478&gt;$K193),Tarification!$D$9,IF(AND(AN478&lt;=$K193,AN478&gt;0),Tarification!$D$10,0)))</f>
        <v>0</v>
      </c>
      <c r="AQ768" s="101">
        <f t="shared" si="150"/>
        <v>0</v>
      </c>
    </row>
    <row r="769" spans="14:43" ht="15.6">
      <c r="N769" s="39" t="s">
        <v>27</v>
      </c>
      <c r="O769" s="39" t="s">
        <v>484</v>
      </c>
      <c r="P769" t="s">
        <v>793</v>
      </c>
      <c r="Q769" s="39"/>
      <c r="V769" s="37">
        <f>IF(AND(V479&lt;=$I194,V479&gt;$J194),Tarification!$D$8,IF(AND(V479&lt;=$J194,V479&gt;$K194),Tarification!$D$9,IF(AND(V479&lt;=$K194,V479&gt;0),Tarification!$D$10,0)))</f>
        <v>0</v>
      </c>
      <c r="W769" s="37">
        <f>IF(AND(W479&lt;=$I194,W479&gt;$J194),Tarification!$D$8,IF(AND(W479&lt;=$J194,W479&gt;$K194),Tarification!$D$9,IF(AND(W479&lt;=$K194,W479&gt;0),Tarification!$D$10,0)))</f>
        <v>0</v>
      </c>
      <c r="X769" s="37">
        <f>IF(AND(X479&lt;=$I194,X479&gt;$J194),Tarification!$D$8,IF(AND(X479&lt;=$J194,X479&gt;$K194),Tarification!$D$9,IF(AND(X479&lt;=$K194,X479&gt;0),Tarification!$D$10,0)))</f>
        <v>0</v>
      </c>
      <c r="Y769" s="37">
        <f>IF(AND(Y479&lt;=$I194,Y479&gt;$J194),Tarification!$D$8,IF(AND(Y479&lt;=$J194,Y479&gt;$K194),Tarification!$D$9,IF(AND(Y479&lt;=$K194,Y479&gt;0),Tarification!$D$10,0)))</f>
        <v>0</v>
      </c>
      <c r="Z769" s="37">
        <f>IF(AND(Z479&lt;=$I194,Z479&gt;$J194),Tarification!$D$8,IF(AND(Z479&lt;=$J194,Z479&gt;$K194),Tarification!$D$9,IF(AND(Z479&lt;=$K194,Z479&gt;0),Tarification!$D$10,0)))</f>
        <v>0</v>
      </c>
      <c r="AA769" s="37">
        <f>IF(AND(AA479&lt;=$I194,AA479&gt;$J194),Tarification!$D$8,IF(AND(AA479&lt;=$J194,AA479&gt;$K194),Tarification!$D$9,IF(AND(AA479&lt;=$K194,AA479&gt;0),Tarification!$D$10,0)))</f>
        <v>0</v>
      </c>
      <c r="AB769" s="37">
        <f>IF(AND(AB479&lt;=$I194,AB479&gt;$J194),Tarification!$D$8,IF(AND(AB479&lt;=$J194,AB479&gt;$K194),Tarification!$D$9,IF(AND(AB479&lt;=$K194,AB479&gt;0),Tarification!$D$10,0)))</f>
        <v>0</v>
      </c>
      <c r="AC769" s="37">
        <f>IF(AND(AC479&lt;=$I194,AC479&gt;$J194),Tarification!$D$8,IF(AND(AC479&lt;=$J194,AC479&gt;$K194),Tarification!$D$9,IF(AND(AC479&lt;=$K194,AC479&gt;0),Tarification!$D$10,0)))</f>
        <v>0</v>
      </c>
      <c r="AD769" s="37">
        <f>IF(AND(AD479&lt;=$I194,AD479&gt;$J194),Tarification!$D$8,IF(AND(AD479&lt;=$J194,AD479&gt;$K194),Tarification!$D$9,IF(AND(AD479&lt;=$K194,AD479&gt;0),Tarification!$D$10,0)))</f>
        <v>0</v>
      </c>
      <c r="AE769" s="37">
        <f>IF(AND(AE479&lt;=$I194,AE479&gt;$J194),Tarification!$D$8,IF(AND(AE479&lt;=$J194,AE479&gt;$K194),Tarification!$D$9,IF(AND(AE479&lt;=$K194,AE479&gt;0),Tarification!$D$10,0)))</f>
        <v>0</v>
      </c>
      <c r="AF769" s="37">
        <f>IF(AND(AF479&lt;=$I194,AF479&gt;$J194),Tarification!$D$8,IF(AND(AF479&lt;=$J194,AF479&gt;$K194),Tarification!$D$9,IF(AND(AF479&lt;=$K194,AF479&gt;0),Tarification!$D$10,0)))</f>
        <v>0</v>
      </c>
      <c r="AG769" s="37">
        <f>IF(AND(AG479&lt;=$I194,AG479&gt;$J194),Tarification!$D$8,IF(AND(AG479&lt;=$J194,AG479&gt;$K194),Tarification!$D$9,IF(AND(AG479&lt;=$K194,AG479&gt;0),Tarification!$D$10,0)))</f>
        <v>0</v>
      </c>
      <c r="AH769" s="37">
        <f>IF(AND(AH479&lt;=$I194,AH479&gt;$J194),Tarification!$D$8,IF(AND(AH479&lt;=$J194,AH479&gt;$K194),Tarification!$D$9,IF(AND(AH479&lt;=$K194,AH479&gt;0),Tarification!$D$10,0)))</f>
        <v>0</v>
      </c>
      <c r="AI769" s="37">
        <f>IF(AND(AI479&lt;=$I194,AI479&gt;$J194),Tarification!$D$8,IF(AND(AI479&lt;=$J194,AI479&gt;$K194),Tarification!$D$9,IF(AND(AI479&lt;=$K194,AI479&gt;0),Tarification!$D$10,0)))</f>
        <v>0</v>
      </c>
      <c r="AJ769" s="37">
        <f>IF(AND(AJ479&lt;=$I194,AJ479&gt;$J194),Tarification!$D$8,IF(AND(AJ479&lt;=$J194,AJ479&gt;$K194),Tarification!$D$9,IF(AND(AJ479&lt;=$K194,AJ479&gt;0),Tarification!$D$10,0)))</f>
        <v>0</v>
      </c>
      <c r="AK769" s="37">
        <f>IF(AND(AK479&lt;=$I194,AK479&gt;$J194),Tarification!$D$8,IF(AND(AK479&lt;=$J194,AK479&gt;$K194),Tarification!$D$9,IF(AND(AK479&lt;=$K194,AK479&gt;0),Tarification!$D$10,0)))</f>
        <v>0</v>
      </c>
      <c r="AL769" s="37">
        <f>IF(AND(AL479&lt;=$I194,AL479&gt;$J194),Tarification!$D$8,IF(AND(AL479&lt;=$J194,AL479&gt;$K194),Tarification!$D$9,IF(AND(AL479&lt;=$K194,AL479&gt;0),Tarification!$D$10,0)))</f>
        <v>0</v>
      </c>
      <c r="AM769" s="37">
        <f>IF(AND(AM479&lt;=$I194,AM479&gt;$J194),Tarification!$D$8,IF(AND(AM479&lt;=$J194,AM479&gt;$K194),Tarification!$D$9,IF(AND(AM479&lt;=$K194,AM479&gt;0),Tarification!$D$10,0)))</f>
        <v>0</v>
      </c>
      <c r="AN769" s="37">
        <f>IF(AND(AN479&lt;=$I194,AN479&gt;$J194),Tarification!$D$8,IF(AND(AN479&lt;=$J194,AN479&gt;$K194),Tarification!$D$9,IF(AND(AN479&lt;=$K194,AN479&gt;0),Tarification!$D$10,0)))</f>
        <v>0</v>
      </c>
      <c r="AQ769" s="101">
        <f t="shared" si="150"/>
        <v>0</v>
      </c>
    </row>
    <row r="770" spans="14:43" ht="15.6">
      <c r="N770" s="39" t="s">
        <v>27</v>
      </c>
      <c r="O770" s="39" t="s">
        <v>464</v>
      </c>
      <c r="P770" t="s">
        <v>794</v>
      </c>
      <c r="Q770" s="39"/>
      <c r="V770" s="37">
        <f>IF(AND(V480&lt;=$I195,V480&gt;$J195),Tarification!$D$8,IF(AND(V480&lt;=$J195,V480&gt;$K195),Tarification!$D$9,IF(AND(V480&lt;=$K195,V480&gt;0),Tarification!$D$10,0)))</f>
        <v>0</v>
      </c>
      <c r="W770" s="37">
        <f>IF(AND(W480&lt;=$I195,W480&gt;$J195),Tarification!$D$8,IF(AND(W480&lt;=$J195,W480&gt;$K195),Tarification!$D$9,IF(AND(W480&lt;=$K195,W480&gt;0),Tarification!$D$10,0)))</f>
        <v>0</v>
      </c>
      <c r="X770" s="37">
        <f>IF(AND(X480&lt;=$I195,X480&gt;$J195),Tarification!$D$8,IF(AND(X480&lt;=$J195,X480&gt;$K195),Tarification!$D$9,IF(AND(X480&lt;=$K195,X480&gt;0),Tarification!$D$10,0)))</f>
        <v>0</v>
      </c>
      <c r="Y770" s="37">
        <f>IF(AND(Y480&lt;=$I195,Y480&gt;$J195),Tarification!$D$8,IF(AND(Y480&lt;=$J195,Y480&gt;$K195),Tarification!$D$9,IF(AND(Y480&lt;=$K195,Y480&gt;0),Tarification!$D$10,0)))</f>
        <v>0</v>
      </c>
      <c r="Z770" s="37">
        <f>IF(AND(Z480&lt;=$I195,Z480&gt;$J195),Tarification!$D$8,IF(AND(Z480&lt;=$J195,Z480&gt;$K195),Tarification!$D$9,IF(AND(Z480&lt;=$K195,Z480&gt;0),Tarification!$D$10,0)))</f>
        <v>0</v>
      </c>
      <c r="AA770" s="37">
        <f>IF(AND(AA480&lt;=$I195,AA480&gt;$J195),Tarification!$D$8,IF(AND(AA480&lt;=$J195,AA480&gt;$K195),Tarification!$D$9,IF(AND(AA480&lt;=$K195,AA480&gt;0),Tarification!$D$10,0)))</f>
        <v>0</v>
      </c>
      <c r="AB770" s="37">
        <f>IF(AND(AB480&lt;=$I195,AB480&gt;$J195),Tarification!$D$8,IF(AND(AB480&lt;=$J195,AB480&gt;$K195),Tarification!$D$9,IF(AND(AB480&lt;=$K195,AB480&gt;0),Tarification!$D$10,0)))</f>
        <v>0</v>
      </c>
      <c r="AC770" s="37">
        <f>IF(AND(AC480&lt;=$I195,AC480&gt;$J195),Tarification!$D$8,IF(AND(AC480&lt;=$J195,AC480&gt;$K195),Tarification!$D$9,IF(AND(AC480&lt;=$K195,AC480&gt;0),Tarification!$D$10,0)))</f>
        <v>0</v>
      </c>
      <c r="AD770" s="37">
        <f>IF(AND(AD480&lt;=$I195,AD480&gt;$J195),Tarification!$D$8,IF(AND(AD480&lt;=$J195,AD480&gt;$K195),Tarification!$D$9,IF(AND(AD480&lt;=$K195,AD480&gt;0),Tarification!$D$10,0)))</f>
        <v>50000</v>
      </c>
      <c r="AE770" s="37">
        <f>IF(AND(AE480&lt;=$I195,AE480&gt;$J195),Tarification!$D$8,IF(AND(AE480&lt;=$J195,AE480&gt;$K195),Tarification!$D$9,IF(AND(AE480&lt;=$K195,AE480&gt;0),Tarification!$D$10,0)))</f>
        <v>0</v>
      </c>
      <c r="AF770" s="37">
        <f>IF(AND(AF480&lt;=$I195,AF480&gt;$J195),Tarification!$D$8,IF(AND(AF480&lt;=$J195,AF480&gt;$K195),Tarification!$D$9,IF(AND(AF480&lt;=$K195,AF480&gt;0),Tarification!$D$10,0)))</f>
        <v>0</v>
      </c>
      <c r="AG770" s="37">
        <f>IF(AND(AG480&lt;=$I195,AG480&gt;$J195),Tarification!$D$8,IF(AND(AG480&lt;=$J195,AG480&gt;$K195),Tarification!$D$9,IF(AND(AG480&lt;=$K195,AG480&gt;0),Tarification!$D$10,0)))</f>
        <v>0</v>
      </c>
      <c r="AH770" s="37">
        <f>IF(AND(AH480&lt;=$I195,AH480&gt;$J195),Tarification!$D$8,IF(AND(AH480&lt;=$J195,AH480&gt;$K195),Tarification!$D$9,IF(AND(AH480&lt;=$K195,AH480&gt;0),Tarification!$D$10,0)))</f>
        <v>0</v>
      </c>
      <c r="AI770" s="37">
        <f>IF(AND(AI480&lt;=$I195,AI480&gt;$J195),Tarification!$D$8,IF(AND(AI480&lt;=$J195,AI480&gt;$K195),Tarification!$D$9,IF(AND(AI480&lt;=$K195,AI480&gt;0),Tarification!$D$10,0)))</f>
        <v>0</v>
      </c>
      <c r="AJ770" s="37">
        <f>IF(AND(AJ480&lt;=$I195,AJ480&gt;$J195),Tarification!$D$8,IF(AND(AJ480&lt;=$J195,AJ480&gt;$K195),Tarification!$D$9,IF(AND(AJ480&lt;=$K195,AJ480&gt;0),Tarification!$D$10,0)))</f>
        <v>50000</v>
      </c>
      <c r="AK770" s="37">
        <f>IF(AND(AK480&lt;=$I195,AK480&gt;$J195),Tarification!$D$8,IF(AND(AK480&lt;=$J195,AK480&gt;$K195),Tarification!$D$9,IF(AND(AK480&lt;=$K195,AK480&gt;0),Tarification!$D$10,0)))</f>
        <v>0</v>
      </c>
      <c r="AL770" s="37">
        <f>IF(AND(AL480&lt;=$I195,AL480&gt;$J195),Tarification!$D$8,IF(AND(AL480&lt;=$J195,AL480&gt;$K195),Tarification!$D$9,IF(AND(AL480&lt;=$K195,AL480&gt;0),Tarification!$D$10,0)))</f>
        <v>0</v>
      </c>
      <c r="AM770" s="37">
        <f>IF(AND(AM480&lt;=$I195,AM480&gt;$J195),Tarification!$D$8,IF(AND(AM480&lt;=$J195,AM480&gt;$K195),Tarification!$D$9,IF(AND(AM480&lt;=$K195,AM480&gt;0),Tarification!$D$10,0)))</f>
        <v>0</v>
      </c>
      <c r="AN770" s="37">
        <f>IF(AND(AN480&lt;=$I195,AN480&gt;$J195),Tarification!$D$8,IF(AND(AN480&lt;=$J195,AN480&gt;$K195),Tarification!$D$9,IF(AND(AN480&lt;=$K195,AN480&gt;0),Tarification!$D$10,0)))</f>
        <v>0</v>
      </c>
      <c r="AQ770" s="101">
        <f t="shared" si="150"/>
        <v>5263.1578947368425</v>
      </c>
    </row>
    <row r="771" spans="14:43" ht="15.6">
      <c r="N771" s="39" t="s">
        <v>27</v>
      </c>
      <c r="O771" s="39" t="s">
        <v>464</v>
      </c>
      <c r="P771" t="s">
        <v>795</v>
      </c>
      <c r="Q771" s="39"/>
      <c r="V771" s="37">
        <f>IF(AND(V481&lt;=$I196,V481&gt;$J196),Tarification!$D$8,IF(AND(V481&lt;=$J196,V481&gt;$K196),Tarification!$D$9,IF(AND(V481&lt;=$K196,V481&gt;0),Tarification!$D$10,0)))</f>
        <v>0</v>
      </c>
      <c r="W771" s="37">
        <f>IF(AND(W481&lt;=$I196,W481&gt;$J196),Tarification!$D$8,IF(AND(W481&lt;=$J196,W481&gt;$K196),Tarification!$D$9,IF(AND(W481&lt;=$K196,W481&gt;0),Tarification!$D$10,0)))</f>
        <v>0</v>
      </c>
      <c r="X771" s="37">
        <f>IF(AND(X481&lt;=$I196,X481&gt;$J196),Tarification!$D$8,IF(AND(X481&lt;=$J196,X481&gt;$K196),Tarification!$D$9,IF(AND(X481&lt;=$K196,X481&gt;0),Tarification!$D$10,0)))</f>
        <v>0</v>
      </c>
      <c r="Y771" s="37">
        <f>IF(AND(Y481&lt;=$I196,Y481&gt;$J196),Tarification!$D$8,IF(AND(Y481&lt;=$J196,Y481&gt;$K196),Tarification!$D$9,IF(AND(Y481&lt;=$K196,Y481&gt;0),Tarification!$D$10,0)))</f>
        <v>0</v>
      </c>
      <c r="Z771" s="37">
        <f>IF(AND(Z481&lt;=$I196,Z481&gt;$J196),Tarification!$D$8,IF(AND(Z481&lt;=$J196,Z481&gt;$K196),Tarification!$D$9,IF(AND(Z481&lt;=$K196,Z481&gt;0),Tarification!$D$10,0)))</f>
        <v>0</v>
      </c>
      <c r="AA771" s="37">
        <f>IF(AND(AA481&lt;=$I196,AA481&gt;$J196),Tarification!$D$8,IF(AND(AA481&lt;=$J196,AA481&gt;$K196),Tarification!$D$9,IF(AND(AA481&lt;=$K196,AA481&gt;0),Tarification!$D$10,0)))</f>
        <v>0</v>
      </c>
      <c r="AB771" s="37">
        <f>IF(AND(AB481&lt;=$I196,AB481&gt;$J196),Tarification!$D$8,IF(AND(AB481&lt;=$J196,AB481&gt;$K196),Tarification!$D$9,IF(AND(AB481&lt;=$K196,AB481&gt;0),Tarification!$D$10,0)))</f>
        <v>0</v>
      </c>
      <c r="AC771" s="37">
        <f>IF(AND(AC481&lt;=$I196,AC481&gt;$J196),Tarification!$D$8,IF(AND(AC481&lt;=$J196,AC481&gt;$K196),Tarification!$D$9,IF(AND(AC481&lt;=$K196,AC481&gt;0),Tarification!$D$10,0)))</f>
        <v>0</v>
      </c>
      <c r="AD771" s="37">
        <f>IF(AND(AD481&lt;=$I196,AD481&gt;$J196),Tarification!$D$8,IF(AND(AD481&lt;=$J196,AD481&gt;$K196),Tarification!$D$9,IF(AND(AD481&lt;=$K196,AD481&gt;0),Tarification!$D$10,0)))</f>
        <v>50000</v>
      </c>
      <c r="AE771" s="37">
        <f>IF(AND(AE481&lt;=$I196,AE481&gt;$J196),Tarification!$D$8,IF(AND(AE481&lt;=$J196,AE481&gt;$K196),Tarification!$D$9,IF(AND(AE481&lt;=$K196,AE481&gt;0),Tarification!$D$10,0)))</f>
        <v>0</v>
      </c>
      <c r="AF771" s="37">
        <f>IF(AND(AF481&lt;=$I196,AF481&gt;$J196),Tarification!$D$8,IF(AND(AF481&lt;=$J196,AF481&gt;$K196),Tarification!$D$9,IF(AND(AF481&lt;=$K196,AF481&gt;0),Tarification!$D$10,0)))</f>
        <v>0</v>
      </c>
      <c r="AG771" s="37">
        <f>IF(AND(AG481&lt;=$I196,AG481&gt;$J196),Tarification!$D$8,IF(AND(AG481&lt;=$J196,AG481&gt;$K196),Tarification!$D$9,IF(AND(AG481&lt;=$K196,AG481&gt;0),Tarification!$D$10,0)))</f>
        <v>0</v>
      </c>
      <c r="AH771" s="37">
        <f>IF(AND(AH481&lt;=$I196,AH481&gt;$J196),Tarification!$D$8,IF(AND(AH481&lt;=$J196,AH481&gt;$K196),Tarification!$D$9,IF(AND(AH481&lt;=$K196,AH481&gt;0),Tarification!$D$10,0)))</f>
        <v>0</v>
      </c>
      <c r="AI771" s="37">
        <f>IF(AND(AI481&lt;=$I196,AI481&gt;$J196),Tarification!$D$8,IF(AND(AI481&lt;=$J196,AI481&gt;$K196),Tarification!$D$9,IF(AND(AI481&lt;=$K196,AI481&gt;0),Tarification!$D$10,0)))</f>
        <v>0</v>
      </c>
      <c r="AJ771" s="37">
        <f>IF(AND(AJ481&lt;=$I196,AJ481&gt;$J196),Tarification!$D$8,IF(AND(AJ481&lt;=$J196,AJ481&gt;$K196),Tarification!$D$9,IF(AND(AJ481&lt;=$K196,AJ481&gt;0),Tarification!$D$10,0)))</f>
        <v>0</v>
      </c>
      <c r="AK771" s="37">
        <f>IF(AND(AK481&lt;=$I196,AK481&gt;$J196),Tarification!$D$8,IF(AND(AK481&lt;=$J196,AK481&gt;$K196),Tarification!$D$9,IF(AND(AK481&lt;=$K196,AK481&gt;0),Tarification!$D$10,0)))</f>
        <v>0</v>
      </c>
      <c r="AL771" s="37">
        <f>IF(AND(AL481&lt;=$I196,AL481&gt;$J196),Tarification!$D$8,IF(AND(AL481&lt;=$J196,AL481&gt;$K196),Tarification!$D$9,IF(AND(AL481&lt;=$K196,AL481&gt;0),Tarification!$D$10,0)))</f>
        <v>0</v>
      </c>
      <c r="AM771" s="37">
        <f>IF(AND(AM481&lt;=$I196,AM481&gt;$J196),Tarification!$D$8,IF(AND(AM481&lt;=$J196,AM481&gt;$K196),Tarification!$D$9,IF(AND(AM481&lt;=$K196,AM481&gt;0),Tarification!$D$10,0)))</f>
        <v>0</v>
      </c>
      <c r="AN771" s="37">
        <f>IF(AND(AN481&lt;=$I196,AN481&gt;$J196),Tarification!$D$8,IF(AND(AN481&lt;=$J196,AN481&gt;$K196),Tarification!$D$9,IF(AND(AN481&lt;=$K196,AN481&gt;0),Tarification!$D$10,0)))</f>
        <v>0</v>
      </c>
      <c r="AQ771" s="101">
        <f t="shared" si="150"/>
        <v>2631.5789473684213</v>
      </c>
    </row>
    <row r="772" spans="14:43" ht="15.6">
      <c r="N772" s="39" t="s">
        <v>27</v>
      </c>
      <c r="O772" s="39" t="s">
        <v>448</v>
      </c>
      <c r="P772" t="s">
        <v>796</v>
      </c>
      <c r="Q772" s="39"/>
      <c r="V772" s="37">
        <f>IF(AND(V482&lt;=$I197,V482&gt;$J197),Tarification!$D$8,IF(AND(V482&lt;=$J197,V482&gt;$K197),Tarification!$D$9,IF(AND(V482&lt;=$K197,V482&gt;0),Tarification!$D$10,0)))</f>
        <v>0</v>
      </c>
      <c r="W772" s="37">
        <f>IF(AND(W482&lt;=$I197,W482&gt;$J197),Tarification!$D$8,IF(AND(W482&lt;=$J197,W482&gt;$K197),Tarification!$D$9,IF(AND(W482&lt;=$K197,W482&gt;0),Tarification!$D$10,0)))</f>
        <v>0</v>
      </c>
      <c r="X772" s="37">
        <f>IF(AND(X482&lt;=$I197,X482&gt;$J197),Tarification!$D$8,IF(AND(X482&lt;=$J197,X482&gt;$K197),Tarification!$D$9,IF(AND(X482&lt;=$K197,X482&gt;0),Tarification!$D$10,0)))</f>
        <v>0</v>
      </c>
      <c r="Y772" s="37">
        <f>IF(AND(Y482&lt;=$I197,Y482&gt;$J197),Tarification!$D$8,IF(AND(Y482&lt;=$J197,Y482&gt;$K197),Tarification!$D$9,IF(AND(Y482&lt;=$K197,Y482&gt;0),Tarification!$D$10,0)))</f>
        <v>0</v>
      </c>
      <c r="Z772" s="37">
        <f>IF(AND(Z482&lt;=$I197,Z482&gt;$J197),Tarification!$D$8,IF(AND(Z482&lt;=$J197,Z482&gt;$K197),Tarification!$D$9,IF(AND(Z482&lt;=$K197,Z482&gt;0),Tarification!$D$10,0)))</f>
        <v>0</v>
      </c>
      <c r="AA772" s="37">
        <f>IF(AND(AA482&lt;=$I197,AA482&gt;$J197),Tarification!$D$8,IF(AND(AA482&lt;=$J197,AA482&gt;$K197),Tarification!$D$9,IF(AND(AA482&lt;=$K197,AA482&gt;0),Tarification!$D$10,0)))</f>
        <v>0</v>
      </c>
      <c r="AB772" s="37">
        <f>IF(AND(AB482&lt;=$I197,AB482&gt;$J197),Tarification!$D$8,IF(AND(AB482&lt;=$J197,AB482&gt;$K197),Tarification!$D$9,IF(AND(AB482&lt;=$K197,AB482&gt;0),Tarification!$D$10,0)))</f>
        <v>0</v>
      </c>
      <c r="AC772" s="37">
        <f>IF(AND(AC482&lt;=$I197,AC482&gt;$J197),Tarification!$D$8,IF(AND(AC482&lt;=$J197,AC482&gt;$K197),Tarification!$D$9,IF(AND(AC482&lt;=$K197,AC482&gt;0),Tarification!$D$10,0)))</f>
        <v>0</v>
      </c>
      <c r="AD772" s="37">
        <f>IF(AND(AD482&lt;=$I197,AD482&gt;$J197),Tarification!$D$8,IF(AND(AD482&lt;=$J197,AD482&gt;$K197),Tarification!$D$9,IF(AND(AD482&lt;=$K197,AD482&gt;0),Tarification!$D$10,0)))</f>
        <v>50000</v>
      </c>
      <c r="AE772" s="37">
        <f>IF(AND(AE482&lt;=$I197,AE482&gt;$J197),Tarification!$D$8,IF(AND(AE482&lt;=$J197,AE482&gt;$K197),Tarification!$D$9,IF(AND(AE482&lt;=$K197,AE482&gt;0),Tarification!$D$10,0)))</f>
        <v>0</v>
      </c>
      <c r="AF772" s="37">
        <f>IF(AND(AF482&lt;=$I197,AF482&gt;$J197),Tarification!$D$8,IF(AND(AF482&lt;=$J197,AF482&gt;$K197),Tarification!$D$9,IF(AND(AF482&lt;=$K197,AF482&gt;0),Tarification!$D$10,0)))</f>
        <v>0</v>
      </c>
      <c r="AG772" s="37">
        <f>IF(AND(AG482&lt;=$I197,AG482&gt;$J197),Tarification!$D$8,IF(AND(AG482&lt;=$J197,AG482&gt;$K197),Tarification!$D$9,IF(AND(AG482&lt;=$K197,AG482&gt;0),Tarification!$D$10,0)))</f>
        <v>0</v>
      </c>
      <c r="AH772" s="37">
        <f>IF(AND(AH482&lt;=$I197,AH482&gt;$J197),Tarification!$D$8,IF(AND(AH482&lt;=$J197,AH482&gt;$K197),Tarification!$D$9,IF(AND(AH482&lt;=$K197,AH482&gt;0),Tarification!$D$10,0)))</f>
        <v>0</v>
      </c>
      <c r="AI772" s="37">
        <f>IF(AND(AI482&lt;=$I197,AI482&gt;$J197),Tarification!$D$8,IF(AND(AI482&lt;=$J197,AI482&gt;$K197),Tarification!$D$9,IF(AND(AI482&lt;=$K197,AI482&gt;0),Tarification!$D$10,0)))</f>
        <v>0</v>
      </c>
      <c r="AJ772" s="37">
        <f>IF(AND(AJ482&lt;=$I197,AJ482&gt;$J197),Tarification!$D$8,IF(AND(AJ482&lt;=$J197,AJ482&gt;$K197),Tarification!$D$9,IF(AND(AJ482&lt;=$K197,AJ482&gt;0),Tarification!$D$10,0)))</f>
        <v>0</v>
      </c>
      <c r="AK772" s="37">
        <f>IF(AND(AK482&lt;=$I197,AK482&gt;$J197),Tarification!$D$8,IF(AND(AK482&lt;=$J197,AK482&gt;$K197),Tarification!$D$9,IF(AND(AK482&lt;=$K197,AK482&gt;0),Tarification!$D$10,0)))</f>
        <v>0</v>
      </c>
      <c r="AL772" s="37">
        <f>IF(AND(AL482&lt;=$I197,AL482&gt;$J197),Tarification!$D$8,IF(AND(AL482&lt;=$J197,AL482&gt;$K197),Tarification!$D$9,IF(AND(AL482&lt;=$K197,AL482&gt;0),Tarification!$D$10,0)))</f>
        <v>0</v>
      </c>
      <c r="AM772" s="37">
        <f>IF(AND(AM482&lt;=$I197,AM482&gt;$J197),Tarification!$D$8,IF(AND(AM482&lt;=$J197,AM482&gt;$K197),Tarification!$D$9,IF(AND(AM482&lt;=$K197,AM482&gt;0),Tarification!$D$10,0)))</f>
        <v>0</v>
      </c>
      <c r="AN772" s="37">
        <f>IF(AND(AN482&lt;=$I197,AN482&gt;$J197),Tarification!$D$8,IF(AND(AN482&lt;=$J197,AN482&gt;$K197),Tarification!$D$9,IF(AND(AN482&lt;=$K197,AN482&gt;0),Tarification!$D$10,0)))</f>
        <v>0</v>
      </c>
      <c r="AQ772" s="101">
        <f t="shared" si="150"/>
        <v>2631.5789473684213</v>
      </c>
    </row>
    <row r="773" spans="14:43" ht="15.6">
      <c r="N773" s="39" t="s">
        <v>27</v>
      </c>
      <c r="O773" s="39" t="s">
        <v>177</v>
      </c>
      <c r="P773" t="s">
        <v>797</v>
      </c>
      <c r="Q773" s="39"/>
      <c r="V773" s="37">
        <f>IF(AND(V483&lt;=$I198,V483&gt;$J198),Tarification!$D$8,IF(AND(V483&lt;=$J198,V483&gt;$K198),Tarification!$D$9,IF(AND(V483&lt;=$K198,V483&gt;0),Tarification!$D$10,0)))</f>
        <v>0</v>
      </c>
      <c r="W773" s="37">
        <f>IF(AND(W483&lt;=$I198,W483&gt;$J198),Tarification!$D$8,IF(AND(W483&lt;=$J198,W483&gt;$K198),Tarification!$D$9,IF(AND(W483&lt;=$K198,W483&gt;0),Tarification!$D$10,0)))</f>
        <v>0</v>
      </c>
      <c r="X773" s="37">
        <f>IF(AND(X483&lt;=$I198,X483&gt;$J198),Tarification!$D$8,IF(AND(X483&lt;=$J198,X483&gt;$K198),Tarification!$D$9,IF(AND(X483&lt;=$K198,X483&gt;0),Tarification!$D$10,0)))</f>
        <v>0</v>
      </c>
      <c r="Y773" s="37">
        <f>IF(AND(Y483&lt;=$I198,Y483&gt;$J198),Tarification!$D$8,IF(AND(Y483&lt;=$J198,Y483&gt;$K198),Tarification!$D$9,IF(AND(Y483&lt;=$K198,Y483&gt;0),Tarification!$D$10,0)))</f>
        <v>0</v>
      </c>
      <c r="Z773" s="37">
        <f>IF(AND(Z483&lt;=$I198,Z483&gt;$J198),Tarification!$D$8,IF(AND(Z483&lt;=$J198,Z483&gt;$K198),Tarification!$D$9,IF(AND(Z483&lt;=$K198,Z483&gt;0),Tarification!$D$10,0)))</f>
        <v>0</v>
      </c>
      <c r="AA773" s="37">
        <f>IF(AND(AA483&lt;=$I198,AA483&gt;$J198),Tarification!$D$8,IF(AND(AA483&lt;=$J198,AA483&gt;$K198),Tarification!$D$9,IF(AND(AA483&lt;=$K198,AA483&gt;0),Tarification!$D$10,0)))</f>
        <v>0</v>
      </c>
      <c r="AB773" s="37">
        <f>IF(AND(AB483&lt;=$I198,AB483&gt;$J198),Tarification!$D$8,IF(AND(AB483&lt;=$J198,AB483&gt;$K198),Tarification!$D$9,IF(AND(AB483&lt;=$K198,AB483&gt;0),Tarification!$D$10,0)))</f>
        <v>0</v>
      </c>
      <c r="AC773" s="37">
        <f>IF(AND(AC483&lt;=$I198,AC483&gt;$J198),Tarification!$D$8,IF(AND(AC483&lt;=$J198,AC483&gt;$K198),Tarification!$D$9,IF(AND(AC483&lt;=$K198,AC483&gt;0),Tarification!$D$10,0)))</f>
        <v>0</v>
      </c>
      <c r="AD773" s="37">
        <f>IF(AND(AD483&lt;=$I198,AD483&gt;$J198),Tarification!$D$8,IF(AND(AD483&lt;=$J198,AD483&gt;$K198),Tarification!$D$9,IF(AND(AD483&lt;=$K198,AD483&gt;0),Tarification!$D$10,0)))</f>
        <v>0</v>
      </c>
      <c r="AE773" s="37">
        <f>IF(AND(AE483&lt;=$I198,AE483&gt;$J198),Tarification!$D$8,IF(AND(AE483&lt;=$J198,AE483&gt;$K198),Tarification!$D$9,IF(AND(AE483&lt;=$K198,AE483&gt;0),Tarification!$D$10,0)))</f>
        <v>0</v>
      </c>
      <c r="AF773" s="37">
        <f>IF(AND(AF483&lt;=$I198,AF483&gt;$J198),Tarification!$D$8,IF(AND(AF483&lt;=$J198,AF483&gt;$K198),Tarification!$D$9,IF(AND(AF483&lt;=$K198,AF483&gt;0),Tarification!$D$10,0)))</f>
        <v>0</v>
      </c>
      <c r="AG773" s="37">
        <f>IF(AND(AG483&lt;=$I198,AG483&gt;$J198),Tarification!$D$8,IF(AND(AG483&lt;=$J198,AG483&gt;$K198),Tarification!$D$9,IF(AND(AG483&lt;=$K198,AG483&gt;0),Tarification!$D$10,0)))</f>
        <v>0</v>
      </c>
      <c r="AH773" s="37">
        <f>IF(AND(AH483&lt;=$I198,AH483&gt;$J198),Tarification!$D$8,IF(AND(AH483&lt;=$J198,AH483&gt;$K198),Tarification!$D$9,IF(AND(AH483&lt;=$K198,AH483&gt;0),Tarification!$D$10,0)))</f>
        <v>0</v>
      </c>
      <c r="AI773" s="37">
        <f>IF(AND(AI483&lt;=$I198,AI483&gt;$J198),Tarification!$D$8,IF(AND(AI483&lt;=$J198,AI483&gt;$K198),Tarification!$D$9,IF(AND(AI483&lt;=$K198,AI483&gt;0),Tarification!$D$10,0)))</f>
        <v>0</v>
      </c>
      <c r="AJ773" s="37">
        <f>IF(AND(AJ483&lt;=$I198,AJ483&gt;$J198),Tarification!$D$8,IF(AND(AJ483&lt;=$J198,AJ483&gt;$K198),Tarification!$D$9,IF(AND(AJ483&lt;=$K198,AJ483&gt;0),Tarification!$D$10,0)))</f>
        <v>0</v>
      </c>
      <c r="AK773" s="37">
        <f>IF(AND(AK483&lt;=$I198,AK483&gt;$J198),Tarification!$D$8,IF(AND(AK483&lt;=$J198,AK483&gt;$K198),Tarification!$D$9,IF(AND(AK483&lt;=$K198,AK483&gt;0),Tarification!$D$10,0)))</f>
        <v>0</v>
      </c>
      <c r="AL773" s="37">
        <f>IF(AND(AL483&lt;=$I198,AL483&gt;$J198),Tarification!$D$8,IF(AND(AL483&lt;=$J198,AL483&gt;$K198),Tarification!$D$9,IF(AND(AL483&lt;=$K198,AL483&gt;0),Tarification!$D$10,0)))</f>
        <v>0</v>
      </c>
      <c r="AM773" s="37">
        <f>IF(AND(AM483&lt;=$I198,AM483&gt;$J198),Tarification!$D$8,IF(AND(AM483&lt;=$J198,AM483&gt;$K198),Tarification!$D$9,IF(AND(AM483&lt;=$K198,AM483&gt;0),Tarification!$D$10,0)))</f>
        <v>0</v>
      </c>
      <c r="AN773" s="37">
        <f>IF(AND(AN483&lt;=$I198,AN483&gt;$J198),Tarification!$D$8,IF(AND(AN483&lt;=$J198,AN483&gt;$K198),Tarification!$D$9,IF(AND(AN483&lt;=$K198,AN483&gt;0),Tarification!$D$10,0)))</f>
        <v>0</v>
      </c>
      <c r="AQ773" s="101">
        <f t="shared" si="150"/>
        <v>0</v>
      </c>
    </row>
    <row r="774" spans="14:43" ht="15.6">
      <c r="N774" s="39" t="s">
        <v>27</v>
      </c>
      <c r="O774" s="39" t="s">
        <v>184</v>
      </c>
      <c r="P774" t="s">
        <v>798</v>
      </c>
      <c r="Q774" s="39"/>
      <c r="V774" s="37">
        <f>IF(AND(V484&lt;=$I199,V484&gt;$J199),Tarification!$D$8,IF(AND(V484&lt;=$J199,V484&gt;$K199),Tarification!$D$9,IF(AND(V484&lt;=$K199,V484&gt;0),Tarification!$D$10,0)))</f>
        <v>0</v>
      </c>
      <c r="W774" s="37">
        <f>IF(AND(W484&lt;=$I199,W484&gt;$J199),Tarification!$D$8,IF(AND(W484&lt;=$J199,W484&gt;$K199),Tarification!$D$9,IF(AND(W484&lt;=$K199,W484&gt;0),Tarification!$D$10,0)))</f>
        <v>0</v>
      </c>
      <c r="X774" s="37">
        <f>IF(AND(X484&lt;=$I199,X484&gt;$J199),Tarification!$D$8,IF(AND(X484&lt;=$J199,X484&gt;$K199),Tarification!$D$9,IF(AND(X484&lt;=$K199,X484&gt;0),Tarification!$D$10,0)))</f>
        <v>0</v>
      </c>
      <c r="Y774" s="37">
        <f>IF(AND(Y484&lt;=$I199,Y484&gt;$J199),Tarification!$D$8,IF(AND(Y484&lt;=$J199,Y484&gt;$K199),Tarification!$D$9,IF(AND(Y484&lt;=$K199,Y484&gt;0),Tarification!$D$10,0)))</f>
        <v>0</v>
      </c>
      <c r="Z774" s="37">
        <f>IF(AND(Z484&lt;=$I199,Z484&gt;$J199),Tarification!$D$8,IF(AND(Z484&lt;=$J199,Z484&gt;$K199),Tarification!$D$9,IF(AND(Z484&lt;=$K199,Z484&gt;0),Tarification!$D$10,0)))</f>
        <v>0</v>
      </c>
      <c r="AA774" s="37">
        <f>IF(AND(AA484&lt;=$I199,AA484&gt;$J199),Tarification!$D$8,IF(AND(AA484&lt;=$J199,AA484&gt;$K199),Tarification!$D$9,IF(AND(AA484&lt;=$K199,AA484&gt;0),Tarification!$D$10,0)))</f>
        <v>0</v>
      </c>
      <c r="AB774" s="37">
        <f>IF(AND(AB484&lt;=$I199,AB484&gt;$J199),Tarification!$D$8,IF(AND(AB484&lt;=$J199,AB484&gt;$K199),Tarification!$D$9,IF(AND(AB484&lt;=$K199,AB484&gt;0),Tarification!$D$10,0)))</f>
        <v>0</v>
      </c>
      <c r="AC774" s="37">
        <f>IF(AND(AC484&lt;=$I199,AC484&gt;$J199),Tarification!$D$8,IF(AND(AC484&lt;=$J199,AC484&gt;$K199),Tarification!$D$9,IF(AND(AC484&lt;=$K199,AC484&gt;0),Tarification!$D$10,0)))</f>
        <v>0</v>
      </c>
      <c r="AD774" s="37">
        <f>IF(AND(AD484&lt;=$I199,AD484&gt;$J199),Tarification!$D$8,IF(AND(AD484&lt;=$J199,AD484&gt;$K199),Tarification!$D$9,IF(AND(AD484&lt;=$K199,AD484&gt;0),Tarification!$D$10,0)))</f>
        <v>0</v>
      </c>
      <c r="AE774" s="37">
        <f>IF(AND(AE484&lt;=$I199,AE484&gt;$J199),Tarification!$D$8,IF(AND(AE484&lt;=$J199,AE484&gt;$K199),Tarification!$D$9,IF(AND(AE484&lt;=$K199,AE484&gt;0),Tarification!$D$10,0)))</f>
        <v>0</v>
      </c>
      <c r="AF774" s="37">
        <f>IF(AND(AF484&lt;=$I199,AF484&gt;$J199),Tarification!$D$8,IF(AND(AF484&lt;=$J199,AF484&gt;$K199),Tarification!$D$9,IF(AND(AF484&lt;=$K199,AF484&gt;0),Tarification!$D$10,0)))</f>
        <v>0</v>
      </c>
      <c r="AG774" s="37">
        <f>IF(AND(AG484&lt;=$I199,AG484&gt;$J199),Tarification!$D$8,IF(AND(AG484&lt;=$J199,AG484&gt;$K199),Tarification!$D$9,IF(AND(AG484&lt;=$K199,AG484&gt;0),Tarification!$D$10,0)))</f>
        <v>0</v>
      </c>
      <c r="AH774" s="37">
        <f>IF(AND(AH484&lt;=$I199,AH484&gt;$J199),Tarification!$D$8,IF(AND(AH484&lt;=$J199,AH484&gt;$K199),Tarification!$D$9,IF(AND(AH484&lt;=$K199,AH484&gt;0),Tarification!$D$10,0)))</f>
        <v>0</v>
      </c>
      <c r="AI774" s="37">
        <f>IF(AND(AI484&lt;=$I199,AI484&gt;$J199),Tarification!$D$8,IF(AND(AI484&lt;=$J199,AI484&gt;$K199),Tarification!$D$9,IF(AND(AI484&lt;=$K199,AI484&gt;0),Tarification!$D$10,0)))</f>
        <v>0</v>
      </c>
      <c r="AJ774" s="37">
        <f>IF(AND(AJ484&lt;=$I199,AJ484&gt;$J199),Tarification!$D$8,IF(AND(AJ484&lt;=$J199,AJ484&gt;$K199),Tarification!$D$9,IF(AND(AJ484&lt;=$K199,AJ484&gt;0),Tarification!$D$10,0)))</f>
        <v>0</v>
      </c>
      <c r="AK774" s="37">
        <f>IF(AND(AK484&lt;=$I199,AK484&gt;$J199),Tarification!$D$8,IF(AND(AK484&lt;=$J199,AK484&gt;$K199),Tarification!$D$9,IF(AND(AK484&lt;=$K199,AK484&gt;0),Tarification!$D$10,0)))</f>
        <v>0</v>
      </c>
      <c r="AL774" s="37">
        <f>IF(AND(AL484&lt;=$I199,AL484&gt;$J199),Tarification!$D$8,IF(AND(AL484&lt;=$J199,AL484&gt;$K199),Tarification!$D$9,IF(AND(AL484&lt;=$K199,AL484&gt;0),Tarification!$D$10,0)))</f>
        <v>0</v>
      </c>
      <c r="AM774" s="37">
        <f>IF(AND(AM484&lt;=$I199,AM484&gt;$J199),Tarification!$D$8,IF(AND(AM484&lt;=$J199,AM484&gt;$K199),Tarification!$D$9,IF(AND(AM484&lt;=$K199,AM484&gt;0),Tarification!$D$10,0)))</f>
        <v>0</v>
      </c>
      <c r="AN774" s="37">
        <f>IF(AND(AN484&lt;=$I199,AN484&gt;$J199),Tarification!$D$8,IF(AND(AN484&lt;=$J199,AN484&gt;$K199),Tarification!$D$9,IF(AND(AN484&lt;=$K199,AN484&gt;0),Tarification!$D$10,0)))</f>
        <v>0</v>
      </c>
      <c r="AQ774" s="101">
        <f t="shared" si="150"/>
        <v>0</v>
      </c>
    </row>
    <row r="775" spans="14:43" ht="15.6">
      <c r="N775" s="39" t="s">
        <v>27</v>
      </c>
      <c r="O775" s="39" t="s">
        <v>489</v>
      </c>
      <c r="P775" t="s">
        <v>799</v>
      </c>
      <c r="Q775" s="39"/>
      <c r="V775" s="37">
        <f>IF(AND(V485&lt;=$I200,V485&gt;$J200),Tarification!$D$8,IF(AND(V485&lt;=$J200,V485&gt;$K200),Tarification!$D$9,IF(AND(V485&lt;=$K200,V485&gt;0),Tarification!$D$10,0)))</f>
        <v>0</v>
      </c>
      <c r="W775" s="37">
        <f>IF(AND(W485&lt;=$I200,W485&gt;$J200),Tarification!$D$8,IF(AND(W485&lt;=$J200,W485&gt;$K200),Tarification!$D$9,IF(AND(W485&lt;=$K200,W485&gt;0),Tarification!$D$10,0)))</f>
        <v>0</v>
      </c>
      <c r="X775" s="37">
        <f>IF(AND(X485&lt;=$I200,X485&gt;$J200),Tarification!$D$8,IF(AND(X485&lt;=$J200,X485&gt;$K200),Tarification!$D$9,IF(AND(X485&lt;=$K200,X485&gt;0),Tarification!$D$10,0)))</f>
        <v>0</v>
      </c>
      <c r="Y775" s="37">
        <f>IF(AND(Y485&lt;=$I200,Y485&gt;$J200),Tarification!$D$8,IF(AND(Y485&lt;=$J200,Y485&gt;$K200),Tarification!$D$9,IF(AND(Y485&lt;=$K200,Y485&gt;0),Tarification!$D$10,0)))</f>
        <v>0</v>
      </c>
      <c r="Z775" s="37">
        <f>IF(AND(Z485&lt;=$I200,Z485&gt;$J200),Tarification!$D$8,IF(AND(Z485&lt;=$J200,Z485&gt;$K200),Tarification!$D$9,IF(AND(Z485&lt;=$K200,Z485&gt;0),Tarification!$D$10,0)))</f>
        <v>0</v>
      </c>
      <c r="AA775" s="37">
        <f>IF(AND(AA485&lt;=$I200,AA485&gt;$J200),Tarification!$D$8,IF(AND(AA485&lt;=$J200,AA485&gt;$K200),Tarification!$D$9,IF(AND(AA485&lt;=$K200,AA485&gt;0),Tarification!$D$10,0)))</f>
        <v>0</v>
      </c>
      <c r="AB775" s="37">
        <f>IF(AND(AB485&lt;=$I200,AB485&gt;$J200),Tarification!$D$8,IF(AND(AB485&lt;=$J200,AB485&gt;$K200),Tarification!$D$9,IF(AND(AB485&lt;=$K200,AB485&gt;0),Tarification!$D$10,0)))</f>
        <v>0</v>
      </c>
      <c r="AC775" s="37">
        <f>IF(AND(AC485&lt;=$I200,AC485&gt;$J200),Tarification!$D$8,IF(AND(AC485&lt;=$J200,AC485&gt;$K200),Tarification!$D$9,IF(AND(AC485&lt;=$K200,AC485&gt;0),Tarification!$D$10,0)))</f>
        <v>0</v>
      </c>
      <c r="AD775" s="37">
        <f>IF(AND(AD485&lt;=$I200,AD485&gt;$J200),Tarification!$D$8,IF(AND(AD485&lt;=$J200,AD485&gt;$K200),Tarification!$D$9,IF(AND(AD485&lt;=$K200,AD485&gt;0),Tarification!$D$10,0)))</f>
        <v>0</v>
      </c>
      <c r="AE775" s="37">
        <f>IF(AND(AE485&lt;=$I200,AE485&gt;$J200),Tarification!$D$8,IF(AND(AE485&lt;=$J200,AE485&gt;$K200),Tarification!$D$9,IF(AND(AE485&lt;=$K200,AE485&gt;0),Tarification!$D$10,0)))</f>
        <v>0</v>
      </c>
      <c r="AF775" s="37">
        <f>IF(AND(AF485&lt;=$I200,AF485&gt;$J200),Tarification!$D$8,IF(AND(AF485&lt;=$J200,AF485&gt;$K200),Tarification!$D$9,IF(AND(AF485&lt;=$K200,AF485&gt;0),Tarification!$D$10,0)))</f>
        <v>0</v>
      </c>
      <c r="AG775" s="37">
        <f>IF(AND(AG485&lt;=$I200,AG485&gt;$J200),Tarification!$D$8,IF(AND(AG485&lt;=$J200,AG485&gt;$K200),Tarification!$D$9,IF(AND(AG485&lt;=$K200,AG485&gt;0),Tarification!$D$10,0)))</f>
        <v>0</v>
      </c>
      <c r="AH775" s="37">
        <f>IF(AND(AH485&lt;=$I200,AH485&gt;$J200),Tarification!$D$8,IF(AND(AH485&lt;=$J200,AH485&gt;$K200),Tarification!$D$9,IF(AND(AH485&lt;=$K200,AH485&gt;0),Tarification!$D$10,0)))</f>
        <v>0</v>
      </c>
      <c r="AI775" s="37">
        <f>IF(AND(AI485&lt;=$I200,AI485&gt;$J200),Tarification!$D$8,IF(AND(AI485&lt;=$J200,AI485&gt;$K200),Tarification!$D$9,IF(AND(AI485&lt;=$K200,AI485&gt;0),Tarification!$D$10,0)))</f>
        <v>0</v>
      </c>
      <c r="AJ775" s="37">
        <f>IF(AND(AJ485&lt;=$I200,AJ485&gt;$J200),Tarification!$D$8,IF(AND(AJ485&lt;=$J200,AJ485&gt;$K200),Tarification!$D$9,IF(AND(AJ485&lt;=$K200,AJ485&gt;0),Tarification!$D$10,0)))</f>
        <v>0</v>
      </c>
      <c r="AK775" s="37">
        <f>IF(AND(AK485&lt;=$I200,AK485&gt;$J200),Tarification!$D$8,IF(AND(AK485&lt;=$J200,AK485&gt;$K200),Tarification!$D$9,IF(AND(AK485&lt;=$K200,AK485&gt;0),Tarification!$D$10,0)))</f>
        <v>0</v>
      </c>
      <c r="AL775" s="37">
        <f>IF(AND(AL485&lt;=$I200,AL485&gt;$J200),Tarification!$D$8,IF(AND(AL485&lt;=$J200,AL485&gt;$K200),Tarification!$D$9,IF(AND(AL485&lt;=$K200,AL485&gt;0),Tarification!$D$10,0)))</f>
        <v>0</v>
      </c>
      <c r="AM775" s="37">
        <f>IF(AND(AM485&lt;=$I200,AM485&gt;$J200),Tarification!$D$8,IF(AND(AM485&lt;=$J200,AM485&gt;$K200),Tarification!$D$9,IF(AND(AM485&lt;=$K200,AM485&gt;0),Tarification!$D$10,0)))</f>
        <v>0</v>
      </c>
      <c r="AN775" s="37">
        <f>IF(AND(AN485&lt;=$I200,AN485&gt;$J200),Tarification!$D$8,IF(AND(AN485&lt;=$J200,AN485&gt;$K200),Tarification!$D$9,IF(AND(AN485&lt;=$K200,AN485&gt;0),Tarification!$D$10,0)))</f>
        <v>0</v>
      </c>
      <c r="AQ775" s="101">
        <f t="shared" si="150"/>
        <v>0</v>
      </c>
    </row>
    <row r="776" spans="14:43" ht="15.6">
      <c r="N776" s="39" t="s">
        <v>27</v>
      </c>
      <c r="O776" s="39" t="s">
        <v>448</v>
      </c>
      <c r="P776" t="s">
        <v>800</v>
      </c>
      <c r="Q776" s="39"/>
      <c r="V776" s="37">
        <f>IF(AND(V486&lt;=$I201,V486&gt;$J201),Tarification!$D$8,IF(AND(V486&lt;=$J201,V486&gt;$K201),Tarification!$D$9,IF(AND(V486&lt;=$K201,V486&gt;0),Tarification!$D$10,0)))</f>
        <v>0</v>
      </c>
      <c r="W776" s="37">
        <f>IF(AND(W486&lt;=$I201,W486&gt;$J201),Tarification!$D$8,IF(AND(W486&lt;=$J201,W486&gt;$K201),Tarification!$D$9,IF(AND(W486&lt;=$K201,W486&gt;0),Tarification!$D$10,0)))</f>
        <v>0</v>
      </c>
      <c r="X776" s="37">
        <f>IF(AND(X486&lt;=$I201,X486&gt;$J201),Tarification!$D$8,IF(AND(X486&lt;=$J201,X486&gt;$K201),Tarification!$D$9,IF(AND(X486&lt;=$K201,X486&gt;0),Tarification!$D$10,0)))</f>
        <v>0</v>
      </c>
      <c r="Y776" s="37">
        <f>IF(AND(Y486&lt;=$I201,Y486&gt;$J201),Tarification!$D$8,IF(AND(Y486&lt;=$J201,Y486&gt;$K201),Tarification!$D$9,IF(AND(Y486&lt;=$K201,Y486&gt;0),Tarification!$D$10,0)))</f>
        <v>0</v>
      </c>
      <c r="Z776" s="37">
        <f>IF(AND(Z486&lt;=$I201,Z486&gt;$J201),Tarification!$D$8,IF(AND(Z486&lt;=$J201,Z486&gt;$K201),Tarification!$D$9,IF(AND(Z486&lt;=$K201,Z486&gt;0),Tarification!$D$10,0)))</f>
        <v>0</v>
      </c>
      <c r="AA776" s="37">
        <f>IF(AND(AA486&lt;=$I201,AA486&gt;$J201),Tarification!$D$8,IF(AND(AA486&lt;=$J201,AA486&gt;$K201),Tarification!$D$9,IF(AND(AA486&lt;=$K201,AA486&gt;0),Tarification!$D$10,0)))</f>
        <v>0</v>
      </c>
      <c r="AB776" s="37">
        <f>IF(AND(AB486&lt;=$I201,AB486&gt;$J201),Tarification!$D$8,IF(AND(AB486&lt;=$J201,AB486&gt;$K201),Tarification!$D$9,IF(AND(AB486&lt;=$K201,AB486&gt;0),Tarification!$D$10,0)))</f>
        <v>0</v>
      </c>
      <c r="AC776" s="37">
        <f>IF(AND(AC486&lt;=$I201,AC486&gt;$J201),Tarification!$D$8,IF(AND(AC486&lt;=$J201,AC486&gt;$K201),Tarification!$D$9,IF(AND(AC486&lt;=$K201,AC486&gt;0),Tarification!$D$10,0)))</f>
        <v>0</v>
      </c>
      <c r="AD776" s="37">
        <f>IF(AND(AD486&lt;=$I201,AD486&gt;$J201),Tarification!$D$8,IF(AND(AD486&lt;=$J201,AD486&gt;$K201),Tarification!$D$9,IF(AND(AD486&lt;=$K201,AD486&gt;0),Tarification!$D$10,0)))</f>
        <v>0</v>
      </c>
      <c r="AE776" s="37">
        <f>IF(AND(AE486&lt;=$I201,AE486&gt;$J201),Tarification!$D$8,IF(AND(AE486&lt;=$J201,AE486&gt;$K201),Tarification!$D$9,IF(AND(AE486&lt;=$K201,AE486&gt;0),Tarification!$D$10,0)))</f>
        <v>0</v>
      </c>
      <c r="AF776" s="37">
        <f>IF(AND(AF486&lt;=$I201,AF486&gt;$J201),Tarification!$D$8,IF(AND(AF486&lt;=$J201,AF486&gt;$K201),Tarification!$D$9,IF(AND(AF486&lt;=$K201,AF486&gt;0),Tarification!$D$10,0)))</f>
        <v>0</v>
      </c>
      <c r="AG776" s="37">
        <f>IF(AND(AG486&lt;=$I201,AG486&gt;$J201),Tarification!$D$8,IF(AND(AG486&lt;=$J201,AG486&gt;$K201),Tarification!$D$9,IF(AND(AG486&lt;=$K201,AG486&gt;0),Tarification!$D$10,0)))</f>
        <v>0</v>
      </c>
      <c r="AH776" s="37">
        <f>IF(AND(AH486&lt;=$I201,AH486&gt;$J201),Tarification!$D$8,IF(AND(AH486&lt;=$J201,AH486&gt;$K201),Tarification!$D$9,IF(AND(AH486&lt;=$K201,AH486&gt;0),Tarification!$D$10,0)))</f>
        <v>0</v>
      </c>
      <c r="AI776" s="37">
        <f>IF(AND(AI486&lt;=$I201,AI486&gt;$J201),Tarification!$D$8,IF(AND(AI486&lt;=$J201,AI486&gt;$K201),Tarification!$D$9,IF(AND(AI486&lt;=$K201,AI486&gt;0),Tarification!$D$10,0)))</f>
        <v>0</v>
      </c>
      <c r="AJ776" s="37">
        <f>IF(AND(AJ486&lt;=$I201,AJ486&gt;$J201),Tarification!$D$8,IF(AND(AJ486&lt;=$J201,AJ486&gt;$K201),Tarification!$D$9,IF(AND(AJ486&lt;=$K201,AJ486&gt;0),Tarification!$D$10,0)))</f>
        <v>0</v>
      </c>
      <c r="AK776" s="37">
        <f>IF(AND(AK486&lt;=$I201,AK486&gt;$J201),Tarification!$D$8,IF(AND(AK486&lt;=$J201,AK486&gt;$K201),Tarification!$D$9,IF(AND(AK486&lt;=$K201,AK486&gt;0),Tarification!$D$10,0)))</f>
        <v>0</v>
      </c>
      <c r="AL776" s="37">
        <f>IF(AND(AL486&lt;=$I201,AL486&gt;$J201),Tarification!$D$8,IF(AND(AL486&lt;=$J201,AL486&gt;$K201),Tarification!$D$9,IF(AND(AL486&lt;=$K201,AL486&gt;0),Tarification!$D$10,0)))</f>
        <v>0</v>
      </c>
      <c r="AM776" s="37">
        <f>IF(AND(AM486&lt;=$I201,AM486&gt;$J201),Tarification!$D$8,IF(AND(AM486&lt;=$J201,AM486&gt;$K201),Tarification!$D$9,IF(AND(AM486&lt;=$K201,AM486&gt;0),Tarification!$D$10,0)))</f>
        <v>0</v>
      </c>
      <c r="AN776" s="37">
        <f>IF(AND(AN486&lt;=$I201,AN486&gt;$J201),Tarification!$D$8,IF(AND(AN486&lt;=$J201,AN486&gt;$K201),Tarification!$D$9,IF(AND(AN486&lt;=$K201,AN486&gt;0),Tarification!$D$10,0)))</f>
        <v>0</v>
      </c>
      <c r="AQ776" s="101">
        <f t="shared" ref="AQ776:AQ839" si="151">AVERAGE(V776:AN776)</f>
        <v>0</v>
      </c>
    </row>
    <row r="777" spans="14:43" ht="15.6">
      <c r="N777" s="39" t="s">
        <v>27</v>
      </c>
      <c r="O777" s="39" t="s">
        <v>448</v>
      </c>
      <c r="P777" t="s">
        <v>801</v>
      </c>
      <c r="Q777" s="39"/>
      <c r="V777" s="37">
        <f>IF(AND(V487&lt;=$I202,V487&gt;$J202),Tarification!$D$8,IF(AND(V487&lt;=$J202,V487&gt;$K202),Tarification!$D$9,IF(AND(V487&lt;=$K202,V487&gt;0),Tarification!$D$10,0)))</f>
        <v>0</v>
      </c>
      <c r="W777" s="37">
        <f>IF(AND(W487&lt;=$I202,W487&gt;$J202),Tarification!$D$8,IF(AND(W487&lt;=$J202,W487&gt;$K202),Tarification!$D$9,IF(AND(W487&lt;=$K202,W487&gt;0),Tarification!$D$10,0)))</f>
        <v>0</v>
      </c>
      <c r="X777" s="37">
        <f>IF(AND(X487&lt;=$I202,X487&gt;$J202),Tarification!$D$8,IF(AND(X487&lt;=$J202,X487&gt;$K202),Tarification!$D$9,IF(AND(X487&lt;=$K202,X487&gt;0),Tarification!$D$10,0)))</f>
        <v>0</v>
      </c>
      <c r="Y777" s="37">
        <f>IF(AND(Y487&lt;=$I202,Y487&gt;$J202),Tarification!$D$8,IF(AND(Y487&lt;=$J202,Y487&gt;$K202),Tarification!$D$9,IF(AND(Y487&lt;=$K202,Y487&gt;0),Tarification!$D$10,0)))</f>
        <v>0</v>
      </c>
      <c r="Z777" s="37">
        <f>IF(AND(Z487&lt;=$I202,Z487&gt;$J202),Tarification!$D$8,IF(AND(Z487&lt;=$J202,Z487&gt;$K202),Tarification!$D$9,IF(AND(Z487&lt;=$K202,Z487&gt;0),Tarification!$D$10,0)))</f>
        <v>0</v>
      </c>
      <c r="AA777" s="37">
        <f>IF(AND(AA487&lt;=$I202,AA487&gt;$J202),Tarification!$D$8,IF(AND(AA487&lt;=$J202,AA487&gt;$K202),Tarification!$D$9,IF(AND(AA487&lt;=$K202,AA487&gt;0),Tarification!$D$10,0)))</f>
        <v>0</v>
      </c>
      <c r="AB777" s="37">
        <f>IF(AND(AB487&lt;=$I202,AB487&gt;$J202),Tarification!$D$8,IF(AND(AB487&lt;=$J202,AB487&gt;$K202),Tarification!$D$9,IF(AND(AB487&lt;=$K202,AB487&gt;0),Tarification!$D$10,0)))</f>
        <v>0</v>
      </c>
      <c r="AC777" s="37">
        <f>IF(AND(AC487&lt;=$I202,AC487&gt;$J202),Tarification!$D$8,IF(AND(AC487&lt;=$J202,AC487&gt;$K202),Tarification!$D$9,IF(AND(AC487&lt;=$K202,AC487&gt;0),Tarification!$D$10,0)))</f>
        <v>0</v>
      </c>
      <c r="AD777" s="37">
        <f>IF(AND(AD487&lt;=$I202,AD487&gt;$J202),Tarification!$D$8,IF(AND(AD487&lt;=$J202,AD487&gt;$K202),Tarification!$D$9,IF(AND(AD487&lt;=$K202,AD487&gt;0),Tarification!$D$10,0)))</f>
        <v>50000</v>
      </c>
      <c r="AE777" s="37">
        <f>IF(AND(AE487&lt;=$I202,AE487&gt;$J202),Tarification!$D$8,IF(AND(AE487&lt;=$J202,AE487&gt;$K202),Tarification!$D$9,IF(AND(AE487&lt;=$K202,AE487&gt;0),Tarification!$D$10,0)))</f>
        <v>0</v>
      </c>
      <c r="AF777" s="37">
        <f>IF(AND(AF487&lt;=$I202,AF487&gt;$J202),Tarification!$D$8,IF(AND(AF487&lt;=$J202,AF487&gt;$K202),Tarification!$D$9,IF(AND(AF487&lt;=$K202,AF487&gt;0),Tarification!$D$10,0)))</f>
        <v>0</v>
      </c>
      <c r="AG777" s="37">
        <f>IF(AND(AG487&lt;=$I202,AG487&gt;$J202),Tarification!$D$8,IF(AND(AG487&lt;=$J202,AG487&gt;$K202),Tarification!$D$9,IF(AND(AG487&lt;=$K202,AG487&gt;0),Tarification!$D$10,0)))</f>
        <v>0</v>
      </c>
      <c r="AH777" s="37">
        <f>IF(AND(AH487&lt;=$I202,AH487&gt;$J202),Tarification!$D$8,IF(AND(AH487&lt;=$J202,AH487&gt;$K202),Tarification!$D$9,IF(AND(AH487&lt;=$K202,AH487&gt;0),Tarification!$D$10,0)))</f>
        <v>0</v>
      </c>
      <c r="AI777" s="37">
        <f>IF(AND(AI487&lt;=$I202,AI487&gt;$J202),Tarification!$D$8,IF(AND(AI487&lt;=$J202,AI487&gt;$K202),Tarification!$D$9,IF(AND(AI487&lt;=$K202,AI487&gt;0),Tarification!$D$10,0)))</f>
        <v>0</v>
      </c>
      <c r="AJ777" s="37">
        <f>IF(AND(AJ487&lt;=$I202,AJ487&gt;$J202),Tarification!$D$8,IF(AND(AJ487&lt;=$J202,AJ487&gt;$K202),Tarification!$D$9,IF(AND(AJ487&lt;=$K202,AJ487&gt;0),Tarification!$D$10,0)))</f>
        <v>0</v>
      </c>
      <c r="AK777" s="37">
        <f>IF(AND(AK487&lt;=$I202,AK487&gt;$J202),Tarification!$D$8,IF(AND(AK487&lt;=$J202,AK487&gt;$K202),Tarification!$D$9,IF(AND(AK487&lt;=$K202,AK487&gt;0),Tarification!$D$10,0)))</f>
        <v>0</v>
      </c>
      <c r="AL777" s="37">
        <f>IF(AND(AL487&lt;=$I202,AL487&gt;$J202),Tarification!$D$8,IF(AND(AL487&lt;=$J202,AL487&gt;$K202),Tarification!$D$9,IF(AND(AL487&lt;=$K202,AL487&gt;0),Tarification!$D$10,0)))</f>
        <v>0</v>
      </c>
      <c r="AM777" s="37">
        <f>IF(AND(AM487&lt;=$I202,AM487&gt;$J202),Tarification!$D$8,IF(AND(AM487&lt;=$J202,AM487&gt;$K202),Tarification!$D$9,IF(AND(AM487&lt;=$K202,AM487&gt;0),Tarification!$D$10,0)))</f>
        <v>0</v>
      </c>
      <c r="AN777" s="37">
        <f>IF(AND(AN487&lt;=$I202,AN487&gt;$J202),Tarification!$D$8,IF(AND(AN487&lt;=$J202,AN487&gt;$K202),Tarification!$D$9,IF(AND(AN487&lt;=$K202,AN487&gt;0),Tarification!$D$10,0)))</f>
        <v>0</v>
      </c>
      <c r="AQ777" s="101">
        <f t="shared" si="151"/>
        <v>2631.5789473684213</v>
      </c>
    </row>
    <row r="778" spans="14:43" ht="15.6">
      <c r="N778" s="39" t="s">
        <v>27</v>
      </c>
      <c r="O778" s="39" t="s">
        <v>475</v>
      </c>
      <c r="P778" t="s">
        <v>802</v>
      </c>
      <c r="Q778" s="39"/>
      <c r="V778" s="37">
        <f>IF(AND(V488&lt;=$I203,V488&gt;$J203),Tarification!$D$8,IF(AND(V488&lt;=$J203,V488&gt;$K203),Tarification!$D$9,IF(AND(V488&lt;=$K203,V488&gt;0),Tarification!$D$10,0)))</f>
        <v>0</v>
      </c>
      <c r="W778" s="37">
        <f>IF(AND(W488&lt;=$I203,W488&gt;$J203),Tarification!$D$8,IF(AND(W488&lt;=$J203,W488&gt;$K203),Tarification!$D$9,IF(AND(W488&lt;=$K203,W488&gt;0),Tarification!$D$10,0)))</f>
        <v>0</v>
      </c>
      <c r="X778" s="37">
        <f>IF(AND(X488&lt;=$I203,X488&gt;$J203),Tarification!$D$8,IF(AND(X488&lt;=$J203,X488&gt;$K203),Tarification!$D$9,IF(AND(X488&lt;=$K203,X488&gt;0),Tarification!$D$10,0)))</f>
        <v>0</v>
      </c>
      <c r="Y778" s="37">
        <f>IF(AND(Y488&lt;=$I203,Y488&gt;$J203),Tarification!$D$8,IF(AND(Y488&lt;=$J203,Y488&gt;$K203),Tarification!$D$9,IF(AND(Y488&lt;=$K203,Y488&gt;0),Tarification!$D$10,0)))</f>
        <v>0</v>
      </c>
      <c r="Z778" s="37">
        <f>IF(AND(Z488&lt;=$I203,Z488&gt;$J203),Tarification!$D$8,IF(AND(Z488&lt;=$J203,Z488&gt;$K203),Tarification!$D$9,IF(AND(Z488&lt;=$K203,Z488&gt;0),Tarification!$D$10,0)))</f>
        <v>0</v>
      </c>
      <c r="AA778" s="37">
        <f>IF(AND(AA488&lt;=$I203,AA488&gt;$J203),Tarification!$D$8,IF(AND(AA488&lt;=$J203,AA488&gt;$K203),Tarification!$D$9,IF(AND(AA488&lt;=$K203,AA488&gt;0),Tarification!$D$10,0)))</f>
        <v>0</v>
      </c>
      <c r="AB778" s="37">
        <f>IF(AND(AB488&lt;=$I203,AB488&gt;$J203),Tarification!$D$8,IF(AND(AB488&lt;=$J203,AB488&gt;$K203),Tarification!$D$9,IF(AND(AB488&lt;=$K203,AB488&gt;0),Tarification!$D$10,0)))</f>
        <v>0</v>
      </c>
      <c r="AC778" s="37">
        <f>IF(AND(AC488&lt;=$I203,AC488&gt;$J203),Tarification!$D$8,IF(AND(AC488&lt;=$J203,AC488&gt;$K203),Tarification!$D$9,IF(AND(AC488&lt;=$K203,AC488&gt;0),Tarification!$D$10,0)))</f>
        <v>0</v>
      </c>
      <c r="AD778" s="37">
        <f>IF(AND(AD488&lt;=$I203,AD488&gt;$J203),Tarification!$D$8,IF(AND(AD488&lt;=$J203,AD488&gt;$K203),Tarification!$D$9,IF(AND(AD488&lt;=$K203,AD488&gt;0),Tarification!$D$10,0)))</f>
        <v>50000</v>
      </c>
      <c r="AE778" s="37">
        <f>IF(AND(AE488&lt;=$I203,AE488&gt;$J203),Tarification!$D$8,IF(AND(AE488&lt;=$J203,AE488&gt;$K203),Tarification!$D$9,IF(AND(AE488&lt;=$K203,AE488&gt;0),Tarification!$D$10,0)))</f>
        <v>0</v>
      </c>
      <c r="AF778" s="37">
        <f>IF(AND(AF488&lt;=$I203,AF488&gt;$J203),Tarification!$D$8,IF(AND(AF488&lt;=$J203,AF488&gt;$K203),Tarification!$D$9,IF(AND(AF488&lt;=$K203,AF488&gt;0),Tarification!$D$10,0)))</f>
        <v>0</v>
      </c>
      <c r="AG778" s="37">
        <f>IF(AND(AG488&lt;=$I203,AG488&gt;$J203),Tarification!$D$8,IF(AND(AG488&lt;=$J203,AG488&gt;$K203),Tarification!$D$9,IF(AND(AG488&lt;=$K203,AG488&gt;0),Tarification!$D$10,0)))</f>
        <v>0</v>
      </c>
      <c r="AH778" s="37">
        <f>IF(AND(AH488&lt;=$I203,AH488&gt;$J203),Tarification!$D$8,IF(AND(AH488&lt;=$J203,AH488&gt;$K203),Tarification!$D$9,IF(AND(AH488&lt;=$K203,AH488&gt;0),Tarification!$D$10,0)))</f>
        <v>0</v>
      </c>
      <c r="AI778" s="37">
        <f>IF(AND(AI488&lt;=$I203,AI488&gt;$J203),Tarification!$D$8,IF(AND(AI488&lt;=$J203,AI488&gt;$K203),Tarification!$D$9,IF(AND(AI488&lt;=$K203,AI488&gt;0),Tarification!$D$10,0)))</f>
        <v>0</v>
      </c>
      <c r="AJ778" s="37">
        <f>IF(AND(AJ488&lt;=$I203,AJ488&gt;$J203),Tarification!$D$8,IF(AND(AJ488&lt;=$J203,AJ488&gt;$K203),Tarification!$D$9,IF(AND(AJ488&lt;=$K203,AJ488&gt;0),Tarification!$D$10,0)))</f>
        <v>0</v>
      </c>
      <c r="AK778" s="37">
        <f>IF(AND(AK488&lt;=$I203,AK488&gt;$J203),Tarification!$D$8,IF(AND(AK488&lt;=$J203,AK488&gt;$K203),Tarification!$D$9,IF(AND(AK488&lt;=$K203,AK488&gt;0),Tarification!$D$10,0)))</f>
        <v>0</v>
      </c>
      <c r="AL778" s="37">
        <f>IF(AND(AL488&lt;=$I203,AL488&gt;$J203),Tarification!$D$8,IF(AND(AL488&lt;=$J203,AL488&gt;$K203),Tarification!$D$9,IF(AND(AL488&lt;=$K203,AL488&gt;0),Tarification!$D$10,0)))</f>
        <v>0</v>
      </c>
      <c r="AM778" s="37">
        <f>IF(AND(AM488&lt;=$I203,AM488&gt;$J203),Tarification!$D$8,IF(AND(AM488&lt;=$J203,AM488&gt;$K203),Tarification!$D$9,IF(AND(AM488&lt;=$K203,AM488&gt;0),Tarification!$D$10,0)))</f>
        <v>0</v>
      </c>
      <c r="AN778" s="37">
        <f>IF(AND(AN488&lt;=$I203,AN488&gt;$J203),Tarification!$D$8,IF(AND(AN488&lt;=$J203,AN488&gt;$K203),Tarification!$D$9,IF(AND(AN488&lt;=$K203,AN488&gt;0),Tarification!$D$10,0)))</f>
        <v>0</v>
      </c>
      <c r="AQ778" s="101">
        <f t="shared" si="151"/>
        <v>2631.5789473684213</v>
      </c>
    </row>
    <row r="779" spans="14:43" ht="15.6">
      <c r="N779" s="39" t="s">
        <v>27</v>
      </c>
      <c r="O779" s="39" t="s">
        <v>553</v>
      </c>
      <c r="P779" t="s">
        <v>803</v>
      </c>
      <c r="Q779" s="39"/>
      <c r="V779" s="37">
        <f>IF(AND(V489&lt;=$I204,V489&gt;$J204),Tarification!$D$8,IF(AND(V489&lt;=$J204,V489&gt;$K204),Tarification!$D$9,IF(AND(V489&lt;=$K204,V489&gt;0),Tarification!$D$10,0)))</f>
        <v>0</v>
      </c>
      <c r="W779" s="37">
        <f>IF(AND(W489&lt;=$I204,W489&gt;$J204),Tarification!$D$8,IF(AND(W489&lt;=$J204,W489&gt;$K204),Tarification!$D$9,IF(AND(W489&lt;=$K204,W489&gt;0),Tarification!$D$10,0)))</f>
        <v>0</v>
      </c>
      <c r="X779" s="37">
        <f>IF(AND(X489&lt;=$I204,X489&gt;$J204),Tarification!$D$8,IF(AND(X489&lt;=$J204,X489&gt;$K204),Tarification!$D$9,IF(AND(X489&lt;=$K204,X489&gt;0),Tarification!$D$10,0)))</f>
        <v>0</v>
      </c>
      <c r="Y779" s="37">
        <f>IF(AND(Y489&lt;=$I204,Y489&gt;$J204),Tarification!$D$8,IF(AND(Y489&lt;=$J204,Y489&gt;$K204),Tarification!$D$9,IF(AND(Y489&lt;=$K204,Y489&gt;0),Tarification!$D$10,0)))</f>
        <v>0</v>
      </c>
      <c r="Z779" s="37">
        <f>IF(AND(Z489&lt;=$I204,Z489&gt;$J204),Tarification!$D$8,IF(AND(Z489&lt;=$J204,Z489&gt;$K204),Tarification!$D$9,IF(AND(Z489&lt;=$K204,Z489&gt;0),Tarification!$D$10,0)))</f>
        <v>50000</v>
      </c>
      <c r="AA779" s="37">
        <f>IF(AND(AA489&lt;=$I204,AA489&gt;$J204),Tarification!$D$8,IF(AND(AA489&lt;=$J204,AA489&gt;$K204),Tarification!$D$9,IF(AND(AA489&lt;=$K204,AA489&gt;0),Tarification!$D$10,0)))</f>
        <v>50000</v>
      </c>
      <c r="AB779" s="37">
        <f>IF(AND(AB489&lt;=$I204,AB489&gt;$J204),Tarification!$D$8,IF(AND(AB489&lt;=$J204,AB489&gt;$K204),Tarification!$D$9,IF(AND(AB489&lt;=$K204,AB489&gt;0),Tarification!$D$10,0)))</f>
        <v>0</v>
      </c>
      <c r="AC779" s="37">
        <f>IF(AND(AC489&lt;=$I204,AC489&gt;$J204),Tarification!$D$8,IF(AND(AC489&lt;=$J204,AC489&gt;$K204),Tarification!$D$9,IF(AND(AC489&lt;=$K204,AC489&gt;0),Tarification!$D$10,0)))</f>
        <v>0</v>
      </c>
      <c r="AD779" s="37">
        <f>IF(AND(AD489&lt;=$I204,AD489&gt;$J204),Tarification!$D$8,IF(AND(AD489&lt;=$J204,AD489&gt;$K204),Tarification!$D$9,IF(AND(AD489&lt;=$K204,AD489&gt;0),Tarification!$D$10,0)))</f>
        <v>50000</v>
      </c>
      <c r="AE779" s="37">
        <f>IF(AND(AE489&lt;=$I204,AE489&gt;$J204),Tarification!$D$8,IF(AND(AE489&lt;=$J204,AE489&gt;$K204),Tarification!$D$9,IF(AND(AE489&lt;=$K204,AE489&gt;0),Tarification!$D$10,0)))</f>
        <v>0</v>
      </c>
      <c r="AF779" s="37">
        <f>IF(AND(AF489&lt;=$I204,AF489&gt;$J204),Tarification!$D$8,IF(AND(AF489&lt;=$J204,AF489&gt;$K204),Tarification!$D$9,IF(AND(AF489&lt;=$K204,AF489&gt;0),Tarification!$D$10,0)))</f>
        <v>50000</v>
      </c>
      <c r="AG779" s="37">
        <f>IF(AND(AG489&lt;=$I204,AG489&gt;$J204),Tarification!$D$8,IF(AND(AG489&lt;=$J204,AG489&gt;$K204),Tarification!$D$9,IF(AND(AG489&lt;=$K204,AG489&gt;0),Tarification!$D$10,0)))</f>
        <v>0</v>
      </c>
      <c r="AH779" s="37">
        <f>IF(AND(AH489&lt;=$I204,AH489&gt;$J204),Tarification!$D$8,IF(AND(AH489&lt;=$J204,AH489&gt;$K204),Tarification!$D$9,IF(AND(AH489&lt;=$K204,AH489&gt;0),Tarification!$D$10,0)))</f>
        <v>0</v>
      </c>
      <c r="AI779" s="37">
        <f>IF(AND(AI489&lt;=$I204,AI489&gt;$J204),Tarification!$D$8,IF(AND(AI489&lt;=$J204,AI489&gt;$K204),Tarification!$D$9,IF(AND(AI489&lt;=$K204,AI489&gt;0),Tarification!$D$10,0)))</f>
        <v>0</v>
      </c>
      <c r="AJ779" s="37">
        <f>IF(AND(AJ489&lt;=$I204,AJ489&gt;$J204),Tarification!$D$8,IF(AND(AJ489&lt;=$J204,AJ489&gt;$K204),Tarification!$D$9,IF(AND(AJ489&lt;=$K204,AJ489&gt;0),Tarification!$D$10,0)))</f>
        <v>0</v>
      </c>
      <c r="AK779" s="37">
        <f>IF(AND(AK489&lt;=$I204,AK489&gt;$J204),Tarification!$D$8,IF(AND(AK489&lt;=$J204,AK489&gt;$K204),Tarification!$D$9,IF(AND(AK489&lt;=$K204,AK489&gt;0),Tarification!$D$10,0)))</f>
        <v>0</v>
      </c>
      <c r="AL779" s="37">
        <f>IF(AND(AL489&lt;=$I204,AL489&gt;$J204),Tarification!$D$8,IF(AND(AL489&lt;=$J204,AL489&gt;$K204),Tarification!$D$9,IF(AND(AL489&lt;=$K204,AL489&gt;0),Tarification!$D$10,0)))</f>
        <v>0</v>
      </c>
      <c r="AM779" s="37">
        <f>IF(AND(AM489&lt;=$I204,AM489&gt;$J204),Tarification!$D$8,IF(AND(AM489&lt;=$J204,AM489&gt;$K204),Tarification!$D$9,IF(AND(AM489&lt;=$K204,AM489&gt;0),Tarification!$D$10,0)))</f>
        <v>0</v>
      </c>
      <c r="AN779" s="37">
        <f>IF(AND(AN489&lt;=$I204,AN489&gt;$J204),Tarification!$D$8,IF(AND(AN489&lt;=$J204,AN489&gt;$K204),Tarification!$D$9,IF(AND(AN489&lt;=$K204,AN489&gt;0),Tarification!$D$10,0)))</f>
        <v>0</v>
      </c>
      <c r="AQ779" s="101">
        <f t="shared" si="151"/>
        <v>10526.315789473685</v>
      </c>
    </row>
    <row r="780" spans="14:43" ht="15.6">
      <c r="N780" s="39" t="s">
        <v>27</v>
      </c>
      <c r="O780" s="39" t="s">
        <v>448</v>
      </c>
      <c r="P780" t="s">
        <v>804</v>
      </c>
      <c r="Q780" s="39"/>
      <c r="V780" s="37">
        <f>IF(AND(V490&lt;=$I205,V490&gt;$J205),Tarification!$D$8,IF(AND(V490&lt;=$J205,V490&gt;$K205),Tarification!$D$9,IF(AND(V490&lt;=$K205,V490&gt;0),Tarification!$D$10,0)))</f>
        <v>0</v>
      </c>
      <c r="W780" s="37">
        <f>IF(AND(W490&lt;=$I205,W490&gt;$J205),Tarification!$D$8,IF(AND(W490&lt;=$J205,W490&gt;$K205),Tarification!$D$9,IF(AND(W490&lt;=$K205,W490&gt;0),Tarification!$D$10,0)))</f>
        <v>0</v>
      </c>
      <c r="X780" s="37">
        <f>IF(AND(X490&lt;=$I205,X490&gt;$J205),Tarification!$D$8,IF(AND(X490&lt;=$J205,X490&gt;$K205),Tarification!$D$9,IF(AND(X490&lt;=$K205,X490&gt;0),Tarification!$D$10,0)))</f>
        <v>0</v>
      </c>
      <c r="Y780" s="37">
        <f>IF(AND(Y490&lt;=$I205,Y490&gt;$J205),Tarification!$D$8,IF(AND(Y490&lt;=$J205,Y490&gt;$K205),Tarification!$D$9,IF(AND(Y490&lt;=$K205,Y490&gt;0),Tarification!$D$10,0)))</f>
        <v>0</v>
      </c>
      <c r="Z780" s="37">
        <f>IF(AND(Z490&lt;=$I205,Z490&gt;$J205),Tarification!$D$8,IF(AND(Z490&lt;=$J205,Z490&gt;$K205),Tarification!$D$9,IF(AND(Z490&lt;=$K205,Z490&gt;0),Tarification!$D$10,0)))</f>
        <v>0</v>
      </c>
      <c r="AA780" s="37">
        <f>IF(AND(AA490&lt;=$I205,AA490&gt;$J205),Tarification!$D$8,IF(AND(AA490&lt;=$J205,AA490&gt;$K205),Tarification!$D$9,IF(AND(AA490&lt;=$K205,AA490&gt;0),Tarification!$D$10,0)))</f>
        <v>0</v>
      </c>
      <c r="AB780" s="37">
        <f>IF(AND(AB490&lt;=$I205,AB490&gt;$J205),Tarification!$D$8,IF(AND(AB490&lt;=$J205,AB490&gt;$K205),Tarification!$D$9,IF(AND(AB490&lt;=$K205,AB490&gt;0),Tarification!$D$10,0)))</f>
        <v>0</v>
      </c>
      <c r="AC780" s="37">
        <f>IF(AND(AC490&lt;=$I205,AC490&gt;$J205),Tarification!$D$8,IF(AND(AC490&lt;=$J205,AC490&gt;$K205),Tarification!$D$9,IF(AND(AC490&lt;=$K205,AC490&gt;0),Tarification!$D$10,0)))</f>
        <v>0</v>
      </c>
      <c r="AD780" s="37">
        <f>IF(AND(AD490&lt;=$I205,AD490&gt;$J205),Tarification!$D$8,IF(AND(AD490&lt;=$J205,AD490&gt;$K205),Tarification!$D$9,IF(AND(AD490&lt;=$K205,AD490&gt;0),Tarification!$D$10,0)))</f>
        <v>50000</v>
      </c>
      <c r="AE780" s="37">
        <f>IF(AND(AE490&lt;=$I205,AE490&gt;$J205),Tarification!$D$8,IF(AND(AE490&lt;=$J205,AE490&gt;$K205),Tarification!$D$9,IF(AND(AE490&lt;=$K205,AE490&gt;0),Tarification!$D$10,0)))</f>
        <v>0</v>
      </c>
      <c r="AF780" s="37">
        <f>IF(AND(AF490&lt;=$I205,AF490&gt;$J205),Tarification!$D$8,IF(AND(AF490&lt;=$J205,AF490&gt;$K205),Tarification!$D$9,IF(AND(AF490&lt;=$K205,AF490&gt;0),Tarification!$D$10,0)))</f>
        <v>0</v>
      </c>
      <c r="AG780" s="37">
        <f>IF(AND(AG490&lt;=$I205,AG490&gt;$J205),Tarification!$D$8,IF(AND(AG490&lt;=$J205,AG490&gt;$K205),Tarification!$D$9,IF(AND(AG490&lt;=$K205,AG490&gt;0),Tarification!$D$10,0)))</f>
        <v>0</v>
      </c>
      <c r="AH780" s="37">
        <f>IF(AND(AH490&lt;=$I205,AH490&gt;$J205),Tarification!$D$8,IF(AND(AH490&lt;=$J205,AH490&gt;$K205),Tarification!$D$9,IF(AND(AH490&lt;=$K205,AH490&gt;0),Tarification!$D$10,0)))</f>
        <v>0</v>
      </c>
      <c r="AI780" s="37">
        <f>IF(AND(AI490&lt;=$I205,AI490&gt;$J205),Tarification!$D$8,IF(AND(AI490&lt;=$J205,AI490&gt;$K205),Tarification!$D$9,IF(AND(AI490&lt;=$K205,AI490&gt;0),Tarification!$D$10,0)))</f>
        <v>0</v>
      </c>
      <c r="AJ780" s="37">
        <f>IF(AND(AJ490&lt;=$I205,AJ490&gt;$J205),Tarification!$D$8,IF(AND(AJ490&lt;=$J205,AJ490&gt;$K205),Tarification!$D$9,IF(AND(AJ490&lt;=$K205,AJ490&gt;0),Tarification!$D$10,0)))</f>
        <v>50000</v>
      </c>
      <c r="AK780" s="37">
        <f>IF(AND(AK490&lt;=$I205,AK490&gt;$J205),Tarification!$D$8,IF(AND(AK490&lt;=$J205,AK490&gt;$K205),Tarification!$D$9,IF(AND(AK490&lt;=$K205,AK490&gt;0),Tarification!$D$10,0)))</f>
        <v>0</v>
      </c>
      <c r="AL780" s="37">
        <f>IF(AND(AL490&lt;=$I205,AL490&gt;$J205),Tarification!$D$8,IF(AND(AL490&lt;=$J205,AL490&gt;$K205),Tarification!$D$9,IF(AND(AL490&lt;=$K205,AL490&gt;0),Tarification!$D$10,0)))</f>
        <v>0</v>
      </c>
      <c r="AM780" s="37">
        <f>IF(AND(AM490&lt;=$I205,AM490&gt;$J205),Tarification!$D$8,IF(AND(AM490&lt;=$J205,AM490&gt;$K205),Tarification!$D$9,IF(AND(AM490&lt;=$K205,AM490&gt;0),Tarification!$D$10,0)))</f>
        <v>0</v>
      </c>
      <c r="AN780" s="37">
        <f>IF(AND(AN490&lt;=$I205,AN490&gt;$J205),Tarification!$D$8,IF(AND(AN490&lt;=$J205,AN490&gt;$K205),Tarification!$D$9,IF(AND(AN490&lt;=$K205,AN490&gt;0),Tarification!$D$10,0)))</f>
        <v>0</v>
      </c>
      <c r="AQ780" s="101">
        <f t="shared" si="151"/>
        <v>5263.1578947368425</v>
      </c>
    </row>
    <row r="781" spans="14:43" ht="15.6">
      <c r="N781" s="39" t="s">
        <v>27</v>
      </c>
      <c r="O781" s="39" t="s">
        <v>566</v>
      </c>
      <c r="P781" t="s">
        <v>805</v>
      </c>
      <c r="Q781" s="39"/>
      <c r="V781" s="37">
        <f>IF(AND(V491&lt;=$I206,V491&gt;$J206),Tarification!$D$8,IF(AND(V491&lt;=$J206,V491&gt;$K206),Tarification!$D$9,IF(AND(V491&lt;=$K206,V491&gt;0),Tarification!$D$10,0)))</f>
        <v>0</v>
      </c>
      <c r="W781" s="37">
        <f>IF(AND(W491&lt;=$I206,W491&gt;$J206),Tarification!$D$8,IF(AND(W491&lt;=$J206,W491&gt;$K206),Tarification!$D$9,IF(AND(W491&lt;=$K206,W491&gt;0),Tarification!$D$10,0)))</f>
        <v>0</v>
      </c>
      <c r="X781" s="37">
        <f>IF(AND(X491&lt;=$I206,X491&gt;$J206),Tarification!$D$8,IF(AND(X491&lt;=$J206,X491&gt;$K206),Tarification!$D$9,IF(AND(X491&lt;=$K206,X491&gt;0),Tarification!$D$10,0)))</f>
        <v>0</v>
      </c>
      <c r="Y781" s="37">
        <f>IF(AND(Y491&lt;=$I206,Y491&gt;$J206),Tarification!$D$8,IF(AND(Y491&lt;=$J206,Y491&gt;$K206),Tarification!$D$9,IF(AND(Y491&lt;=$K206,Y491&gt;0),Tarification!$D$10,0)))</f>
        <v>0</v>
      </c>
      <c r="Z781" s="37">
        <f>IF(AND(Z491&lt;=$I206,Z491&gt;$J206),Tarification!$D$8,IF(AND(Z491&lt;=$J206,Z491&gt;$K206),Tarification!$D$9,IF(AND(Z491&lt;=$K206,Z491&gt;0),Tarification!$D$10,0)))</f>
        <v>0</v>
      </c>
      <c r="AA781" s="37">
        <f>IF(AND(AA491&lt;=$I206,AA491&gt;$J206),Tarification!$D$8,IF(AND(AA491&lt;=$J206,AA491&gt;$K206),Tarification!$D$9,IF(AND(AA491&lt;=$K206,AA491&gt;0),Tarification!$D$10,0)))</f>
        <v>0</v>
      </c>
      <c r="AB781" s="37">
        <f>IF(AND(AB491&lt;=$I206,AB491&gt;$J206),Tarification!$D$8,IF(AND(AB491&lt;=$J206,AB491&gt;$K206),Tarification!$D$9,IF(AND(AB491&lt;=$K206,AB491&gt;0),Tarification!$D$10,0)))</f>
        <v>0</v>
      </c>
      <c r="AC781" s="37">
        <f>IF(AND(AC491&lt;=$I206,AC491&gt;$J206),Tarification!$D$8,IF(AND(AC491&lt;=$J206,AC491&gt;$K206),Tarification!$D$9,IF(AND(AC491&lt;=$K206,AC491&gt;0),Tarification!$D$10,0)))</f>
        <v>0</v>
      </c>
      <c r="AD781" s="37">
        <f>IF(AND(AD491&lt;=$I206,AD491&gt;$J206),Tarification!$D$8,IF(AND(AD491&lt;=$J206,AD491&gt;$K206),Tarification!$D$9,IF(AND(AD491&lt;=$K206,AD491&gt;0),Tarification!$D$10,0)))</f>
        <v>0</v>
      </c>
      <c r="AE781" s="37">
        <f>IF(AND(AE491&lt;=$I206,AE491&gt;$J206),Tarification!$D$8,IF(AND(AE491&lt;=$J206,AE491&gt;$K206),Tarification!$D$9,IF(AND(AE491&lt;=$K206,AE491&gt;0),Tarification!$D$10,0)))</f>
        <v>0</v>
      </c>
      <c r="AF781" s="37">
        <f>IF(AND(AF491&lt;=$I206,AF491&gt;$J206),Tarification!$D$8,IF(AND(AF491&lt;=$J206,AF491&gt;$K206),Tarification!$D$9,IF(AND(AF491&lt;=$K206,AF491&gt;0),Tarification!$D$10,0)))</f>
        <v>0</v>
      </c>
      <c r="AG781" s="37">
        <f>IF(AND(AG491&lt;=$I206,AG491&gt;$J206),Tarification!$D$8,IF(AND(AG491&lt;=$J206,AG491&gt;$K206),Tarification!$D$9,IF(AND(AG491&lt;=$K206,AG491&gt;0),Tarification!$D$10,0)))</f>
        <v>0</v>
      </c>
      <c r="AH781" s="37">
        <f>IF(AND(AH491&lt;=$I206,AH491&gt;$J206),Tarification!$D$8,IF(AND(AH491&lt;=$J206,AH491&gt;$K206),Tarification!$D$9,IF(AND(AH491&lt;=$K206,AH491&gt;0),Tarification!$D$10,0)))</f>
        <v>0</v>
      </c>
      <c r="AI781" s="37">
        <f>IF(AND(AI491&lt;=$I206,AI491&gt;$J206),Tarification!$D$8,IF(AND(AI491&lt;=$J206,AI491&gt;$K206),Tarification!$D$9,IF(AND(AI491&lt;=$K206,AI491&gt;0),Tarification!$D$10,0)))</f>
        <v>0</v>
      </c>
      <c r="AJ781" s="37">
        <f>IF(AND(AJ491&lt;=$I206,AJ491&gt;$J206),Tarification!$D$8,IF(AND(AJ491&lt;=$J206,AJ491&gt;$K206),Tarification!$D$9,IF(AND(AJ491&lt;=$K206,AJ491&gt;0),Tarification!$D$10,0)))</f>
        <v>0</v>
      </c>
      <c r="AK781" s="37">
        <f>IF(AND(AK491&lt;=$I206,AK491&gt;$J206),Tarification!$D$8,IF(AND(AK491&lt;=$J206,AK491&gt;$K206),Tarification!$D$9,IF(AND(AK491&lt;=$K206,AK491&gt;0),Tarification!$D$10,0)))</f>
        <v>0</v>
      </c>
      <c r="AL781" s="37">
        <f>IF(AND(AL491&lt;=$I206,AL491&gt;$J206),Tarification!$D$8,IF(AND(AL491&lt;=$J206,AL491&gt;$K206),Tarification!$D$9,IF(AND(AL491&lt;=$K206,AL491&gt;0),Tarification!$D$10,0)))</f>
        <v>0</v>
      </c>
      <c r="AM781" s="37">
        <f>IF(AND(AM491&lt;=$I206,AM491&gt;$J206),Tarification!$D$8,IF(AND(AM491&lt;=$J206,AM491&gt;$K206),Tarification!$D$9,IF(AND(AM491&lt;=$K206,AM491&gt;0),Tarification!$D$10,0)))</f>
        <v>0</v>
      </c>
      <c r="AN781" s="37">
        <f>IF(AND(AN491&lt;=$I206,AN491&gt;$J206),Tarification!$D$8,IF(AND(AN491&lt;=$J206,AN491&gt;$K206),Tarification!$D$9,IF(AND(AN491&lt;=$K206,AN491&gt;0),Tarification!$D$10,0)))</f>
        <v>0</v>
      </c>
      <c r="AQ781" s="101">
        <f t="shared" si="151"/>
        <v>0</v>
      </c>
    </row>
    <row r="782" spans="14:43" ht="15.6">
      <c r="N782" s="39" t="s">
        <v>27</v>
      </c>
      <c r="O782" s="39" t="s">
        <v>448</v>
      </c>
      <c r="P782" t="s">
        <v>806</v>
      </c>
      <c r="Q782" s="39"/>
      <c r="V782" s="37">
        <f>IF(AND(V492&lt;=$I207,V492&gt;$J207),Tarification!$D$8,IF(AND(V492&lt;=$J207,V492&gt;$K207),Tarification!$D$9,IF(AND(V492&lt;=$K207,V492&gt;0),Tarification!$D$10,0)))</f>
        <v>0</v>
      </c>
      <c r="W782" s="37">
        <f>IF(AND(W492&lt;=$I207,W492&gt;$J207),Tarification!$D$8,IF(AND(W492&lt;=$J207,W492&gt;$K207),Tarification!$D$9,IF(AND(W492&lt;=$K207,W492&gt;0),Tarification!$D$10,0)))</f>
        <v>0</v>
      </c>
      <c r="X782" s="37">
        <f>IF(AND(X492&lt;=$I207,X492&gt;$J207),Tarification!$D$8,IF(AND(X492&lt;=$J207,X492&gt;$K207),Tarification!$D$9,IF(AND(X492&lt;=$K207,X492&gt;0),Tarification!$D$10,0)))</f>
        <v>0</v>
      </c>
      <c r="Y782" s="37">
        <f>IF(AND(Y492&lt;=$I207,Y492&gt;$J207),Tarification!$D$8,IF(AND(Y492&lt;=$J207,Y492&gt;$K207),Tarification!$D$9,IF(AND(Y492&lt;=$K207,Y492&gt;0),Tarification!$D$10,0)))</f>
        <v>0</v>
      </c>
      <c r="Z782" s="37">
        <f>IF(AND(Z492&lt;=$I207,Z492&gt;$J207),Tarification!$D$8,IF(AND(Z492&lt;=$J207,Z492&gt;$K207),Tarification!$D$9,IF(AND(Z492&lt;=$K207,Z492&gt;0),Tarification!$D$10,0)))</f>
        <v>0</v>
      </c>
      <c r="AA782" s="37">
        <f>IF(AND(AA492&lt;=$I207,AA492&gt;$J207),Tarification!$D$8,IF(AND(AA492&lt;=$J207,AA492&gt;$K207),Tarification!$D$9,IF(AND(AA492&lt;=$K207,AA492&gt;0),Tarification!$D$10,0)))</f>
        <v>0</v>
      </c>
      <c r="AB782" s="37">
        <f>IF(AND(AB492&lt;=$I207,AB492&gt;$J207),Tarification!$D$8,IF(AND(AB492&lt;=$J207,AB492&gt;$K207),Tarification!$D$9,IF(AND(AB492&lt;=$K207,AB492&gt;0),Tarification!$D$10,0)))</f>
        <v>0</v>
      </c>
      <c r="AC782" s="37">
        <f>IF(AND(AC492&lt;=$I207,AC492&gt;$J207),Tarification!$D$8,IF(AND(AC492&lt;=$J207,AC492&gt;$K207),Tarification!$D$9,IF(AND(AC492&lt;=$K207,AC492&gt;0),Tarification!$D$10,0)))</f>
        <v>0</v>
      </c>
      <c r="AD782" s="37">
        <f>IF(AND(AD492&lt;=$I207,AD492&gt;$J207),Tarification!$D$8,IF(AND(AD492&lt;=$J207,AD492&gt;$K207),Tarification!$D$9,IF(AND(AD492&lt;=$K207,AD492&gt;0),Tarification!$D$10,0)))</f>
        <v>0</v>
      </c>
      <c r="AE782" s="37">
        <f>IF(AND(AE492&lt;=$I207,AE492&gt;$J207),Tarification!$D$8,IF(AND(AE492&lt;=$J207,AE492&gt;$K207),Tarification!$D$9,IF(AND(AE492&lt;=$K207,AE492&gt;0),Tarification!$D$10,0)))</f>
        <v>0</v>
      </c>
      <c r="AF782" s="37">
        <f>IF(AND(AF492&lt;=$I207,AF492&gt;$J207),Tarification!$D$8,IF(AND(AF492&lt;=$J207,AF492&gt;$K207),Tarification!$D$9,IF(AND(AF492&lt;=$K207,AF492&gt;0),Tarification!$D$10,0)))</f>
        <v>0</v>
      </c>
      <c r="AG782" s="37">
        <f>IF(AND(AG492&lt;=$I207,AG492&gt;$J207),Tarification!$D$8,IF(AND(AG492&lt;=$J207,AG492&gt;$K207),Tarification!$D$9,IF(AND(AG492&lt;=$K207,AG492&gt;0),Tarification!$D$10,0)))</f>
        <v>0</v>
      </c>
      <c r="AH782" s="37">
        <f>IF(AND(AH492&lt;=$I207,AH492&gt;$J207),Tarification!$D$8,IF(AND(AH492&lt;=$J207,AH492&gt;$K207),Tarification!$D$9,IF(AND(AH492&lt;=$K207,AH492&gt;0),Tarification!$D$10,0)))</f>
        <v>0</v>
      </c>
      <c r="AI782" s="37">
        <f>IF(AND(AI492&lt;=$I207,AI492&gt;$J207),Tarification!$D$8,IF(AND(AI492&lt;=$J207,AI492&gt;$K207),Tarification!$D$9,IF(AND(AI492&lt;=$K207,AI492&gt;0),Tarification!$D$10,0)))</f>
        <v>0</v>
      </c>
      <c r="AJ782" s="37">
        <f>IF(AND(AJ492&lt;=$I207,AJ492&gt;$J207),Tarification!$D$8,IF(AND(AJ492&lt;=$J207,AJ492&gt;$K207),Tarification!$D$9,IF(AND(AJ492&lt;=$K207,AJ492&gt;0),Tarification!$D$10,0)))</f>
        <v>0</v>
      </c>
      <c r="AK782" s="37">
        <f>IF(AND(AK492&lt;=$I207,AK492&gt;$J207),Tarification!$D$8,IF(AND(AK492&lt;=$J207,AK492&gt;$K207),Tarification!$D$9,IF(AND(AK492&lt;=$K207,AK492&gt;0),Tarification!$D$10,0)))</f>
        <v>0</v>
      </c>
      <c r="AL782" s="37">
        <f>IF(AND(AL492&lt;=$I207,AL492&gt;$J207),Tarification!$D$8,IF(AND(AL492&lt;=$J207,AL492&gt;$K207),Tarification!$D$9,IF(AND(AL492&lt;=$K207,AL492&gt;0),Tarification!$D$10,0)))</f>
        <v>0</v>
      </c>
      <c r="AM782" s="37">
        <f>IF(AND(AM492&lt;=$I207,AM492&gt;$J207),Tarification!$D$8,IF(AND(AM492&lt;=$J207,AM492&gt;$K207),Tarification!$D$9,IF(AND(AM492&lt;=$K207,AM492&gt;0),Tarification!$D$10,0)))</f>
        <v>0</v>
      </c>
      <c r="AN782" s="37">
        <f>IF(AND(AN492&lt;=$I207,AN492&gt;$J207),Tarification!$D$8,IF(AND(AN492&lt;=$J207,AN492&gt;$K207),Tarification!$D$9,IF(AND(AN492&lt;=$K207,AN492&gt;0),Tarification!$D$10,0)))</f>
        <v>0</v>
      </c>
      <c r="AQ782" s="101">
        <f t="shared" si="151"/>
        <v>0</v>
      </c>
    </row>
    <row r="783" spans="14:43" ht="15.6">
      <c r="N783" s="39" t="s">
        <v>27</v>
      </c>
      <c r="O783" s="39" t="s">
        <v>561</v>
      </c>
      <c r="P783" t="s">
        <v>807</v>
      </c>
      <c r="Q783" s="39"/>
      <c r="V783" s="37">
        <f>IF(AND(V493&lt;=$I208,V493&gt;$J208),Tarification!$D$8,IF(AND(V493&lt;=$J208,V493&gt;$K208),Tarification!$D$9,IF(AND(V493&lt;=$K208,V493&gt;0),Tarification!$D$10,0)))</f>
        <v>0</v>
      </c>
      <c r="W783" s="37">
        <f>IF(AND(W493&lt;=$I208,W493&gt;$J208),Tarification!$D$8,IF(AND(W493&lt;=$J208,W493&gt;$K208),Tarification!$D$9,IF(AND(W493&lt;=$K208,W493&gt;0),Tarification!$D$10,0)))</f>
        <v>0</v>
      </c>
      <c r="X783" s="37">
        <f>IF(AND(X493&lt;=$I208,X493&gt;$J208),Tarification!$D$8,IF(AND(X493&lt;=$J208,X493&gt;$K208),Tarification!$D$9,IF(AND(X493&lt;=$K208,X493&gt;0),Tarification!$D$10,0)))</f>
        <v>0</v>
      </c>
      <c r="Y783" s="37">
        <f>IF(AND(Y493&lt;=$I208,Y493&gt;$J208),Tarification!$D$8,IF(AND(Y493&lt;=$J208,Y493&gt;$K208),Tarification!$D$9,IF(AND(Y493&lt;=$K208,Y493&gt;0),Tarification!$D$10,0)))</f>
        <v>0</v>
      </c>
      <c r="Z783" s="37">
        <f>IF(AND(Z493&lt;=$I208,Z493&gt;$J208),Tarification!$D$8,IF(AND(Z493&lt;=$J208,Z493&gt;$K208),Tarification!$D$9,IF(AND(Z493&lt;=$K208,Z493&gt;0),Tarification!$D$10,0)))</f>
        <v>0</v>
      </c>
      <c r="AA783" s="37">
        <f>IF(AND(AA493&lt;=$I208,AA493&gt;$J208),Tarification!$D$8,IF(AND(AA493&lt;=$J208,AA493&gt;$K208),Tarification!$D$9,IF(AND(AA493&lt;=$K208,AA493&gt;0),Tarification!$D$10,0)))</f>
        <v>0</v>
      </c>
      <c r="AB783" s="37">
        <f>IF(AND(AB493&lt;=$I208,AB493&gt;$J208),Tarification!$D$8,IF(AND(AB493&lt;=$J208,AB493&gt;$K208),Tarification!$D$9,IF(AND(AB493&lt;=$K208,AB493&gt;0),Tarification!$D$10,0)))</f>
        <v>0</v>
      </c>
      <c r="AC783" s="37">
        <f>IF(AND(AC493&lt;=$I208,AC493&gt;$J208),Tarification!$D$8,IF(AND(AC493&lt;=$J208,AC493&gt;$K208),Tarification!$D$9,IF(AND(AC493&lt;=$K208,AC493&gt;0),Tarification!$D$10,0)))</f>
        <v>0</v>
      </c>
      <c r="AD783" s="37">
        <f>IF(AND(AD493&lt;=$I208,AD493&gt;$J208),Tarification!$D$8,IF(AND(AD493&lt;=$J208,AD493&gt;$K208),Tarification!$D$9,IF(AND(AD493&lt;=$K208,AD493&gt;0),Tarification!$D$10,0)))</f>
        <v>50000</v>
      </c>
      <c r="AE783" s="37">
        <f>IF(AND(AE493&lt;=$I208,AE493&gt;$J208),Tarification!$D$8,IF(AND(AE493&lt;=$J208,AE493&gt;$K208),Tarification!$D$9,IF(AND(AE493&lt;=$K208,AE493&gt;0),Tarification!$D$10,0)))</f>
        <v>0</v>
      </c>
      <c r="AF783" s="37">
        <f>IF(AND(AF493&lt;=$I208,AF493&gt;$J208),Tarification!$D$8,IF(AND(AF493&lt;=$J208,AF493&gt;$K208),Tarification!$D$9,IF(AND(AF493&lt;=$K208,AF493&gt;0),Tarification!$D$10,0)))</f>
        <v>0</v>
      </c>
      <c r="AG783" s="37">
        <f>IF(AND(AG493&lt;=$I208,AG493&gt;$J208),Tarification!$D$8,IF(AND(AG493&lt;=$J208,AG493&gt;$K208),Tarification!$D$9,IF(AND(AG493&lt;=$K208,AG493&gt;0),Tarification!$D$10,0)))</f>
        <v>0</v>
      </c>
      <c r="AH783" s="37">
        <f>IF(AND(AH493&lt;=$I208,AH493&gt;$J208),Tarification!$D$8,IF(AND(AH493&lt;=$J208,AH493&gt;$K208),Tarification!$D$9,IF(AND(AH493&lt;=$K208,AH493&gt;0),Tarification!$D$10,0)))</f>
        <v>0</v>
      </c>
      <c r="AI783" s="37">
        <f>IF(AND(AI493&lt;=$I208,AI493&gt;$J208),Tarification!$D$8,IF(AND(AI493&lt;=$J208,AI493&gt;$K208),Tarification!$D$9,IF(AND(AI493&lt;=$K208,AI493&gt;0),Tarification!$D$10,0)))</f>
        <v>0</v>
      </c>
      <c r="AJ783" s="37">
        <f>IF(AND(AJ493&lt;=$I208,AJ493&gt;$J208),Tarification!$D$8,IF(AND(AJ493&lt;=$J208,AJ493&gt;$K208),Tarification!$D$9,IF(AND(AJ493&lt;=$K208,AJ493&gt;0),Tarification!$D$10,0)))</f>
        <v>0</v>
      </c>
      <c r="AK783" s="37">
        <f>IF(AND(AK493&lt;=$I208,AK493&gt;$J208),Tarification!$D$8,IF(AND(AK493&lt;=$J208,AK493&gt;$K208),Tarification!$D$9,IF(AND(AK493&lt;=$K208,AK493&gt;0),Tarification!$D$10,0)))</f>
        <v>0</v>
      </c>
      <c r="AL783" s="37">
        <f>IF(AND(AL493&lt;=$I208,AL493&gt;$J208),Tarification!$D$8,IF(AND(AL493&lt;=$J208,AL493&gt;$K208),Tarification!$D$9,IF(AND(AL493&lt;=$K208,AL493&gt;0),Tarification!$D$10,0)))</f>
        <v>0</v>
      </c>
      <c r="AM783" s="37">
        <f>IF(AND(AM493&lt;=$I208,AM493&gt;$J208),Tarification!$D$8,IF(AND(AM493&lt;=$J208,AM493&gt;$K208),Tarification!$D$9,IF(AND(AM493&lt;=$K208,AM493&gt;0),Tarification!$D$10,0)))</f>
        <v>0</v>
      </c>
      <c r="AN783" s="37">
        <f>IF(AND(AN493&lt;=$I208,AN493&gt;$J208),Tarification!$D$8,IF(AND(AN493&lt;=$J208,AN493&gt;$K208),Tarification!$D$9,IF(AND(AN493&lt;=$K208,AN493&gt;0),Tarification!$D$10,0)))</f>
        <v>0</v>
      </c>
      <c r="AQ783" s="101">
        <f t="shared" si="151"/>
        <v>2631.5789473684213</v>
      </c>
    </row>
    <row r="784" spans="14:43" ht="15.6">
      <c r="N784" s="39" t="s">
        <v>27</v>
      </c>
      <c r="O784" s="39" t="s">
        <v>472</v>
      </c>
      <c r="P784" t="s">
        <v>808</v>
      </c>
      <c r="Q784" s="39"/>
      <c r="V784" s="37">
        <f>IF(AND(V494&lt;=$I209,V494&gt;$J209),Tarification!$D$8,IF(AND(V494&lt;=$J209,V494&gt;$K209),Tarification!$D$9,IF(AND(V494&lt;=$K209,V494&gt;0),Tarification!$D$10,0)))</f>
        <v>0</v>
      </c>
      <c r="W784" s="37">
        <f>IF(AND(W494&lt;=$I209,W494&gt;$J209),Tarification!$D$8,IF(AND(W494&lt;=$J209,W494&gt;$K209),Tarification!$D$9,IF(AND(W494&lt;=$K209,W494&gt;0),Tarification!$D$10,0)))</f>
        <v>0</v>
      </c>
      <c r="X784" s="37">
        <f>IF(AND(X494&lt;=$I209,X494&gt;$J209),Tarification!$D$8,IF(AND(X494&lt;=$J209,X494&gt;$K209),Tarification!$D$9,IF(AND(X494&lt;=$K209,X494&gt;0),Tarification!$D$10,0)))</f>
        <v>0</v>
      </c>
      <c r="Y784" s="37">
        <f>IF(AND(Y494&lt;=$I209,Y494&gt;$J209),Tarification!$D$8,IF(AND(Y494&lt;=$J209,Y494&gt;$K209),Tarification!$D$9,IF(AND(Y494&lt;=$K209,Y494&gt;0),Tarification!$D$10,0)))</f>
        <v>0</v>
      </c>
      <c r="Z784" s="37">
        <f>IF(AND(Z494&lt;=$I209,Z494&gt;$J209),Tarification!$D$8,IF(AND(Z494&lt;=$J209,Z494&gt;$K209),Tarification!$D$9,IF(AND(Z494&lt;=$K209,Z494&gt;0),Tarification!$D$10,0)))</f>
        <v>0</v>
      </c>
      <c r="AA784" s="37">
        <f>IF(AND(AA494&lt;=$I209,AA494&gt;$J209),Tarification!$D$8,IF(AND(AA494&lt;=$J209,AA494&gt;$K209),Tarification!$D$9,IF(AND(AA494&lt;=$K209,AA494&gt;0),Tarification!$D$10,0)))</f>
        <v>0</v>
      </c>
      <c r="AB784" s="37">
        <f>IF(AND(AB494&lt;=$I209,AB494&gt;$J209),Tarification!$D$8,IF(AND(AB494&lt;=$J209,AB494&gt;$K209),Tarification!$D$9,IF(AND(AB494&lt;=$K209,AB494&gt;0),Tarification!$D$10,0)))</f>
        <v>0</v>
      </c>
      <c r="AC784" s="37">
        <f>IF(AND(AC494&lt;=$I209,AC494&gt;$J209),Tarification!$D$8,IF(AND(AC494&lt;=$J209,AC494&gt;$K209),Tarification!$D$9,IF(AND(AC494&lt;=$K209,AC494&gt;0),Tarification!$D$10,0)))</f>
        <v>0</v>
      </c>
      <c r="AD784" s="37">
        <f>IF(AND(AD494&lt;=$I209,AD494&gt;$J209),Tarification!$D$8,IF(AND(AD494&lt;=$J209,AD494&gt;$K209),Tarification!$D$9,IF(AND(AD494&lt;=$K209,AD494&gt;0),Tarification!$D$10,0)))</f>
        <v>0</v>
      </c>
      <c r="AE784" s="37">
        <f>IF(AND(AE494&lt;=$I209,AE494&gt;$J209),Tarification!$D$8,IF(AND(AE494&lt;=$J209,AE494&gt;$K209),Tarification!$D$9,IF(AND(AE494&lt;=$K209,AE494&gt;0),Tarification!$D$10,0)))</f>
        <v>0</v>
      </c>
      <c r="AF784" s="37">
        <f>IF(AND(AF494&lt;=$I209,AF494&gt;$J209),Tarification!$D$8,IF(AND(AF494&lt;=$J209,AF494&gt;$K209),Tarification!$D$9,IF(AND(AF494&lt;=$K209,AF494&gt;0),Tarification!$D$10,0)))</f>
        <v>0</v>
      </c>
      <c r="AG784" s="37">
        <f>IF(AND(AG494&lt;=$I209,AG494&gt;$J209),Tarification!$D$8,IF(AND(AG494&lt;=$J209,AG494&gt;$K209),Tarification!$D$9,IF(AND(AG494&lt;=$K209,AG494&gt;0),Tarification!$D$10,0)))</f>
        <v>0</v>
      </c>
      <c r="AH784" s="37">
        <f>IF(AND(AH494&lt;=$I209,AH494&gt;$J209),Tarification!$D$8,IF(AND(AH494&lt;=$J209,AH494&gt;$K209),Tarification!$D$9,IF(AND(AH494&lt;=$K209,AH494&gt;0),Tarification!$D$10,0)))</f>
        <v>0</v>
      </c>
      <c r="AI784" s="37">
        <f>IF(AND(AI494&lt;=$I209,AI494&gt;$J209),Tarification!$D$8,IF(AND(AI494&lt;=$J209,AI494&gt;$K209),Tarification!$D$9,IF(AND(AI494&lt;=$K209,AI494&gt;0),Tarification!$D$10,0)))</f>
        <v>0</v>
      </c>
      <c r="AJ784" s="37">
        <f>IF(AND(AJ494&lt;=$I209,AJ494&gt;$J209),Tarification!$D$8,IF(AND(AJ494&lt;=$J209,AJ494&gt;$K209),Tarification!$D$9,IF(AND(AJ494&lt;=$K209,AJ494&gt;0),Tarification!$D$10,0)))</f>
        <v>0</v>
      </c>
      <c r="AK784" s="37">
        <f>IF(AND(AK494&lt;=$I209,AK494&gt;$J209),Tarification!$D$8,IF(AND(AK494&lt;=$J209,AK494&gt;$K209),Tarification!$D$9,IF(AND(AK494&lt;=$K209,AK494&gt;0),Tarification!$D$10,0)))</f>
        <v>0</v>
      </c>
      <c r="AL784" s="37">
        <f>IF(AND(AL494&lt;=$I209,AL494&gt;$J209),Tarification!$D$8,IF(AND(AL494&lt;=$J209,AL494&gt;$K209),Tarification!$D$9,IF(AND(AL494&lt;=$K209,AL494&gt;0),Tarification!$D$10,0)))</f>
        <v>0</v>
      </c>
      <c r="AM784" s="37">
        <f>IF(AND(AM494&lt;=$I209,AM494&gt;$J209),Tarification!$D$8,IF(AND(AM494&lt;=$J209,AM494&gt;$K209),Tarification!$D$9,IF(AND(AM494&lt;=$K209,AM494&gt;0),Tarification!$D$10,0)))</f>
        <v>0</v>
      </c>
      <c r="AN784" s="37">
        <f>IF(AND(AN494&lt;=$I209,AN494&gt;$J209),Tarification!$D$8,IF(AND(AN494&lt;=$J209,AN494&gt;$K209),Tarification!$D$9,IF(AND(AN494&lt;=$K209,AN494&gt;0),Tarification!$D$10,0)))</f>
        <v>0</v>
      </c>
      <c r="AQ784" s="101">
        <f t="shared" si="151"/>
        <v>0</v>
      </c>
    </row>
    <row r="785" spans="14:43" ht="15.6">
      <c r="N785" s="39" t="s">
        <v>27</v>
      </c>
      <c r="O785" s="39" t="s">
        <v>553</v>
      </c>
      <c r="P785" t="s">
        <v>809</v>
      </c>
      <c r="Q785" s="39"/>
      <c r="V785" s="37">
        <f>IF(AND(V495&lt;=$I210,V495&gt;$J210),Tarification!$D$8,IF(AND(V495&lt;=$J210,V495&gt;$K210),Tarification!$D$9,IF(AND(V495&lt;=$K210,V495&gt;0),Tarification!$D$10,0)))</f>
        <v>0</v>
      </c>
      <c r="W785" s="37">
        <f>IF(AND(W495&lt;=$I210,W495&gt;$J210),Tarification!$D$8,IF(AND(W495&lt;=$J210,W495&gt;$K210),Tarification!$D$9,IF(AND(W495&lt;=$K210,W495&gt;0),Tarification!$D$10,0)))</f>
        <v>0</v>
      </c>
      <c r="X785" s="37">
        <f>IF(AND(X495&lt;=$I210,X495&gt;$J210),Tarification!$D$8,IF(AND(X495&lt;=$J210,X495&gt;$K210),Tarification!$D$9,IF(AND(X495&lt;=$K210,X495&gt;0),Tarification!$D$10,0)))</f>
        <v>0</v>
      </c>
      <c r="Y785" s="37">
        <f>IF(AND(Y495&lt;=$I210,Y495&gt;$J210),Tarification!$D$8,IF(AND(Y495&lt;=$J210,Y495&gt;$K210),Tarification!$D$9,IF(AND(Y495&lt;=$K210,Y495&gt;0),Tarification!$D$10,0)))</f>
        <v>0</v>
      </c>
      <c r="Z785" s="37">
        <f>IF(AND(Z495&lt;=$I210,Z495&gt;$J210),Tarification!$D$8,IF(AND(Z495&lt;=$J210,Z495&gt;$K210),Tarification!$D$9,IF(AND(Z495&lt;=$K210,Z495&gt;0),Tarification!$D$10,0)))</f>
        <v>50000</v>
      </c>
      <c r="AA785" s="37">
        <f>IF(AND(AA495&lt;=$I210,AA495&gt;$J210),Tarification!$D$8,IF(AND(AA495&lt;=$J210,AA495&gt;$K210),Tarification!$D$9,IF(AND(AA495&lt;=$K210,AA495&gt;0),Tarification!$D$10,0)))</f>
        <v>0</v>
      </c>
      <c r="AB785" s="37">
        <f>IF(AND(AB495&lt;=$I210,AB495&gt;$J210),Tarification!$D$8,IF(AND(AB495&lt;=$J210,AB495&gt;$K210),Tarification!$D$9,IF(AND(AB495&lt;=$K210,AB495&gt;0),Tarification!$D$10,0)))</f>
        <v>0</v>
      </c>
      <c r="AC785" s="37">
        <f>IF(AND(AC495&lt;=$I210,AC495&gt;$J210),Tarification!$D$8,IF(AND(AC495&lt;=$J210,AC495&gt;$K210),Tarification!$D$9,IF(AND(AC495&lt;=$K210,AC495&gt;0),Tarification!$D$10,0)))</f>
        <v>0</v>
      </c>
      <c r="AD785" s="37">
        <f>IF(AND(AD495&lt;=$I210,AD495&gt;$J210),Tarification!$D$8,IF(AND(AD495&lt;=$J210,AD495&gt;$K210),Tarification!$D$9,IF(AND(AD495&lt;=$K210,AD495&gt;0),Tarification!$D$10,0)))</f>
        <v>50000</v>
      </c>
      <c r="AE785" s="37">
        <f>IF(AND(AE495&lt;=$I210,AE495&gt;$J210),Tarification!$D$8,IF(AND(AE495&lt;=$J210,AE495&gt;$K210),Tarification!$D$9,IF(AND(AE495&lt;=$K210,AE495&gt;0),Tarification!$D$10,0)))</f>
        <v>50000</v>
      </c>
      <c r="AF785" s="37">
        <f>IF(AND(AF495&lt;=$I210,AF495&gt;$J210),Tarification!$D$8,IF(AND(AF495&lt;=$J210,AF495&gt;$K210),Tarification!$D$9,IF(AND(AF495&lt;=$K210,AF495&gt;0),Tarification!$D$10,0)))</f>
        <v>125000</v>
      </c>
      <c r="AG785" s="37">
        <f>IF(AND(AG495&lt;=$I210,AG495&gt;$J210),Tarification!$D$8,IF(AND(AG495&lt;=$J210,AG495&gt;$K210),Tarification!$D$9,IF(AND(AG495&lt;=$K210,AG495&gt;0),Tarification!$D$10,0)))</f>
        <v>0</v>
      </c>
      <c r="AH785" s="37">
        <f>IF(AND(AH495&lt;=$I210,AH495&gt;$J210),Tarification!$D$8,IF(AND(AH495&lt;=$J210,AH495&gt;$K210),Tarification!$D$9,IF(AND(AH495&lt;=$K210,AH495&gt;0),Tarification!$D$10,0)))</f>
        <v>0</v>
      </c>
      <c r="AI785" s="37">
        <f>IF(AND(AI495&lt;=$I210,AI495&gt;$J210),Tarification!$D$8,IF(AND(AI495&lt;=$J210,AI495&gt;$K210),Tarification!$D$9,IF(AND(AI495&lt;=$K210,AI495&gt;0),Tarification!$D$10,0)))</f>
        <v>0</v>
      </c>
      <c r="AJ785" s="37">
        <f>IF(AND(AJ495&lt;=$I210,AJ495&gt;$J210),Tarification!$D$8,IF(AND(AJ495&lt;=$J210,AJ495&gt;$K210),Tarification!$D$9,IF(AND(AJ495&lt;=$K210,AJ495&gt;0),Tarification!$D$10,0)))</f>
        <v>0</v>
      </c>
      <c r="AK785" s="37">
        <f>IF(AND(AK495&lt;=$I210,AK495&gt;$J210),Tarification!$D$8,IF(AND(AK495&lt;=$J210,AK495&gt;$K210),Tarification!$D$9,IF(AND(AK495&lt;=$K210,AK495&gt;0),Tarification!$D$10,0)))</f>
        <v>0</v>
      </c>
      <c r="AL785" s="37">
        <f>IF(AND(AL495&lt;=$I210,AL495&gt;$J210),Tarification!$D$8,IF(AND(AL495&lt;=$J210,AL495&gt;$K210),Tarification!$D$9,IF(AND(AL495&lt;=$K210,AL495&gt;0),Tarification!$D$10,0)))</f>
        <v>0</v>
      </c>
      <c r="AM785" s="37">
        <f>IF(AND(AM495&lt;=$I210,AM495&gt;$J210),Tarification!$D$8,IF(AND(AM495&lt;=$J210,AM495&gt;$K210),Tarification!$D$9,IF(AND(AM495&lt;=$K210,AM495&gt;0),Tarification!$D$10,0)))</f>
        <v>0</v>
      </c>
      <c r="AN785" s="37">
        <f>IF(AND(AN495&lt;=$I210,AN495&gt;$J210),Tarification!$D$8,IF(AND(AN495&lt;=$J210,AN495&gt;$K210),Tarification!$D$9,IF(AND(AN495&lt;=$K210,AN495&gt;0),Tarification!$D$10,0)))</f>
        <v>0</v>
      </c>
      <c r="AQ785" s="101">
        <f t="shared" si="151"/>
        <v>14473.684210526315</v>
      </c>
    </row>
    <row r="786" spans="14:43" ht="15.6">
      <c r="N786" s="39" t="s">
        <v>27</v>
      </c>
      <c r="O786" s="39" t="s">
        <v>489</v>
      </c>
      <c r="P786" t="s">
        <v>810</v>
      </c>
      <c r="Q786" s="39"/>
      <c r="V786" s="37">
        <f>IF(AND(V496&lt;=$I211,V496&gt;$J211),Tarification!$D$8,IF(AND(V496&lt;=$J211,V496&gt;$K211),Tarification!$D$9,IF(AND(V496&lt;=$K211,V496&gt;0),Tarification!$D$10,0)))</f>
        <v>0</v>
      </c>
      <c r="W786" s="37">
        <f>IF(AND(W496&lt;=$I211,W496&gt;$J211),Tarification!$D$8,IF(AND(W496&lt;=$J211,W496&gt;$K211),Tarification!$D$9,IF(AND(W496&lt;=$K211,W496&gt;0),Tarification!$D$10,0)))</f>
        <v>0</v>
      </c>
      <c r="X786" s="37">
        <f>IF(AND(X496&lt;=$I211,X496&gt;$J211),Tarification!$D$8,IF(AND(X496&lt;=$J211,X496&gt;$K211),Tarification!$D$9,IF(AND(X496&lt;=$K211,X496&gt;0),Tarification!$D$10,0)))</f>
        <v>0</v>
      </c>
      <c r="Y786" s="37">
        <f>IF(AND(Y496&lt;=$I211,Y496&gt;$J211),Tarification!$D$8,IF(AND(Y496&lt;=$J211,Y496&gt;$K211),Tarification!$D$9,IF(AND(Y496&lt;=$K211,Y496&gt;0),Tarification!$D$10,0)))</f>
        <v>0</v>
      </c>
      <c r="Z786" s="37">
        <f>IF(AND(Z496&lt;=$I211,Z496&gt;$J211),Tarification!$D$8,IF(AND(Z496&lt;=$J211,Z496&gt;$K211),Tarification!$D$9,IF(AND(Z496&lt;=$K211,Z496&gt;0),Tarification!$D$10,0)))</f>
        <v>0</v>
      </c>
      <c r="AA786" s="37">
        <f>IF(AND(AA496&lt;=$I211,AA496&gt;$J211),Tarification!$D$8,IF(AND(AA496&lt;=$J211,AA496&gt;$K211),Tarification!$D$9,IF(AND(AA496&lt;=$K211,AA496&gt;0),Tarification!$D$10,0)))</f>
        <v>0</v>
      </c>
      <c r="AB786" s="37">
        <f>IF(AND(AB496&lt;=$I211,AB496&gt;$J211),Tarification!$D$8,IF(AND(AB496&lt;=$J211,AB496&gt;$K211),Tarification!$D$9,IF(AND(AB496&lt;=$K211,AB496&gt;0),Tarification!$D$10,0)))</f>
        <v>0</v>
      </c>
      <c r="AC786" s="37">
        <f>IF(AND(AC496&lt;=$I211,AC496&gt;$J211),Tarification!$D$8,IF(AND(AC496&lt;=$J211,AC496&gt;$K211),Tarification!$D$9,IF(AND(AC496&lt;=$K211,AC496&gt;0),Tarification!$D$10,0)))</f>
        <v>0</v>
      </c>
      <c r="AD786" s="37">
        <f>IF(AND(AD496&lt;=$I211,AD496&gt;$J211),Tarification!$D$8,IF(AND(AD496&lt;=$J211,AD496&gt;$K211),Tarification!$D$9,IF(AND(AD496&lt;=$K211,AD496&gt;0),Tarification!$D$10,0)))</f>
        <v>50000</v>
      </c>
      <c r="AE786" s="37">
        <f>IF(AND(AE496&lt;=$I211,AE496&gt;$J211),Tarification!$D$8,IF(AND(AE496&lt;=$J211,AE496&gt;$K211),Tarification!$D$9,IF(AND(AE496&lt;=$K211,AE496&gt;0),Tarification!$D$10,0)))</f>
        <v>0</v>
      </c>
      <c r="AF786" s="37">
        <f>IF(AND(AF496&lt;=$I211,AF496&gt;$J211),Tarification!$D$8,IF(AND(AF496&lt;=$J211,AF496&gt;$K211),Tarification!$D$9,IF(AND(AF496&lt;=$K211,AF496&gt;0),Tarification!$D$10,0)))</f>
        <v>0</v>
      </c>
      <c r="AG786" s="37">
        <f>IF(AND(AG496&lt;=$I211,AG496&gt;$J211),Tarification!$D$8,IF(AND(AG496&lt;=$J211,AG496&gt;$K211),Tarification!$D$9,IF(AND(AG496&lt;=$K211,AG496&gt;0),Tarification!$D$10,0)))</f>
        <v>0</v>
      </c>
      <c r="AH786" s="37">
        <f>IF(AND(AH496&lt;=$I211,AH496&gt;$J211),Tarification!$D$8,IF(AND(AH496&lt;=$J211,AH496&gt;$K211),Tarification!$D$9,IF(AND(AH496&lt;=$K211,AH496&gt;0),Tarification!$D$10,0)))</f>
        <v>0</v>
      </c>
      <c r="AI786" s="37">
        <f>IF(AND(AI496&lt;=$I211,AI496&gt;$J211),Tarification!$D$8,IF(AND(AI496&lt;=$J211,AI496&gt;$K211),Tarification!$D$9,IF(AND(AI496&lt;=$K211,AI496&gt;0),Tarification!$D$10,0)))</f>
        <v>0</v>
      </c>
      <c r="AJ786" s="37">
        <f>IF(AND(AJ496&lt;=$I211,AJ496&gt;$J211),Tarification!$D$8,IF(AND(AJ496&lt;=$J211,AJ496&gt;$K211),Tarification!$D$9,IF(AND(AJ496&lt;=$K211,AJ496&gt;0),Tarification!$D$10,0)))</f>
        <v>0</v>
      </c>
      <c r="AK786" s="37">
        <f>IF(AND(AK496&lt;=$I211,AK496&gt;$J211),Tarification!$D$8,IF(AND(AK496&lt;=$J211,AK496&gt;$K211),Tarification!$D$9,IF(AND(AK496&lt;=$K211,AK496&gt;0),Tarification!$D$10,0)))</f>
        <v>0</v>
      </c>
      <c r="AL786" s="37">
        <f>IF(AND(AL496&lt;=$I211,AL496&gt;$J211),Tarification!$D$8,IF(AND(AL496&lt;=$J211,AL496&gt;$K211),Tarification!$D$9,IF(AND(AL496&lt;=$K211,AL496&gt;0),Tarification!$D$10,0)))</f>
        <v>0</v>
      </c>
      <c r="AM786" s="37">
        <f>IF(AND(AM496&lt;=$I211,AM496&gt;$J211),Tarification!$D$8,IF(AND(AM496&lt;=$J211,AM496&gt;$K211),Tarification!$D$9,IF(AND(AM496&lt;=$K211,AM496&gt;0),Tarification!$D$10,0)))</f>
        <v>0</v>
      </c>
      <c r="AN786" s="37">
        <f>IF(AND(AN496&lt;=$I211,AN496&gt;$J211),Tarification!$D$8,IF(AND(AN496&lt;=$J211,AN496&gt;$K211),Tarification!$D$9,IF(AND(AN496&lt;=$K211,AN496&gt;0),Tarification!$D$10,0)))</f>
        <v>0</v>
      </c>
      <c r="AQ786" s="101">
        <f t="shared" si="151"/>
        <v>2631.5789473684213</v>
      </c>
    </row>
    <row r="787" spans="14:43" ht="15.6">
      <c r="N787" s="39" t="s">
        <v>27</v>
      </c>
      <c r="O787" s="39" t="s">
        <v>613</v>
      </c>
      <c r="P787" t="s">
        <v>811</v>
      </c>
      <c r="Q787" s="39"/>
      <c r="V787" s="37">
        <f>IF(AND(V497&lt;=$I212,V497&gt;$J212),Tarification!$D$8,IF(AND(V497&lt;=$J212,V497&gt;$K212),Tarification!$D$9,IF(AND(V497&lt;=$K212,V497&gt;0),Tarification!$D$10,0)))</f>
        <v>0</v>
      </c>
      <c r="W787" s="37">
        <f>IF(AND(W497&lt;=$I212,W497&gt;$J212),Tarification!$D$8,IF(AND(W497&lt;=$J212,W497&gt;$K212),Tarification!$D$9,IF(AND(W497&lt;=$K212,W497&gt;0),Tarification!$D$10,0)))</f>
        <v>0</v>
      </c>
      <c r="X787" s="37">
        <f>IF(AND(X497&lt;=$I212,X497&gt;$J212),Tarification!$D$8,IF(AND(X497&lt;=$J212,X497&gt;$K212),Tarification!$D$9,IF(AND(X497&lt;=$K212,X497&gt;0),Tarification!$D$10,0)))</f>
        <v>0</v>
      </c>
      <c r="Y787" s="37">
        <f>IF(AND(Y497&lt;=$I212,Y497&gt;$J212),Tarification!$D$8,IF(AND(Y497&lt;=$J212,Y497&gt;$K212),Tarification!$D$9,IF(AND(Y497&lt;=$K212,Y497&gt;0),Tarification!$D$10,0)))</f>
        <v>0</v>
      </c>
      <c r="Z787" s="37">
        <f>IF(AND(Z497&lt;=$I212,Z497&gt;$J212),Tarification!$D$8,IF(AND(Z497&lt;=$J212,Z497&gt;$K212),Tarification!$D$9,IF(AND(Z497&lt;=$K212,Z497&gt;0),Tarification!$D$10,0)))</f>
        <v>0</v>
      </c>
      <c r="AA787" s="37">
        <f>IF(AND(AA497&lt;=$I212,AA497&gt;$J212),Tarification!$D$8,IF(AND(AA497&lt;=$J212,AA497&gt;$K212),Tarification!$D$9,IF(AND(AA497&lt;=$K212,AA497&gt;0),Tarification!$D$10,0)))</f>
        <v>0</v>
      </c>
      <c r="AB787" s="37">
        <f>IF(AND(AB497&lt;=$I212,AB497&gt;$J212),Tarification!$D$8,IF(AND(AB497&lt;=$J212,AB497&gt;$K212),Tarification!$D$9,IF(AND(AB497&lt;=$K212,AB497&gt;0),Tarification!$D$10,0)))</f>
        <v>0</v>
      </c>
      <c r="AC787" s="37">
        <f>IF(AND(AC497&lt;=$I212,AC497&gt;$J212),Tarification!$D$8,IF(AND(AC497&lt;=$J212,AC497&gt;$K212),Tarification!$D$9,IF(AND(AC497&lt;=$K212,AC497&gt;0),Tarification!$D$10,0)))</f>
        <v>250000</v>
      </c>
      <c r="AD787" s="37">
        <f>IF(AND(AD497&lt;=$I212,AD497&gt;$J212),Tarification!$D$8,IF(AND(AD497&lt;=$J212,AD497&gt;$K212),Tarification!$D$9,IF(AND(AD497&lt;=$K212,AD497&gt;0),Tarification!$D$10,0)))</f>
        <v>50000</v>
      </c>
      <c r="AE787" s="37">
        <f>IF(AND(AE497&lt;=$I212,AE497&gt;$J212),Tarification!$D$8,IF(AND(AE497&lt;=$J212,AE497&gt;$K212),Tarification!$D$9,IF(AND(AE497&lt;=$K212,AE497&gt;0),Tarification!$D$10,0)))</f>
        <v>250000</v>
      </c>
      <c r="AF787" s="37">
        <f>IF(AND(AF497&lt;=$I212,AF497&gt;$J212),Tarification!$D$8,IF(AND(AF497&lt;=$J212,AF497&gt;$K212),Tarification!$D$9,IF(AND(AF497&lt;=$K212,AF497&gt;0),Tarification!$D$10,0)))</f>
        <v>0</v>
      </c>
      <c r="AG787" s="37">
        <f>IF(AND(AG497&lt;=$I212,AG497&gt;$J212),Tarification!$D$8,IF(AND(AG497&lt;=$J212,AG497&gt;$K212),Tarification!$D$9,IF(AND(AG497&lt;=$K212,AG497&gt;0),Tarification!$D$10,0)))</f>
        <v>0</v>
      </c>
      <c r="AH787" s="37">
        <f>IF(AND(AH497&lt;=$I212,AH497&gt;$J212),Tarification!$D$8,IF(AND(AH497&lt;=$J212,AH497&gt;$K212),Tarification!$D$9,IF(AND(AH497&lt;=$K212,AH497&gt;0),Tarification!$D$10,0)))</f>
        <v>50000</v>
      </c>
      <c r="AI787" s="37">
        <f>IF(AND(AI497&lt;=$I212,AI497&gt;$J212),Tarification!$D$8,IF(AND(AI497&lt;=$J212,AI497&gt;$K212),Tarification!$D$9,IF(AND(AI497&lt;=$K212,AI497&gt;0),Tarification!$D$10,0)))</f>
        <v>0</v>
      </c>
      <c r="AJ787" s="37">
        <f>IF(AND(AJ497&lt;=$I212,AJ497&gt;$J212),Tarification!$D$8,IF(AND(AJ497&lt;=$J212,AJ497&gt;$K212),Tarification!$D$9,IF(AND(AJ497&lt;=$K212,AJ497&gt;0),Tarification!$D$10,0)))</f>
        <v>50000</v>
      </c>
      <c r="AK787" s="37">
        <f>IF(AND(AK497&lt;=$I212,AK497&gt;$J212),Tarification!$D$8,IF(AND(AK497&lt;=$J212,AK497&gt;$K212),Tarification!$D$9,IF(AND(AK497&lt;=$K212,AK497&gt;0),Tarification!$D$10,0)))</f>
        <v>0</v>
      </c>
      <c r="AL787" s="37">
        <f>IF(AND(AL497&lt;=$I212,AL497&gt;$J212),Tarification!$D$8,IF(AND(AL497&lt;=$J212,AL497&gt;$K212),Tarification!$D$9,IF(AND(AL497&lt;=$K212,AL497&gt;0),Tarification!$D$10,0)))</f>
        <v>0</v>
      </c>
      <c r="AM787" s="37">
        <f>IF(AND(AM497&lt;=$I212,AM497&gt;$J212),Tarification!$D$8,IF(AND(AM497&lt;=$J212,AM497&gt;$K212),Tarification!$D$9,IF(AND(AM497&lt;=$K212,AM497&gt;0),Tarification!$D$10,0)))</f>
        <v>0</v>
      </c>
      <c r="AN787" s="37">
        <f>IF(AND(AN497&lt;=$I212,AN497&gt;$J212),Tarification!$D$8,IF(AND(AN497&lt;=$J212,AN497&gt;$K212),Tarification!$D$9,IF(AND(AN497&lt;=$K212,AN497&gt;0),Tarification!$D$10,0)))</f>
        <v>250000</v>
      </c>
      <c r="AQ787" s="101">
        <f t="shared" si="151"/>
        <v>47368.42105263158</v>
      </c>
    </row>
    <row r="788" spans="14:43" ht="15.6">
      <c r="N788" s="39" t="s">
        <v>26</v>
      </c>
      <c r="O788" s="39" t="s">
        <v>576</v>
      </c>
      <c r="P788" t="s">
        <v>688</v>
      </c>
      <c r="Q788" s="39"/>
      <c r="V788" s="37">
        <f>IF(AND(V498&lt;=$I213,V498&gt;$J213),Tarification!$D$8,IF(AND(V498&lt;=$J213,V498&gt;$K213),Tarification!$D$9,IF(AND(V498&lt;=$K213,V498&gt;0),Tarification!$D$10,0)))</f>
        <v>0</v>
      </c>
      <c r="W788" s="37">
        <f>IF(AND(W498&lt;=$I213,W498&gt;$J213),Tarification!$D$8,IF(AND(W498&lt;=$J213,W498&gt;$K213),Tarification!$D$9,IF(AND(W498&lt;=$K213,W498&gt;0),Tarification!$D$10,0)))</f>
        <v>0</v>
      </c>
      <c r="X788" s="37">
        <f>IF(AND(X498&lt;=$I213,X498&gt;$J213),Tarification!$D$8,IF(AND(X498&lt;=$J213,X498&gt;$K213),Tarification!$D$9,IF(AND(X498&lt;=$K213,X498&gt;0),Tarification!$D$10,0)))</f>
        <v>0</v>
      </c>
      <c r="Y788" s="37">
        <f>IF(AND(Y498&lt;=$I213,Y498&gt;$J213),Tarification!$D$8,IF(AND(Y498&lt;=$J213,Y498&gt;$K213),Tarification!$D$9,IF(AND(Y498&lt;=$K213,Y498&gt;0),Tarification!$D$10,0)))</f>
        <v>0</v>
      </c>
      <c r="Z788" s="37">
        <f>IF(AND(Z498&lt;=$I213,Z498&gt;$J213),Tarification!$D$8,IF(AND(Z498&lt;=$J213,Z498&gt;$K213),Tarification!$D$9,IF(AND(Z498&lt;=$K213,Z498&gt;0),Tarification!$D$10,0)))</f>
        <v>0</v>
      </c>
      <c r="AA788" s="37">
        <f>IF(AND(AA498&lt;=$I213,AA498&gt;$J213),Tarification!$D$8,IF(AND(AA498&lt;=$J213,AA498&gt;$K213),Tarification!$D$9,IF(AND(AA498&lt;=$K213,AA498&gt;0),Tarification!$D$10,0)))</f>
        <v>0</v>
      </c>
      <c r="AB788" s="37">
        <f>IF(AND(AB498&lt;=$I213,AB498&gt;$J213),Tarification!$D$8,IF(AND(AB498&lt;=$J213,AB498&gt;$K213),Tarification!$D$9,IF(AND(AB498&lt;=$K213,AB498&gt;0),Tarification!$D$10,0)))</f>
        <v>0</v>
      </c>
      <c r="AC788" s="37">
        <f>IF(AND(AC498&lt;=$I213,AC498&gt;$J213),Tarification!$D$8,IF(AND(AC498&lt;=$J213,AC498&gt;$K213),Tarification!$D$9,IF(AND(AC498&lt;=$K213,AC498&gt;0),Tarification!$D$10,0)))</f>
        <v>125000</v>
      </c>
      <c r="AD788" s="37">
        <f>IF(AND(AD498&lt;=$I213,AD498&gt;$J213),Tarification!$D$8,IF(AND(AD498&lt;=$J213,AD498&gt;$K213),Tarification!$D$9,IF(AND(AD498&lt;=$K213,AD498&gt;0),Tarification!$D$10,0)))</f>
        <v>50000</v>
      </c>
      <c r="AE788" s="37">
        <f>IF(AND(AE498&lt;=$I213,AE498&gt;$J213),Tarification!$D$8,IF(AND(AE498&lt;=$J213,AE498&gt;$K213),Tarification!$D$9,IF(AND(AE498&lt;=$K213,AE498&gt;0),Tarification!$D$10,0)))</f>
        <v>125000</v>
      </c>
      <c r="AF788" s="37">
        <f>IF(AND(AF498&lt;=$I213,AF498&gt;$J213),Tarification!$D$8,IF(AND(AF498&lt;=$J213,AF498&gt;$K213),Tarification!$D$9,IF(AND(AF498&lt;=$K213,AF498&gt;0),Tarification!$D$10,0)))</f>
        <v>0</v>
      </c>
      <c r="AG788" s="37">
        <f>IF(AND(AG498&lt;=$I213,AG498&gt;$J213),Tarification!$D$8,IF(AND(AG498&lt;=$J213,AG498&gt;$K213),Tarification!$D$9,IF(AND(AG498&lt;=$K213,AG498&gt;0),Tarification!$D$10,0)))</f>
        <v>0</v>
      </c>
      <c r="AH788" s="37">
        <f>IF(AND(AH498&lt;=$I213,AH498&gt;$J213),Tarification!$D$8,IF(AND(AH498&lt;=$J213,AH498&gt;$K213),Tarification!$D$9,IF(AND(AH498&lt;=$K213,AH498&gt;0),Tarification!$D$10,0)))</f>
        <v>50000</v>
      </c>
      <c r="AI788" s="37">
        <f>IF(AND(AI498&lt;=$I213,AI498&gt;$J213),Tarification!$D$8,IF(AND(AI498&lt;=$J213,AI498&gt;$K213),Tarification!$D$9,IF(AND(AI498&lt;=$K213,AI498&gt;0),Tarification!$D$10,0)))</f>
        <v>0</v>
      </c>
      <c r="AJ788" s="37">
        <f>IF(AND(AJ498&lt;=$I213,AJ498&gt;$J213),Tarification!$D$8,IF(AND(AJ498&lt;=$J213,AJ498&gt;$K213),Tarification!$D$9,IF(AND(AJ498&lt;=$K213,AJ498&gt;0),Tarification!$D$10,0)))</f>
        <v>0</v>
      </c>
      <c r="AK788" s="37">
        <f>IF(AND(AK498&lt;=$I213,AK498&gt;$J213),Tarification!$D$8,IF(AND(AK498&lt;=$J213,AK498&gt;$K213),Tarification!$D$9,IF(AND(AK498&lt;=$K213,AK498&gt;0),Tarification!$D$10,0)))</f>
        <v>0</v>
      </c>
      <c r="AL788" s="37">
        <f>IF(AND(AL498&lt;=$I213,AL498&gt;$J213),Tarification!$D$8,IF(AND(AL498&lt;=$J213,AL498&gt;$K213),Tarification!$D$9,IF(AND(AL498&lt;=$K213,AL498&gt;0),Tarification!$D$10,0)))</f>
        <v>0</v>
      </c>
      <c r="AM788" s="37">
        <f>IF(AND(AM498&lt;=$I213,AM498&gt;$J213),Tarification!$D$8,IF(AND(AM498&lt;=$J213,AM498&gt;$K213),Tarification!$D$9,IF(AND(AM498&lt;=$K213,AM498&gt;0),Tarification!$D$10,0)))</f>
        <v>0</v>
      </c>
      <c r="AN788" s="37">
        <f>IF(AND(AN498&lt;=$I213,AN498&gt;$J213),Tarification!$D$8,IF(AND(AN498&lt;=$J213,AN498&gt;$K213),Tarification!$D$9,IF(AND(AN498&lt;=$K213,AN498&gt;0),Tarification!$D$10,0)))</f>
        <v>250000</v>
      </c>
      <c r="AQ788" s="101">
        <f t="shared" si="151"/>
        <v>31578.947368421053</v>
      </c>
    </row>
    <row r="789" spans="14:43" ht="15.6">
      <c r="N789" s="39" t="s">
        <v>27</v>
      </c>
      <c r="O789" s="39" t="s">
        <v>448</v>
      </c>
      <c r="P789" t="s">
        <v>812</v>
      </c>
      <c r="Q789" s="39"/>
      <c r="V789" s="37">
        <f>IF(AND(V499&lt;=$I214,V499&gt;$J214),Tarification!$D$8,IF(AND(V499&lt;=$J214,V499&gt;$K214),Tarification!$D$9,IF(AND(V499&lt;=$K214,V499&gt;0),Tarification!$D$10,0)))</f>
        <v>0</v>
      </c>
      <c r="W789" s="37">
        <f>IF(AND(W499&lt;=$I214,W499&gt;$J214),Tarification!$D$8,IF(AND(W499&lt;=$J214,W499&gt;$K214),Tarification!$D$9,IF(AND(W499&lt;=$K214,W499&gt;0),Tarification!$D$10,0)))</f>
        <v>0</v>
      </c>
      <c r="X789" s="37">
        <f>IF(AND(X499&lt;=$I214,X499&gt;$J214),Tarification!$D$8,IF(AND(X499&lt;=$J214,X499&gt;$K214),Tarification!$D$9,IF(AND(X499&lt;=$K214,X499&gt;0),Tarification!$D$10,0)))</f>
        <v>0</v>
      </c>
      <c r="Y789" s="37">
        <f>IF(AND(Y499&lt;=$I214,Y499&gt;$J214),Tarification!$D$8,IF(AND(Y499&lt;=$J214,Y499&gt;$K214),Tarification!$D$9,IF(AND(Y499&lt;=$K214,Y499&gt;0),Tarification!$D$10,0)))</f>
        <v>0</v>
      </c>
      <c r="Z789" s="37">
        <f>IF(AND(Z499&lt;=$I214,Z499&gt;$J214),Tarification!$D$8,IF(AND(Z499&lt;=$J214,Z499&gt;$K214),Tarification!$D$9,IF(AND(Z499&lt;=$K214,Z499&gt;0),Tarification!$D$10,0)))</f>
        <v>0</v>
      </c>
      <c r="AA789" s="37">
        <f>IF(AND(AA499&lt;=$I214,AA499&gt;$J214),Tarification!$D$8,IF(AND(AA499&lt;=$J214,AA499&gt;$K214),Tarification!$D$9,IF(AND(AA499&lt;=$K214,AA499&gt;0),Tarification!$D$10,0)))</f>
        <v>0</v>
      </c>
      <c r="AB789" s="37">
        <f>IF(AND(AB499&lt;=$I214,AB499&gt;$J214),Tarification!$D$8,IF(AND(AB499&lt;=$J214,AB499&gt;$K214),Tarification!$D$9,IF(AND(AB499&lt;=$K214,AB499&gt;0),Tarification!$D$10,0)))</f>
        <v>0</v>
      </c>
      <c r="AC789" s="37">
        <f>IF(AND(AC499&lt;=$I214,AC499&gt;$J214),Tarification!$D$8,IF(AND(AC499&lt;=$J214,AC499&gt;$K214),Tarification!$D$9,IF(AND(AC499&lt;=$K214,AC499&gt;0),Tarification!$D$10,0)))</f>
        <v>0</v>
      </c>
      <c r="AD789" s="37">
        <f>IF(AND(AD499&lt;=$I214,AD499&gt;$J214),Tarification!$D$8,IF(AND(AD499&lt;=$J214,AD499&gt;$K214),Tarification!$D$9,IF(AND(AD499&lt;=$K214,AD499&gt;0),Tarification!$D$10,0)))</f>
        <v>50000</v>
      </c>
      <c r="AE789" s="37">
        <f>IF(AND(AE499&lt;=$I214,AE499&gt;$J214),Tarification!$D$8,IF(AND(AE499&lt;=$J214,AE499&gt;$K214),Tarification!$D$9,IF(AND(AE499&lt;=$K214,AE499&gt;0),Tarification!$D$10,0)))</f>
        <v>0</v>
      </c>
      <c r="AF789" s="37">
        <f>IF(AND(AF499&lt;=$I214,AF499&gt;$J214),Tarification!$D$8,IF(AND(AF499&lt;=$J214,AF499&gt;$K214),Tarification!$D$9,IF(AND(AF499&lt;=$K214,AF499&gt;0),Tarification!$D$10,0)))</f>
        <v>0</v>
      </c>
      <c r="AG789" s="37">
        <f>IF(AND(AG499&lt;=$I214,AG499&gt;$J214),Tarification!$D$8,IF(AND(AG499&lt;=$J214,AG499&gt;$K214),Tarification!$D$9,IF(AND(AG499&lt;=$K214,AG499&gt;0),Tarification!$D$10,0)))</f>
        <v>0</v>
      </c>
      <c r="AH789" s="37">
        <f>IF(AND(AH499&lt;=$I214,AH499&gt;$J214),Tarification!$D$8,IF(AND(AH499&lt;=$J214,AH499&gt;$K214),Tarification!$D$9,IF(AND(AH499&lt;=$K214,AH499&gt;0),Tarification!$D$10,0)))</f>
        <v>0</v>
      </c>
      <c r="AI789" s="37">
        <f>IF(AND(AI499&lt;=$I214,AI499&gt;$J214),Tarification!$D$8,IF(AND(AI499&lt;=$J214,AI499&gt;$K214),Tarification!$D$9,IF(AND(AI499&lt;=$K214,AI499&gt;0),Tarification!$D$10,0)))</f>
        <v>0</v>
      </c>
      <c r="AJ789" s="37">
        <f>IF(AND(AJ499&lt;=$I214,AJ499&gt;$J214),Tarification!$D$8,IF(AND(AJ499&lt;=$J214,AJ499&gt;$K214),Tarification!$D$9,IF(AND(AJ499&lt;=$K214,AJ499&gt;0),Tarification!$D$10,0)))</f>
        <v>50000</v>
      </c>
      <c r="AK789" s="37">
        <f>IF(AND(AK499&lt;=$I214,AK499&gt;$J214),Tarification!$D$8,IF(AND(AK499&lt;=$J214,AK499&gt;$K214),Tarification!$D$9,IF(AND(AK499&lt;=$K214,AK499&gt;0),Tarification!$D$10,0)))</f>
        <v>0</v>
      </c>
      <c r="AL789" s="37">
        <f>IF(AND(AL499&lt;=$I214,AL499&gt;$J214),Tarification!$D$8,IF(AND(AL499&lt;=$J214,AL499&gt;$K214),Tarification!$D$9,IF(AND(AL499&lt;=$K214,AL499&gt;0),Tarification!$D$10,0)))</f>
        <v>0</v>
      </c>
      <c r="AM789" s="37">
        <f>IF(AND(AM499&lt;=$I214,AM499&gt;$J214),Tarification!$D$8,IF(AND(AM499&lt;=$J214,AM499&gt;$K214),Tarification!$D$9,IF(AND(AM499&lt;=$K214,AM499&gt;0),Tarification!$D$10,0)))</f>
        <v>0</v>
      </c>
      <c r="AN789" s="37">
        <f>IF(AND(AN499&lt;=$I214,AN499&gt;$J214),Tarification!$D$8,IF(AND(AN499&lt;=$J214,AN499&gt;$K214),Tarification!$D$9,IF(AND(AN499&lt;=$K214,AN499&gt;0),Tarification!$D$10,0)))</f>
        <v>0</v>
      </c>
      <c r="AQ789" s="101">
        <f t="shared" si="151"/>
        <v>5263.1578947368425</v>
      </c>
    </row>
    <row r="790" spans="14:43" ht="15.6">
      <c r="N790" s="39" t="s">
        <v>27</v>
      </c>
      <c r="O790" s="39" t="s">
        <v>169</v>
      </c>
      <c r="P790" t="s">
        <v>813</v>
      </c>
      <c r="Q790" s="39"/>
      <c r="V790" s="37">
        <f>IF(AND(V500&lt;=$I215,V500&gt;$J215),Tarification!$D$8,IF(AND(V500&lt;=$J215,V500&gt;$K215),Tarification!$D$9,IF(AND(V500&lt;=$K215,V500&gt;0),Tarification!$D$10,0)))</f>
        <v>0</v>
      </c>
      <c r="W790" s="37">
        <f>IF(AND(W500&lt;=$I215,W500&gt;$J215),Tarification!$D$8,IF(AND(W500&lt;=$J215,W500&gt;$K215),Tarification!$D$9,IF(AND(W500&lt;=$K215,W500&gt;0),Tarification!$D$10,0)))</f>
        <v>0</v>
      </c>
      <c r="X790" s="37">
        <f>IF(AND(X500&lt;=$I215,X500&gt;$J215),Tarification!$D$8,IF(AND(X500&lt;=$J215,X500&gt;$K215),Tarification!$D$9,IF(AND(X500&lt;=$K215,X500&gt;0),Tarification!$D$10,0)))</f>
        <v>0</v>
      </c>
      <c r="Y790" s="37">
        <f>IF(AND(Y500&lt;=$I215,Y500&gt;$J215),Tarification!$D$8,IF(AND(Y500&lt;=$J215,Y500&gt;$K215),Tarification!$D$9,IF(AND(Y500&lt;=$K215,Y500&gt;0),Tarification!$D$10,0)))</f>
        <v>0</v>
      </c>
      <c r="Z790" s="37">
        <f>IF(AND(Z500&lt;=$I215,Z500&gt;$J215),Tarification!$D$8,IF(AND(Z500&lt;=$J215,Z500&gt;$K215),Tarification!$D$9,IF(AND(Z500&lt;=$K215,Z500&gt;0),Tarification!$D$10,0)))</f>
        <v>0</v>
      </c>
      <c r="AA790" s="37">
        <f>IF(AND(AA500&lt;=$I215,AA500&gt;$J215),Tarification!$D$8,IF(AND(AA500&lt;=$J215,AA500&gt;$K215),Tarification!$D$9,IF(AND(AA500&lt;=$K215,AA500&gt;0),Tarification!$D$10,0)))</f>
        <v>0</v>
      </c>
      <c r="AB790" s="37">
        <f>IF(AND(AB500&lt;=$I215,AB500&gt;$J215),Tarification!$D$8,IF(AND(AB500&lt;=$J215,AB500&gt;$K215),Tarification!$D$9,IF(AND(AB500&lt;=$K215,AB500&gt;0),Tarification!$D$10,0)))</f>
        <v>0</v>
      </c>
      <c r="AC790" s="37">
        <f>IF(AND(AC500&lt;=$I215,AC500&gt;$J215),Tarification!$D$8,IF(AND(AC500&lt;=$J215,AC500&gt;$K215),Tarification!$D$9,IF(AND(AC500&lt;=$K215,AC500&gt;0),Tarification!$D$10,0)))</f>
        <v>0</v>
      </c>
      <c r="AD790" s="37">
        <f>IF(AND(AD500&lt;=$I215,AD500&gt;$J215),Tarification!$D$8,IF(AND(AD500&lt;=$J215,AD500&gt;$K215),Tarification!$D$9,IF(AND(AD500&lt;=$K215,AD500&gt;0),Tarification!$D$10,0)))</f>
        <v>0</v>
      </c>
      <c r="AE790" s="37">
        <f>IF(AND(AE500&lt;=$I215,AE500&gt;$J215),Tarification!$D$8,IF(AND(AE500&lt;=$J215,AE500&gt;$K215),Tarification!$D$9,IF(AND(AE500&lt;=$K215,AE500&gt;0),Tarification!$D$10,0)))</f>
        <v>0</v>
      </c>
      <c r="AF790" s="37">
        <f>IF(AND(AF500&lt;=$I215,AF500&gt;$J215),Tarification!$D$8,IF(AND(AF500&lt;=$J215,AF500&gt;$K215),Tarification!$D$9,IF(AND(AF500&lt;=$K215,AF500&gt;0),Tarification!$D$10,0)))</f>
        <v>0</v>
      </c>
      <c r="AG790" s="37">
        <f>IF(AND(AG500&lt;=$I215,AG500&gt;$J215),Tarification!$D$8,IF(AND(AG500&lt;=$J215,AG500&gt;$K215),Tarification!$D$9,IF(AND(AG500&lt;=$K215,AG500&gt;0),Tarification!$D$10,0)))</f>
        <v>0</v>
      </c>
      <c r="AH790" s="37">
        <f>IF(AND(AH500&lt;=$I215,AH500&gt;$J215),Tarification!$D$8,IF(AND(AH500&lt;=$J215,AH500&gt;$K215),Tarification!$D$9,IF(AND(AH500&lt;=$K215,AH500&gt;0),Tarification!$D$10,0)))</f>
        <v>0</v>
      </c>
      <c r="AI790" s="37">
        <f>IF(AND(AI500&lt;=$I215,AI500&gt;$J215),Tarification!$D$8,IF(AND(AI500&lt;=$J215,AI500&gt;$K215),Tarification!$D$9,IF(AND(AI500&lt;=$K215,AI500&gt;0),Tarification!$D$10,0)))</f>
        <v>0</v>
      </c>
      <c r="AJ790" s="37">
        <f>IF(AND(AJ500&lt;=$I215,AJ500&gt;$J215),Tarification!$D$8,IF(AND(AJ500&lt;=$J215,AJ500&gt;$K215),Tarification!$D$9,IF(AND(AJ500&lt;=$K215,AJ500&gt;0),Tarification!$D$10,0)))</f>
        <v>0</v>
      </c>
      <c r="AK790" s="37">
        <f>IF(AND(AK500&lt;=$I215,AK500&gt;$J215),Tarification!$D$8,IF(AND(AK500&lt;=$J215,AK500&gt;$K215),Tarification!$D$9,IF(AND(AK500&lt;=$K215,AK500&gt;0),Tarification!$D$10,0)))</f>
        <v>0</v>
      </c>
      <c r="AL790" s="37">
        <f>IF(AND(AL500&lt;=$I215,AL500&gt;$J215),Tarification!$D$8,IF(AND(AL500&lt;=$J215,AL500&gt;$K215),Tarification!$D$9,IF(AND(AL500&lt;=$K215,AL500&gt;0),Tarification!$D$10,0)))</f>
        <v>0</v>
      </c>
      <c r="AM790" s="37">
        <f>IF(AND(AM500&lt;=$I215,AM500&gt;$J215),Tarification!$D$8,IF(AND(AM500&lt;=$J215,AM500&gt;$K215),Tarification!$D$9,IF(AND(AM500&lt;=$K215,AM500&gt;0),Tarification!$D$10,0)))</f>
        <v>0</v>
      </c>
      <c r="AN790" s="37">
        <f>IF(AND(AN500&lt;=$I215,AN500&gt;$J215),Tarification!$D$8,IF(AND(AN500&lt;=$J215,AN500&gt;$K215),Tarification!$D$9,IF(AND(AN500&lt;=$K215,AN500&gt;0),Tarification!$D$10,0)))</f>
        <v>0</v>
      </c>
      <c r="AQ790" s="101">
        <f t="shared" si="151"/>
        <v>0</v>
      </c>
    </row>
    <row r="791" spans="14:43" ht="15.6">
      <c r="N791" s="39" t="s">
        <v>27</v>
      </c>
      <c r="O791" s="39" t="s">
        <v>181</v>
      </c>
      <c r="P791" t="s">
        <v>814</v>
      </c>
      <c r="Q791" s="39"/>
      <c r="V791" s="37">
        <f>IF(AND(V501&lt;=$I216,V501&gt;$J216),Tarification!$D$8,IF(AND(V501&lt;=$J216,V501&gt;$K216),Tarification!$D$9,IF(AND(V501&lt;=$K216,V501&gt;0),Tarification!$D$10,0)))</f>
        <v>0</v>
      </c>
      <c r="W791" s="37">
        <f>IF(AND(W501&lt;=$I216,W501&gt;$J216),Tarification!$D$8,IF(AND(W501&lt;=$J216,W501&gt;$K216),Tarification!$D$9,IF(AND(W501&lt;=$K216,W501&gt;0),Tarification!$D$10,0)))</f>
        <v>0</v>
      </c>
      <c r="X791" s="37">
        <f>IF(AND(X501&lt;=$I216,X501&gt;$J216),Tarification!$D$8,IF(AND(X501&lt;=$J216,X501&gt;$K216),Tarification!$D$9,IF(AND(X501&lt;=$K216,X501&gt;0),Tarification!$D$10,0)))</f>
        <v>0</v>
      </c>
      <c r="Y791" s="37">
        <f>IF(AND(Y501&lt;=$I216,Y501&gt;$J216),Tarification!$D$8,IF(AND(Y501&lt;=$J216,Y501&gt;$K216),Tarification!$D$9,IF(AND(Y501&lt;=$K216,Y501&gt;0),Tarification!$D$10,0)))</f>
        <v>0</v>
      </c>
      <c r="Z791" s="37">
        <f>IF(AND(Z501&lt;=$I216,Z501&gt;$J216),Tarification!$D$8,IF(AND(Z501&lt;=$J216,Z501&gt;$K216),Tarification!$D$9,IF(AND(Z501&lt;=$K216,Z501&gt;0),Tarification!$D$10,0)))</f>
        <v>0</v>
      </c>
      <c r="AA791" s="37">
        <f>IF(AND(AA501&lt;=$I216,AA501&gt;$J216),Tarification!$D$8,IF(AND(AA501&lt;=$J216,AA501&gt;$K216),Tarification!$D$9,IF(AND(AA501&lt;=$K216,AA501&gt;0),Tarification!$D$10,0)))</f>
        <v>0</v>
      </c>
      <c r="AB791" s="37">
        <f>IF(AND(AB501&lt;=$I216,AB501&gt;$J216),Tarification!$D$8,IF(AND(AB501&lt;=$J216,AB501&gt;$K216),Tarification!$D$9,IF(AND(AB501&lt;=$K216,AB501&gt;0),Tarification!$D$10,0)))</f>
        <v>0</v>
      </c>
      <c r="AC791" s="37">
        <f>IF(AND(AC501&lt;=$I216,AC501&gt;$J216),Tarification!$D$8,IF(AND(AC501&lt;=$J216,AC501&gt;$K216),Tarification!$D$9,IF(AND(AC501&lt;=$K216,AC501&gt;0),Tarification!$D$10,0)))</f>
        <v>0</v>
      </c>
      <c r="AD791" s="37">
        <f>IF(AND(AD501&lt;=$I216,AD501&gt;$J216),Tarification!$D$8,IF(AND(AD501&lt;=$J216,AD501&gt;$K216),Tarification!$D$9,IF(AND(AD501&lt;=$K216,AD501&gt;0),Tarification!$D$10,0)))</f>
        <v>0</v>
      </c>
      <c r="AE791" s="37">
        <f>IF(AND(AE501&lt;=$I216,AE501&gt;$J216),Tarification!$D$8,IF(AND(AE501&lt;=$J216,AE501&gt;$K216),Tarification!$D$9,IF(AND(AE501&lt;=$K216,AE501&gt;0),Tarification!$D$10,0)))</f>
        <v>0</v>
      </c>
      <c r="AF791" s="37">
        <f>IF(AND(AF501&lt;=$I216,AF501&gt;$J216),Tarification!$D$8,IF(AND(AF501&lt;=$J216,AF501&gt;$K216),Tarification!$D$9,IF(AND(AF501&lt;=$K216,AF501&gt;0),Tarification!$D$10,0)))</f>
        <v>0</v>
      </c>
      <c r="AG791" s="37">
        <f>IF(AND(AG501&lt;=$I216,AG501&gt;$J216),Tarification!$D$8,IF(AND(AG501&lt;=$J216,AG501&gt;$K216),Tarification!$D$9,IF(AND(AG501&lt;=$K216,AG501&gt;0),Tarification!$D$10,0)))</f>
        <v>0</v>
      </c>
      <c r="AH791" s="37">
        <f>IF(AND(AH501&lt;=$I216,AH501&gt;$J216),Tarification!$D$8,IF(AND(AH501&lt;=$J216,AH501&gt;$K216),Tarification!$D$9,IF(AND(AH501&lt;=$K216,AH501&gt;0),Tarification!$D$10,0)))</f>
        <v>0</v>
      </c>
      <c r="AI791" s="37">
        <f>IF(AND(AI501&lt;=$I216,AI501&gt;$J216),Tarification!$D$8,IF(AND(AI501&lt;=$J216,AI501&gt;$K216),Tarification!$D$9,IF(AND(AI501&lt;=$K216,AI501&gt;0),Tarification!$D$10,0)))</f>
        <v>0</v>
      </c>
      <c r="AJ791" s="37">
        <f>IF(AND(AJ501&lt;=$I216,AJ501&gt;$J216),Tarification!$D$8,IF(AND(AJ501&lt;=$J216,AJ501&gt;$K216),Tarification!$D$9,IF(AND(AJ501&lt;=$K216,AJ501&gt;0),Tarification!$D$10,0)))</f>
        <v>0</v>
      </c>
      <c r="AK791" s="37">
        <f>IF(AND(AK501&lt;=$I216,AK501&gt;$J216),Tarification!$D$8,IF(AND(AK501&lt;=$J216,AK501&gt;$K216),Tarification!$D$9,IF(AND(AK501&lt;=$K216,AK501&gt;0),Tarification!$D$10,0)))</f>
        <v>0</v>
      </c>
      <c r="AL791" s="37">
        <f>IF(AND(AL501&lt;=$I216,AL501&gt;$J216),Tarification!$D$8,IF(AND(AL501&lt;=$J216,AL501&gt;$K216),Tarification!$D$9,IF(AND(AL501&lt;=$K216,AL501&gt;0),Tarification!$D$10,0)))</f>
        <v>0</v>
      </c>
      <c r="AM791" s="37">
        <f>IF(AND(AM501&lt;=$I216,AM501&gt;$J216),Tarification!$D$8,IF(AND(AM501&lt;=$J216,AM501&gt;$K216),Tarification!$D$9,IF(AND(AM501&lt;=$K216,AM501&gt;0),Tarification!$D$10,0)))</f>
        <v>0</v>
      </c>
      <c r="AN791" s="37">
        <f>IF(AND(AN501&lt;=$I216,AN501&gt;$J216),Tarification!$D$8,IF(AND(AN501&lt;=$J216,AN501&gt;$K216),Tarification!$D$9,IF(AND(AN501&lt;=$K216,AN501&gt;0),Tarification!$D$10,0)))</f>
        <v>0</v>
      </c>
      <c r="AQ791" s="101">
        <f t="shared" si="151"/>
        <v>0</v>
      </c>
    </row>
    <row r="792" spans="14:43" ht="15.6">
      <c r="N792" s="39" t="s">
        <v>27</v>
      </c>
      <c r="O792" s="39" t="s">
        <v>561</v>
      </c>
      <c r="P792" t="s">
        <v>815</v>
      </c>
      <c r="Q792" s="39"/>
      <c r="V792" s="37">
        <f>IF(AND(V502&lt;=$I217,V502&gt;$J217),Tarification!$D$8,IF(AND(V502&lt;=$J217,V502&gt;$K217),Tarification!$D$9,IF(AND(V502&lt;=$K217,V502&gt;0),Tarification!$D$10,0)))</f>
        <v>0</v>
      </c>
      <c r="W792" s="37">
        <f>IF(AND(W502&lt;=$I217,W502&gt;$J217),Tarification!$D$8,IF(AND(W502&lt;=$J217,W502&gt;$K217),Tarification!$D$9,IF(AND(W502&lt;=$K217,W502&gt;0),Tarification!$D$10,0)))</f>
        <v>0</v>
      </c>
      <c r="X792" s="37">
        <f>IF(AND(X502&lt;=$I217,X502&gt;$J217),Tarification!$D$8,IF(AND(X502&lt;=$J217,X502&gt;$K217),Tarification!$D$9,IF(AND(X502&lt;=$K217,X502&gt;0),Tarification!$D$10,0)))</f>
        <v>0</v>
      </c>
      <c r="Y792" s="37">
        <f>IF(AND(Y502&lt;=$I217,Y502&gt;$J217),Tarification!$D$8,IF(AND(Y502&lt;=$J217,Y502&gt;$K217),Tarification!$D$9,IF(AND(Y502&lt;=$K217,Y502&gt;0),Tarification!$D$10,0)))</f>
        <v>0</v>
      </c>
      <c r="Z792" s="37">
        <f>IF(AND(Z502&lt;=$I217,Z502&gt;$J217),Tarification!$D$8,IF(AND(Z502&lt;=$J217,Z502&gt;$K217),Tarification!$D$9,IF(AND(Z502&lt;=$K217,Z502&gt;0),Tarification!$D$10,0)))</f>
        <v>0</v>
      </c>
      <c r="AA792" s="37">
        <f>IF(AND(AA502&lt;=$I217,AA502&gt;$J217),Tarification!$D$8,IF(AND(AA502&lt;=$J217,AA502&gt;$K217),Tarification!$D$9,IF(AND(AA502&lt;=$K217,AA502&gt;0),Tarification!$D$10,0)))</f>
        <v>0</v>
      </c>
      <c r="AB792" s="37">
        <f>IF(AND(AB502&lt;=$I217,AB502&gt;$J217),Tarification!$D$8,IF(AND(AB502&lt;=$J217,AB502&gt;$K217),Tarification!$D$9,IF(AND(AB502&lt;=$K217,AB502&gt;0),Tarification!$D$10,0)))</f>
        <v>0</v>
      </c>
      <c r="AC792" s="37">
        <f>IF(AND(AC502&lt;=$I217,AC502&gt;$J217),Tarification!$D$8,IF(AND(AC502&lt;=$J217,AC502&gt;$K217),Tarification!$D$9,IF(AND(AC502&lt;=$K217,AC502&gt;0),Tarification!$D$10,0)))</f>
        <v>0</v>
      </c>
      <c r="AD792" s="37">
        <f>IF(AND(AD502&lt;=$I217,AD502&gt;$J217),Tarification!$D$8,IF(AND(AD502&lt;=$J217,AD502&gt;$K217),Tarification!$D$9,IF(AND(AD502&lt;=$K217,AD502&gt;0),Tarification!$D$10,0)))</f>
        <v>0</v>
      </c>
      <c r="AE792" s="37">
        <f>IF(AND(AE502&lt;=$I217,AE502&gt;$J217),Tarification!$D$8,IF(AND(AE502&lt;=$J217,AE502&gt;$K217),Tarification!$D$9,IF(AND(AE502&lt;=$K217,AE502&gt;0),Tarification!$D$10,0)))</f>
        <v>0</v>
      </c>
      <c r="AF792" s="37">
        <f>IF(AND(AF502&lt;=$I217,AF502&gt;$J217),Tarification!$D$8,IF(AND(AF502&lt;=$J217,AF502&gt;$K217),Tarification!$D$9,IF(AND(AF502&lt;=$K217,AF502&gt;0),Tarification!$D$10,0)))</f>
        <v>0</v>
      </c>
      <c r="AG792" s="37">
        <f>IF(AND(AG502&lt;=$I217,AG502&gt;$J217),Tarification!$D$8,IF(AND(AG502&lt;=$J217,AG502&gt;$K217),Tarification!$D$9,IF(AND(AG502&lt;=$K217,AG502&gt;0),Tarification!$D$10,0)))</f>
        <v>0</v>
      </c>
      <c r="AH792" s="37">
        <f>IF(AND(AH502&lt;=$I217,AH502&gt;$J217),Tarification!$D$8,IF(AND(AH502&lt;=$J217,AH502&gt;$K217),Tarification!$D$9,IF(AND(AH502&lt;=$K217,AH502&gt;0),Tarification!$D$10,0)))</f>
        <v>0</v>
      </c>
      <c r="AI792" s="37">
        <f>IF(AND(AI502&lt;=$I217,AI502&gt;$J217),Tarification!$D$8,IF(AND(AI502&lt;=$J217,AI502&gt;$K217),Tarification!$D$9,IF(AND(AI502&lt;=$K217,AI502&gt;0),Tarification!$D$10,0)))</f>
        <v>0</v>
      </c>
      <c r="AJ792" s="37">
        <f>IF(AND(AJ502&lt;=$I217,AJ502&gt;$J217),Tarification!$D$8,IF(AND(AJ502&lt;=$J217,AJ502&gt;$K217),Tarification!$D$9,IF(AND(AJ502&lt;=$K217,AJ502&gt;0),Tarification!$D$10,0)))</f>
        <v>0</v>
      </c>
      <c r="AK792" s="37">
        <f>IF(AND(AK502&lt;=$I217,AK502&gt;$J217),Tarification!$D$8,IF(AND(AK502&lt;=$J217,AK502&gt;$K217),Tarification!$D$9,IF(AND(AK502&lt;=$K217,AK502&gt;0),Tarification!$D$10,0)))</f>
        <v>0</v>
      </c>
      <c r="AL792" s="37">
        <f>IF(AND(AL502&lt;=$I217,AL502&gt;$J217),Tarification!$D$8,IF(AND(AL502&lt;=$J217,AL502&gt;$K217),Tarification!$D$9,IF(AND(AL502&lt;=$K217,AL502&gt;0),Tarification!$D$10,0)))</f>
        <v>0</v>
      </c>
      <c r="AM792" s="37">
        <f>IF(AND(AM502&lt;=$I217,AM502&gt;$J217),Tarification!$D$8,IF(AND(AM502&lt;=$J217,AM502&gt;$K217),Tarification!$D$9,IF(AND(AM502&lt;=$K217,AM502&gt;0),Tarification!$D$10,0)))</f>
        <v>0</v>
      </c>
      <c r="AN792" s="37">
        <f>IF(AND(AN502&lt;=$I217,AN502&gt;$J217),Tarification!$D$8,IF(AND(AN502&lt;=$J217,AN502&gt;$K217),Tarification!$D$9,IF(AND(AN502&lt;=$K217,AN502&gt;0),Tarification!$D$10,0)))</f>
        <v>0</v>
      </c>
      <c r="AQ792" s="101">
        <f t="shared" si="151"/>
        <v>0</v>
      </c>
    </row>
    <row r="793" spans="14:43" ht="15.6">
      <c r="N793" s="39" t="s">
        <v>26</v>
      </c>
      <c r="O793" s="39" t="s">
        <v>508</v>
      </c>
      <c r="P793" t="s">
        <v>691</v>
      </c>
      <c r="Q793" s="39"/>
      <c r="V793" s="37">
        <f>IF(AND(V503&lt;=$I218,V503&gt;$J218),Tarification!$D$8,IF(AND(V503&lt;=$J218,V503&gt;$K218),Tarification!$D$9,IF(AND(V503&lt;=$K218,V503&gt;0),Tarification!$D$10,0)))</f>
        <v>0</v>
      </c>
      <c r="W793" s="37">
        <f>IF(AND(W503&lt;=$I218,W503&gt;$J218),Tarification!$D$8,IF(AND(W503&lt;=$J218,W503&gt;$K218),Tarification!$D$9,IF(AND(W503&lt;=$K218,W503&gt;0),Tarification!$D$10,0)))</f>
        <v>0</v>
      </c>
      <c r="X793" s="37">
        <f>IF(AND(X503&lt;=$I218,X503&gt;$J218),Tarification!$D$8,IF(AND(X503&lt;=$J218,X503&gt;$K218),Tarification!$D$9,IF(AND(X503&lt;=$K218,X503&gt;0),Tarification!$D$10,0)))</f>
        <v>0</v>
      </c>
      <c r="Y793" s="37">
        <f>IF(AND(Y503&lt;=$I218,Y503&gt;$J218),Tarification!$D$8,IF(AND(Y503&lt;=$J218,Y503&gt;$K218),Tarification!$D$9,IF(AND(Y503&lt;=$K218,Y503&gt;0),Tarification!$D$10,0)))</f>
        <v>50000</v>
      </c>
      <c r="Z793" s="37">
        <f>IF(AND(Z503&lt;=$I218,Z503&gt;$J218),Tarification!$D$8,IF(AND(Z503&lt;=$J218,Z503&gt;$K218),Tarification!$D$9,IF(AND(Z503&lt;=$K218,Z503&gt;0),Tarification!$D$10,0)))</f>
        <v>0</v>
      </c>
      <c r="AA793" s="37">
        <f>IF(AND(AA503&lt;=$I218,AA503&gt;$J218),Tarification!$D$8,IF(AND(AA503&lt;=$J218,AA503&gt;$K218),Tarification!$D$9,IF(AND(AA503&lt;=$K218,AA503&gt;0),Tarification!$D$10,0)))</f>
        <v>50000</v>
      </c>
      <c r="AB793" s="37">
        <f>IF(AND(AB503&lt;=$I218,AB503&gt;$J218),Tarification!$D$8,IF(AND(AB503&lt;=$J218,AB503&gt;$K218),Tarification!$D$9,IF(AND(AB503&lt;=$K218,AB503&gt;0),Tarification!$D$10,0)))</f>
        <v>0</v>
      </c>
      <c r="AC793" s="37">
        <f>IF(AND(AC503&lt;=$I218,AC503&gt;$J218),Tarification!$D$8,IF(AND(AC503&lt;=$J218,AC503&gt;$K218),Tarification!$D$9,IF(AND(AC503&lt;=$K218,AC503&gt;0),Tarification!$D$10,0)))</f>
        <v>125000</v>
      </c>
      <c r="AD793" s="37">
        <f>IF(AND(AD503&lt;=$I218,AD503&gt;$J218),Tarification!$D$8,IF(AND(AD503&lt;=$J218,AD503&gt;$K218),Tarification!$D$9,IF(AND(AD503&lt;=$K218,AD503&gt;0),Tarification!$D$10,0)))</f>
        <v>125000</v>
      </c>
      <c r="AE793" s="37">
        <f>IF(AND(AE503&lt;=$I218,AE503&gt;$J218),Tarification!$D$8,IF(AND(AE503&lt;=$J218,AE503&gt;$K218),Tarification!$D$9,IF(AND(AE503&lt;=$K218,AE503&gt;0),Tarification!$D$10,0)))</f>
        <v>125000</v>
      </c>
      <c r="AF793" s="37">
        <f>IF(AND(AF503&lt;=$I218,AF503&gt;$J218),Tarification!$D$8,IF(AND(AF503&lt;=$J218,AF503&gt;$K218),Tarification!$D$9,IF(AND(AF503&lt;=$K218,AF503&gt;0),Tarification!$D$10,0)))</f>
        <v>50000</v>
      </c>
      <c r="AG793" s="37">
        <f>IF(AND(AG503&lt;=$I218,AG503&gt;$J218),Tarification!$D$8,IF(AND(AG503&lt;=$J218,AG503&gt;$K218),Tarification!$D$9,IF(AND(AG503&lt;=$K218,AG503&gt;0),Tarification!$D$10,0)))</f>
        <v>0</v>
      </c>
      <c r="AH793" s="37">
        <f>IF(AND(AH503&lt;=$I218,AH503&gt;$J218),Tarification!$D$8,IF(AND(AH503&lt;=$J218,AH503&gt;$K218),Tarification!$D$9,IF(AND(AH503&lt;=$K218,AH503&gt;0),Tarification!$D$10,0)))</f>
        <v>0</v>
      </c>
      <c r="AI793" s="37">
        <f>IF(AND(AI503&lt;=$I218,AI503&gt;$J218),Tarification!$D$8,IF(AND(AI503&lt;=$J218,AI503&gt;$K218),Tarification!$D$9,IF(AND(AI503&lt;=$K218,AI503&gt;0),Tarification!$D$10,0)))</f>
        <v>0</v>
      </c>
      <c r="AJ793" s="37">
        <f>IF(AND(AJ503&lt;=$I218,AJ503&gt;$J218),Tarification!$D$8,IF(AND(AJ503&lt;=$J218,AJ503&gt;$K218),Tarification!$D$9,IF(AND(AJ503&lt;=$K218,AJ503&gt;0),Tarification!$D$10,0)))</f>
        <v>125000</v>
      </c>
      <c r="AK793" s="37">
        <f>IF(AND(AK503&lt;=$I218,AK503&gt;$J218),Tarification!$D$8,IF(AND(AK503&lt;=$J218,AK503&gt;$K218),Tarification!$D$9,IF(AND(AK503&lt;=$K218,AK503&gt;0),Tarification!$D$10,0)))</f>
        <v>0</v>
      </c>
      <c r="AL793" s="37">
        <f>IF(AND(AL503&lt;=$I218,AL503&gt;$J218),Tarification!$D$8,IF(AND(AL503&lt;=$J218,AL503&gt;$K218),Tarification!$D$9,IF(AND(AL503&lt;=$K218,AL503&gt;0),Tarification!$D$10,0)))</f>
        <v>0</v>
      </c>
      <c r="AM793" s="37">
        <f>IF(AND(AM503&lt;=$I218,AM503&gt;$J218),Tarification!$D$8,IF(AND(AM503&lt;=$J218,AM503&gt;$K218),Tarification!$D$9,IF(AND(AM503&lt;=$K218,AM503&gt;0),Tarification!$D$10,0)))</f>
        <v>0</v>
      </c>
      <c r="AN793" s="37">
        <f>IF(AND(AN503&lt;=$I218,AN503&gt;$J218),Tarification!$D$8,IF(AND(AN503&lt;=$J218,AN503&gt;$K218),Tarification!$D$9,IF(AND(AN503&lt;=$K218,AN503&gt;0),Tarification!$D$10,0)))</f>
        <v>50000</v>
      </c>
      <c r="AQ793" s="101">
        <f t="shared" si="151"/>
        <v>36842.105263157893</v>
      </c>
    </row>
    <row r="794" spans="14:43" ht="15.6">
      <c r="N794" s="39" t="s">
        <v>27</v>
      </c>
      <c r="O794" s="39" t="s">
        <v>555</v>
      </c>
      <c r="P794" t="s">
        <v>816</v>
      </c>
      <c r="Q794" s="39"/>
      <c r="V794" s="37">
        <f>IF(AND(V504&lt;=$I219,V504&gt;$J219),Tarification!$D$8,IF(AND(V504&lt;=$J219,V504&gt;$K219),Tarification!$D$9,IF(AND(V504&lt;=$K219,V504&gt;0),Tarification!$D$10,0)))</f>
        <v>0</v>
      </c>
      <c r="W794" s="37">
        <f>IF(AND(W504&lt;=$I219,W504&gt;$J219),Tarification!$D$8,IF(AND(W504&lt;=$J219,W504&gt;$K219),Tarification!$D$9,IF(AND(W504&lt;=$K219,W504&gt;0),Tarification!$D$10,0)))</f>
        <v>0</v>
      </c>
      <c r="X794" s="37">
        <f>IF(AND(X504&lt;=$I219,X504&gt;$J219),Tarification!$D$8,IF(AND(X504&lt;=$J219,X504&gt;$K219),Tarification!$D$9,IF(AND(X504&lt;=$K219,X504&gt;0),Tarification!$D$10,0)))</f>
        <v>0</v>
      </c>
      <c r="Y794" s="37">
        <f>IF(AND(Y504&lt;=$I219,Y504&gt;$J219),Tarification!$D$8,IF(AND(Y504&lt;=$J219,Y504&gt;$K219),Tarification!$D$9,IF(AND(Y504&lt;=$K219,Y504&gt;0),Tarification!$D$10,0)))</f>
        <v>0</v>
      </c>
      <c r="Z794" s="37">
        <f>IF(AND(Z504&lt;=$I219,Z504&gt;$J219),Tarification!$D$8,IF(AND(Z504&lt;=$J219,Z504&gt;$K219),Tarification!$D$9,IF(AND(Z504&lt;=$K219,Z504&gt;0),Tarification!$D$10,0)))</f>
        <v>50000</v>
      </c>
      <c r="AA794" s="37">
        <f>IF(AND(AA504&lt;=$I219,AA504&gt;$J219),Tarification!$D$8,IF(AND(AA504&lt;=$J219,AA504&gt;$K219),Tarification!$D$9,IF(AND(AA504&lt;=$K219,AA504&gt;0),Tarification!$D$10,0)))</f>
        <v>50000</v>
      </c>
      <c r="AB794" s="37">
        <f>IF(AND(AB504&lt;=$I219,AB504&gt;$J219),Tarification!$D$8,IF(AND(AB504&lt;=$J219,AB504&gt;$K219),Tarification!$D$9,IF(AND(AB504&lt;=$K219,AB504&gt;0),Tarification!$D$10,0)))</f>
        <v>0</v>
      </c>
      <c r="AC794" s="37">
        <f>IF(AND(AC504&lt;=$I219,AC504&gt;$J219),Tarification!$D$8,IF(AND(AC504&lt;=$J219,AC504&gt;$K219),Tarification!$D$9,IF(AND(AC504&lt;=$K219,AC504&gt;0),Tarification!$D$10,0)))</f>
        <v>0</v>
      </c>
      <c r="AD794" s="37">
        <f>IF(AND(AD504&lt;=$I219,AD504&gt;$J219),Tarification!$D$8,IF(AND(AD504&lt;=$J219,AD504&gt;$K219),Tarification!$D$9,IF(AND(AD504&lt;=$K219,AD504&gt;0),Tarification!$D$10,0)))</f>
        <v>50000</v>
      </c>
      <c r="AE794" s="37">
        <f>IF(AND(AE504&lt;=$I219,AE504&gt;$J219),Tarification!$D$8,IF(AND(AE504&lt;=$J219,AE504&gt;$K219),Tarification!$D$9,IF(AND(AE504&lt;=$K219,AE504&gt;0),Tarification!$D$10,0)))</f>
        <v>0</v>
      </c>
      <c r="AF794" s="37">
        <f>IF(AND(AF504&lt;=$I219,AF504&gt;$J219),Tarification!$D$8,IF(AND(AF504&lt;=$J219,AF504&gt;$K219),Tarification!$D$9,IF(AND(AF504&lt;=$K219,AF504&gt;0),Tarification!$D$10,0)))</f>
        <v>50000</v>
      </c>
      <c r="AG794" s="37">
        <f>IF(AND(AG504&lt;=$I219,AG504&gt;$J219),Tarification!$D$8,IF(AND(AG504&lt;=$J219,AG504&gt;$K219),Tarification!$D$9,IF(AND(AG504&lt;=$K219,AG504&gt;0),Tarification!$D$10,0)))</f>
        <v>0</v>
      </c>
      <c r="AH794" s="37">
        <f>IF(AND(AH504&lt;=$I219,AH504&gt;$J219),Tarification!$D$8,IF(AND(AH504&lt;=$J219,AH504&gt;$K219),Tarification!$D$9,IF(AND(AH504&lt;=$K219,AH504&gt;0),Tarification!$D$10,0)))</f>
        <v>0</v>
      </c>
      <c r="AI794" s="37">
        <f>IF(AND(AI504&lt;=$I219,AI504&gt;$J219),Tarification!$D$8,IF(AND(AI504&lt;=$J219,AI504&gt;$K219),Tarification!$D$9,IF(AND(AI504&lt;=$K219,AI504&gt;0),Tarification!$D$10,0)))</f>
        <v>0</v>
      </c>
      <c r="AJ794" s="37">
        <f>IF(AND(AJ504&lt;=$I219,AJ504&gt;$J219),Tarification!$D$8,IF(AND(AJ504&lt;=$J219,AJ504&gt;$K219),Tarification!$D$9,IF(AND(AJ504&lt;=$K219,AJ504&gt;0),Tarification!$D$10,0)))</f>
        <v>0</v>
      </c>
      <c r="AK794" s="37">
        <f>IF(AND(AK504&lt;=$I219,AK504&gt;$J219),Tarification!$D$8,IF(AND(AK504&lt;=$J219,AK504&gt;$K219),Tarification!$D$9,IF(AND(AK504&lt;=$K219,AK504&gt;0),Tarification!$D$10,0)))</f>
        <v>0</v>
      </c>
      <c r="AL794" s="37">
        <f>IF(AND(AL504&lt;=$I219,AL504&gt;$J219),Tarification!$D$8,IF(AND(AL504&lt;=$J219,AL504&gt;$K219),Tarification!$D$9,IF(AND(AL504&lt;=$K219,AL504&gt;0),Tarification!$D$10,0)))</f>
        <v>0</v>
      </c>
      <c r="AM794" s="37">
        <f>IF(AND(AM504&lt;=$I219,AM504&gt;$J219),Tarification!$D$8,IF(AND(AM504&lt;=$J219,AM504&gt;$K219),Tarification!$D$9,IF(AND(AM504&lt;=$K219,AM504&gt;0),Tarification!$D$10,0)))</f>
        <v>0</v>
      </c>
      <c r="AN794" s="37">
        <f>IF(AND(AN504&lt;=$I219,AN504&gt;$J219),Tarification!$D$8,IF(AND(AN504&lt;=$J219,AN504&gt;$K219),Tarification!$D$9,IF(AND(AN504&lt;=$K219,AN504&gt;0),Tarification!$D$10,0)))</f>
        <v>50000</v>
      </c>
      <c r="AQ794" s="101">
        <f t="shared" si="151"/>
        <v>13157.894736842105</v>
      </c>
    </row>
    <row r="795" spans="14:43" ht="15.6">
      <c r="N795" s="39" t="s">
        <v>27</v>
      </c>
      <c r="O795" s="39" t="s">
        <v>555</v>
      </c>
      <c r="P795" t="s">
        <v>817</v>
      </c>
      <c r="Q795" s="39"/>
      <c r="V795" s="37">
        <f>IF(AND(V505&lt;=$I220,V505&gt;$J220),Tarification!$D$8,IF(AND(V505&lt;=$J220,V505&gt;$K220),Tarification!$D$9,IF(AND(V505&lt;=$K220,V505&gt;0),Tarification!$D$10,0)))</f>
        <v>0</v>
      </c>
      <c r="W795" s="37">
        <f>IF(AND(W505&lt;=$I220,W505&gt;$J220),Tarification!$D$8,IF(AND(W505&lt;=$J220,W505&gt;$K220),Tarification!$D$9,IF(AND(W505&lt;=$K220,W505&gt;0),Tarification!$D$10,0)))</f>
        <v>50000</v>
      </c>
      <c r="X795" s="37">
        <f>IF(AND(X505&lt;=$I220,X505&gt;$J220),Tarification!$D$8,IF(AND(X505&lt;=$J220,X505&gt;$K220),Tarification!$D$9,IF(AND(X505&lt;=$K220,X505&gt;0),Tarification!$D$10,0)))</f>
        <v>0</v>
      </c>
      <c r="Y795" s="37">
        <f>IF(AND(Y505&lt;=$I220,Y505&gt;$J220),Tarification!$D$8,IF(AND(Y505&lt;=$J220,Y505&gt;$K220),Tarification!$D$9,IF(AND(Y505&lt;=$K220,Y505&gt;0),Tarification!$D$10,0)))</f>
        <v>0</v>
      </c>
      <c r="Z795" s="37">
        <f>IF(AND(Z505&lt;=$I220,Z505&gt;$J220),Tarification!$D$8,IF(AND(Z505&lt;=$J220,Z505&gt;$K220),Tarification!$D$9,IF(AND(Z505&lt;=$K220,Z505&gt;0),Tarification!$D$10,0)))</f>
        <v>125000</v>
      </c>
      <c r="AA795" s="37">
        <f>IF(AND(AA505&lt;=$I220,AA505&gt;$J220),Tarification!$D$8,IF(AND(AA505&lt;=$J220,AA505&gt;$K220),Tarification!$D$9,IF(AND(AA505&lt;=$K220,AA505&gt;0),Tarification!$D$10,0)))</f>
        <v>0</v>
      </c>
      <c r="AB795" s="37">
        <f>IF(AND(AB505&lt;=$I220,AB505&gt;$J220),Tarification!$D$8,IF(AND(AB505&lt;=$J220,AB505&gt;$K220),Tarification!$D$9,IF(AND(AB505&lt;=$K220,AB505&gt;0),Tarification!$D$10,0)))</f>
        <v>0</v>
      </c>
      <c r="AC795" s="37">
        <f>IF(AND(AC505&lt;=$I220,AC505&gt;$J220),Tarification!$D$8,IF(AND(AC505&lt;=$J220,AC505&gt;$K220),Tarification!$D$9,IF(AND(AC505&lt;=$K220,AC505&gt;0),Tarification!$D$10,0)))</f>
        <v>0</v>
      </c>
      <c r="AD795" s="37">
        <f>IF(AND(AD505&lt;=$I220,AD505&gt;$J220),Tarification!$D$8,IF(AND(AD505&lt;=$J220,AD505&gt;$K220),Tarification!$D$9,IF(AND(AD505&lt;=$K220,AD505&gt;0),Tarification!$D$10,0)))</f>
        <v>50000</v>
      </c>
      <c r="AE795" s="37">
        <f>IF(AND(AE505&lt;=$I220,AE505&gt;$J220),Tarification!$D$8,IF(AND(AE505&lt;=$J220,AE505&gt;$K220),Tarification!$D$9,IF(AND(AE505&lt;=$K220,AE505&gt;0),Tarification!$D$10,0)))</f>
        <v>125000</v>
      </c>
      <c r="AF795" s="37">
        <f>IF(AND(AF505&lt;=$I220,AF505&gt;$J220),Tarification!$D$8,IF(AND(AF505&lt;=$J220,AF505&gt;$K220),Tarification!$D$9,IF(AND(AF505&lt;=$K220,AF505&gt;0),Tarification!$D$10,0)))</f>
        <v>50000</v>
      </c>
      <c r="AG795" s="37">
        <f>IF(AND(AG505&lt;=$I220,AG505&gt;$J220),Tarification!$D$8,IF(AND(AG505&lt;=$J220,AG505&gt;$K220),Tarification!$D$9,IF(AND(AG505&lt;=$K220,AG505&gt;0),Tarification!$D$10,0)))</f>
        <v>0</v>
      </c>
      <c r="AH795" s="37">
        <f>IF(AND(AH505&lt;=$I220,AH505&gt;$J220),Tarification!$D$8,IF(AND(AH505&lt;=$J220,AH505&gt;$K220),Tarification!$D$9,IF(AND(AH505&lt;=$K220,AH505&gt;0),Tarification!$D$10,0)))</f>
        <v>0</v>
      </c>
      <c r="AI795" s="37">
        <f>IF(AND(AI505&lt;=$I220,AI505&gt;$J220),Tarification!$D$8,IF(AND(AI505&lt;=$J220,AI505&gt;$K220),Tarification!$D$9,IF(AND(AI505&lt;=$K220,AI505&gt;0),Tarification!$D$10,0)))</f>
        <v>0</v>
      </c>
      <c r="AJ795" s="37">
        <f>IF(AND(AJ505&lt;=$I220,AJ505&gt;$J220),Tarification!$D$8,IF(AND(AJ505&lt;=$J220,AJ505&gt;$K220),Tarification!$D$9,IF(AND(AJ505&lt;=$K220,AJ505&gt;0),Tarification!$D$10,0)))</f>
        <v>0</v>
      </c>
      <c r="AK795" s="37">
        <f>IF(AND(AK505&lt;=$I220,AK505&gt;$J220),Tarification!$D$8,IF(AND(AK505&lt;=$J220,AK505&gt;$K220),Tarification!$D$9,IF(AND(AK505&lt;=$K220,AK505&gt;0),Tarification!$D$10,0)))</f>
        <v>0</v>
      </c>
      <c r="AL795" s="37">
        <f>IF(AND(AL505&lt;=$I220,AL505&gt;$J220),Tarification!$D$8,IF(AND(AL505&lt;=$J220,AL505&gt;$K220),Tarification!$D$9,IF(AND(AL505&lt;=$K220,AL505&gt;0),Tarification!$D$10,0)))</f>
        <v>0</v>
      </c>
      <c r="AM795" s="37">
        <f>IF(AND(AM505&lt;=$I220,AM505&gt;$J220),Tarification!$D$8,IF(AND(AM505&lt;=$J220,AM505&gt;$K220),Tarification!$D$9,IF(AND(AM505&lt;=$K220,AM505&gt;0),Tarification!$D$10,0)))</f>
        <v>0</v>
      </c>
      <c r="AN795" s="37">
        <f>IF(AND(AN505&lt;=$I220,AN505&gt;$J220),Tarification!$D$8,IF(AND(AN505&lt;=$J220,AN505&gt;$K220),Tarification!$D$9,IF(AND(AN505&lt;=$K220,AN505&gt;0),Tarification!$D$10,0)))</f>
        <v>0</v>
      </c>
      <c r="AQ795" s="101">
        <f t="shared" si="151"/>
        <v>21052.63157894737</v>
      </c>
    </row>
    <row r="796" spans="14:43" ht="15.6">
      <c r="N796" s="39" t="s">
        <v>27</v>
      </c>
      <c r="O796" s="39" t="s">
        <v>542</v>
      </c>
      <c r="P796" t="s">
        <v>818</v>
      </c>
      <c r="Q796" s="39"/>
      <c r="V796" s="37">
        <f>IF(AND(V506&lt;=$I221,V506&gt;$J221),Tarification!$D$8,IF(AND(V506&lt;=$J221,V506&gt;$K221),Tarification!$D$9,IF(AND(V506&lt;=$K221,V506&gt;0),Tarification!$D$10,0)))</f>
        <v>0</v>
      </c>
      <c r="W796" s="37">
        <f>IF(AND(W506&lt;=$I221,W506&gt;$J221),Tarification!$D$8,IF(AND(W506&lt;=$J221,W506&gt;$K221),Tarification!$D$9,IF(AND(W506&lt;=$K221,W506&gt;0),Tarification!$D$10,0)))</f>
        <v>50000</v>
      </c>
      <c r="X796" s="37">
        <f>IF(AND(X506&lt;=$I221,X506&gt;$J221),Tarification!$D$8,IF(AND(X506&lt;=$J221,X506&gt;$K221),Tarification!$D$9,IF(AND(X506&lt;=$K221,X506&gt;0),Tarification!$D$10,0)))</f>
        <v>0</v>
      </c>
      <c r="Y796" s="37">
        <f>IF(AND(Y506&lt;=$I221,Y506&gt;$J221),Tarification!$D$8,IF(AND(Y506&lt;=$J221,Y506&gt;$K221),Tarification!$D$9,IF(AND(Y506&lt;=$K221,Y506&gt;0),Tarification!$D$10,0)))</f>
        <v>0</v>
      </c>
      <c r="Z796" s="37">
        <f>IF(AND(Z506&lt;=$I221,Z506&gt;$J221),Tarification!$D$8,IF(AND(Z506&lt;=$J221,Z506&gt;$K221),Tarification!$D$9,IF(AND(Z506&lt;=$K221,Z506&gt;0),Tarification!$D$10,0)))</f>
        <v>50000</v>
      </c>
      <c r="AA796" s="37">
        <f>IF(AND(AA506&lt;=$I221,AA506&gt;$J221),Tarification!$D$8,IF(AND(AA506&lt;=$J221,AA506&gt;$K221),Tarification!$D$9,IF(AND(AA506&lt;=$K221,AA506&gt;0),Tarification!$D$10,0)))</f>
        <v>50000</v>
      </c>
      <c r="AB796" s="37">
        <f>IF(AND(AB506&lt;=$I221,AB506&gt;$J221),Tarification!$D$8,IF(AND(AB506&lt;=$J221,AB506&gt;$K221),Tarification!$D$9,IF(AND(AB506&lt;=$K221,AB506&gt;0),Tarification!$D$10,0)))</f>
        <v>0</v>
      </c>
      <c r="AC796" s="37">
        <f>IF(AND(AC506&lt;=$I221,AC506&gt;$J221),Tarification!$D$8,IF(AND(AC506&lt;=$J221,AC506&gt;$K221),Tarification!$D$9,IF(AND(AC506&lt;=$K221,AC506&gt;0),Tarification!$D$10,0)))</f>
        <v>0</v>
      </c>
      <c r="AD796" s="37">
        <f>IF(AND(AD506&lt;=$I221,AD506&gt;$J221),Tarification!$D$8,IF(AND(AD506&lt;=$J221,AD506&gt;$K221),Tarification!$D$9,IF(AND(AD506&lt;=$K221,AD506&gt;0),Tarification!$D$10,0)))</f>
        <v>50000</v>
      </c>
      <c r="AE796" s="37">
        <f>IF(AND(AE506&lt;=$I221,AE506&gt;$J221),Tarification!$D$8,IF(AND(AE506&lt;=$J221,AE506&gt;$K221),Tarification!$D$9,IF(AND(AE506&lt;=$K221,AE506&gt;0),Tarification!$D$10,0)))</f>
        <v>0</v>
      </c>
      <c r="AF796" s="37">
        <f>IF(AND(AF506&lt;=$I221,AF506&gt;$J221),Tarification!$D$8,IF(AND(AF506&lt;=$J221,AF506&gt;$K221),Tarification!$D$9,IF(AND(AF506&lt;=$K221,AF506&gt;0),Tarification!$D$10,0)))</f>
        <v>125000</v>
      </c>
      <c r="AG796" s="37">
        <f>IF(AND(AG506&lt;=$I221,AG506&gt;$J221),Tarification!$D$8,IF(AND(AG506&lt;=$J221,AG506&gt;$K221),Tarification!$D$9,IF(AND(AG506&lt;=$K221,AG506&gt;0),Tarification!$D$10,0)))</f>
        <v>0</v>
      </c>
      <c r="AH796" s="37">
        <f>IF(AND(AH506&lt;=$I221,AH506&gt;$J221),Tarification!$D$8,IF(AND(AH506&lt;=$J221,AH506&gt;$K221),Tarification!$D$9,IF(AND(AH506&lt;=$K221,AH506&gt;0),Tarification!$D$10,0)))</f>
        <v>0</v>
      </c>
      <c r="AI796" s="37">
        <f>IF(AND(AI506&lt;=$I221,AI506&gt;$J221),Tarification!$D$8,IF(AND(AI506&lt;=$J221,AI506&gt;$K221),Tarification!$D$9,IF(AND(AI506&lt;=$K221,AI506&gt;0),Tarification!$D$10,0)))</f>
        <v>0</v>
      </c>
      <c r="AJ796" s="37">
        <f>IF(AND(AJ506&lt;=$I221,AJ506&gt;$J221),Tarification!$D$8,IF(AND(AJ506&lt;=$J221,AJ506&gt;$K221),Tarification!$D$9,IF(AND(AJ506&lt;=$K221,AJ506&gt;0),Tarification!$D$10,0)))</f>
        <v>50000</v>
      </c>
      <c r="AK796" s="37">
        <f>IF(AND(AK506&lt;=$I221,AK506&gt;$J221),Tarification!$D$8,IF(AND(AK506&lt;=$J221,AK506&gt;$K221),Tarification!$D$9,IF(AND(AK506&lt;=$K221,AK506&gt;0),Tarification!$D$10,0)))</f>
        <v>0</v>
      </c>
      <c r="AL796" s="37">
        <f>IF(AND(AL506&lt;=$I221,AL506&gt;$J221),Tarification!$D$8,IF(AND(AL506&lt;=$J221,AL506&gt;$K221),Tarification!$D$9,IF(AND(AL506&lt;=$K221,AL506&gt;0),Tarification!$D$10,0)))</f>
        <v>0</v>
      </c>
      <c r="AM796" s="37">
        <f>IF(AND(AM506&lt;=$I221,AM506&gt;$J221),Tarification!$D$8,IF(AND(AM506&lt;=$J221,AM506&gt;$K221),Tarification!$D$9,IF(AND(AM506&lt;=$K221,AM506&gt;0),Tarification!$D$10,0)))</f>
        <v>0</v>
      </c>
      <c r="AN796" s="37">
        <f>IF(AND(AN506&lt;=$I221,AN506&gt;$J221),Tarification!$D$8,IF(AND(AN506&lt;=$J221,AN506&gt;$K221),Tarification!$D$9,IF(AND(AN506&lt;=$K221,AN506&gt;0),Tarification!$D$10,0)))</f>
        <v>0</v>
      </c>
      <c r="AQ796" s="101">
        <f t="shared" si="151"/>
        <v>19736.842105263157</v>
      </c>
    </row>
    <row r="797" spans="14:43" ht="15.6">
      <c r="N797" s="39" t="s">
        <v>27</v>
      </c>
      <c r="O797" s="39" t="s">
        <v>464</v>
      </c>
      <c r="P797" t="s">
        <v>819</v>
      </c>
      <c r="Q797" s="39"/>
      <c r="V797" s="37">
        <f>IF(AND(V507&lt;=$I222,V507&gt;$J222),Tarification!$D$8,IF(AND(V507&lt;=$J222,V507&gt;$K222),Tarification!$D$9,IF(AND(V507&lt;=$K222,V507&gt;0),Tarification!$D$10,0)))</f>
        <v>0</v>
      </c>
      <c r="W797" s="37">
        <f>IF(AND(W507&lt;=$I222,W507&gt;$J222),Tarification!$D$8,IF(AND(W507&lt;=$J222,W507&gt;$K222),Tarification!$D$9,IF(AND(W507&lt;=$K222,W507&gt;0),Tarification!$D$10,0)))</f>
        <v>0</v>
      </c>
      <c r="X797" s="37">
        <f>IF(AND(X507&lt;=$I222,X507&gt;$J222),Tarification!$D$8,IF(AND(X507&lt;=$J222,X507&gt;$K222),Tarification!$D$9,IF(AND(X507&lt;=$K222,X507&gt;0),Tarification!$D$10,0)))</f>
        <v>0</v>
      </c>
      <c r="Y797" s="37">
        <f>IF(AND(Y507&lt;=$I222,Y507&gt;$J222),Tarification!$D$8,IF(AND(Y507&lt;=$J222,Y507&gt;$K222),Tarification!$D$9,IF(AND(Y507&lt;=$K222,Y507&gt;0),Tarification!$D$10,0)))</f>
        <v>0</v>
      </c>
      <c r="Z797" s="37">
        <f>IF(AND(Z507&lt;=$I222,Z507&gt;$J222),Tarification!$D$8,IF(AND(Z507&lt;=$J222,Z507&gt;$K222),Tarification!$D$9,IF(AND(Z507&lt;=$K222,Z507&gt;0),Tarification!$D$10,0)))</f>
        <v>0</v>
      </c>
      <c r="AA797" s="37">
        <f>IF(AND(AA507&lt;=$I222,AA507&gt;$J222),Tarification!$D$8,IF(AND(AA507&lt;=$J222,AA507&gt;$K222),Tarification!$D$9,IF(AND(AA507&lt;=$K222,AA507&gt;0),Tarification!$D$10,0)))</f>
        <v>0</v>
      </c>
      <c r="AB797" s="37">
        <f>IF(AND(AB507&lt;=$I222,AB507&gt;$J222),Tarification!$D$8,IF(AND(AB507&lt;=$J222,AB507&gt;$K222),Tarification!$D$9,IF(AND(AB507&lt;=$K222,AB507&gt;0),Tarification!$D$10,0)))</f>
        <v>0</v>
      </c>
      <c r="AC797" s="37">
        <f>IF(AND(AC507&lt;=$I222,AC507&gt;$J222),Tarification!$D$8,IF(AND(AC507&lt;=$J222,AC507&gt;$K222),Tarification!$D$9,IF(AND(AC507&lt;=$K222,AC507&gt;0),Tarification!$D$10,0)))</f>
        <v>0</v>
      </c>
      <c r="AD797" s="37">
        <f>IF(AND(AD507&lt;=$I222,AD507&gt;$J222),Tarification!$D$8,IF(AND(AD507&lt;=$J222,AD507&gt;$K222),Tarification!$D$9,IF(AND(AD507&lt;=$K222,AD507&gt;0),Tarification!$D$10,0)))</f>
        <v>50000</v>
      </c>
      <c r="AE797" s="37">
        <f>IF(AND(AE507&lt;=$I222,AE507&gt;$J222),Tarification!$D$8,IF(AND(AE507&lt;=$J222,AE507&gt;$K222),Tarification!$D$9,IF(AND(AE507&lt;=$K222,AE507&gt;0),Tarification!$D$10,0)))</f>
        <v>0</v>
      </c>
      <c r="AF797" s="37">
        <f>IF(AND(AF507&lt;=$I222,AF507&gt;$J222),Tarification!$D$8,IF(AND(AF507&lt;=$J222,AF507&gt;$K222),Tarification!$D$9,IF(AND(AF507&lt;=$K222,AF507&gt;0),Tarification!$D$10,0)))</f>
        <v>0</v>
      </c>
      <c r="AG797" s="37">
        <f>IF(AND(AG507&lt;=$I222,AG507&gt;$J222),Tarification!$D$8,IF(AND(AG507&lt;=$J222,AG507&gt;$K222),Tarification!$D$9,IF(AND(AG507&lt;=$K222,AG507&gt;0),Tarification!$D$10,0)))</f>
        <v>0</v>
      </c>
      <c r="AH797" s="37">
        <f>IF(AND(AH507&lt;=$I222,AH507&gt;$J222),Tarification!$D$8,IF(AND(AH507&lt;=$J222,AH507&gt;$K222),Tarification!$D$9,IF(AND(AH507&lt;=$K222,AH507&gt;0),Tarification!$D$10,0)))</f>
        <v>0</v>
      </c>
      <c r="AI797" s="37">
        <f>IF(AND(AI507&lt;=$I222,AI507&gt;$J222),Tarification!$D$8,IF(AND(AI507&lt;=$J222,AI507&gt;$K222),Tarification!$D$9,IF(AND(AI507&lt;=$K222,AI507&gt;0),Tarification!$D$10,0)))</f>
        <v>0</v>
      </c>
      <c r="AJ797" s="37">
        <f>IF(AND(AJ507&lt;=$I222,AJ507&gt;$J222),Tarification!$D$8,IF(AND(AJ507&lt;=$J222,AJ507&gt;$K222),Tarification!$D$9,IF(AND(AJ507&lt;=$K222,AJ507&gt;0),Tarification!$D$10,0)))</f>
        <v>50000</v>
      </c>
      <c r="AK797" s="37">
        <f>IF(AND(AK507&lt;=$I222,AK507&gt;$J222),Tarification!$D$8,IF(AND(AK507&lt;=$J222,AK507&gt;$K222),Tarification!$D$9,IF(AND(AK507&lt;=$K222,AK507&gt;0),Tarification!$D$10,0)))</f>
        <v>0</v>
      </c>
      <c r="AL797" s="37">
        <f>IF(AND(AL507&lt;=$I222,AL507&gt;$J222),Tarification!$D$8,IF(AND(AL507&lt;=$J222,AL507&gt;$K222),Tarification!$D$9,IF(AND(AL507&lt;=$K222,AL507&gt;0),Tarification!$D$10,0)))</f>
        <v>0</v>
      </c>
      <c r="AM797" s="37">
        <f>IF(AND(AM507&lt;=$I222,AM507&gt;$J222),Tarification!$D$8,IF(AND(AM507&lt;=$J222,AM507&gt;$K222),Tarification!$D$9,IF(AND(AM507&lt;=$K222,AM507&gt;0),Tarification!$D$10,0)))</f>
        <v>0</v>
      </c>
      <c r="AN797" s="37">
        <f>IF(AND(AN507&lt;=$I222,AN507&gt;$J222),Tarification!$D$8,IF(AND(AN507&lt;=$J222,AN507&gt;$K222),Tarification!$D$9,IF(AND(AN507&lt;=$K222,AN507&gt;0),Tarification!$D$10,0)))</f>
        <v>0</v>
      </c>
      <c r="AQ797" s="101">
        <f t="shared" si="151"/>
        <v>5263.1578947368425</v>
      </c>
    </row>
    <row r="798" spans="14:43" ht="15.6">
      <c r="N798" s="39" t="s">
        <v>27</v>
      </c>
      <c r="O798" s="39" t="s">
        <v>184</v>
      </c>
      <c r="P798" t="s">
        <v>820</v>
      </c>
      <c r="Q798" s="39"/>
      <c r="V798" s="37">
        <f>IF(AND(V508&lt;=$I223,V508&gt;$J223),Tarification!$D$8,IF(AND(V508&lt;=$J223,V508&gt;$K223),Tarification!$D$9,IF(AND(V508&lt;=$K223,V508&gt;0),Tarification!$D$10,0)))</f>
        <v>0</v>
      </c>
      <c r="W798" s="37">
        <f>IF(AND(W508&lt;=$I223,W508&gt;$J223),Tarification!$D$8,IF(AND(W508&lt;=$J223,W508&gt;$K223),Tarification!$D$9,IF(AND(W508&lt;=$K223,W508&gt;0),Tarification!$D$10,0)))</f>
        <v>0</v>
      </c>
      <c r="X798" s="37">
        <f>IF(AND(X508&lt;=$I223,X508&gt;$J223),Tarification!$D$8,IF(AND(X508&lt;=$J223,X508&gt;$K223),Tarification!$D$9,IF(AND(X508&lt;=$K223,X508&gt;0),Tarification!$D$10,0)))</f>
        <v>0</v>
      </c>
      <c r="Y798" s="37">
        <f>IF(AND(Y508&lt;=$I223,Y508&gt;$J223),Tarification!$D$8,IF(AND(Y508&lt;=$J223,Y508&gt;$K223),Tarification!$D$9,IF(AND(Y508&lt;=$K223,Y508&gt;0),Tarification!$D$10,0)))</f>
        <v>0</v>
      </c>
      <c r="Z798" s="37">
        <f>IF(AND(Z508&lt;=$I223,Z508&gt;$J223),Tarification!$D$8,IF(AND(Z508&lt;=$J223,Z508&gt;$K223),Tarification!$D$9,IF(AND(Z508&lt;=$K223,Z508&gt;0),Tarification!$D$10,0)))</f>
        <v>0</v>
      </c>
      <c r="AA798" s="37">
        <f>IF(AND(AA508&lt;=$I223,AA508&gt;$J223),Tarification!$D$8,IF(AND(AA508&lt;=$J223,AA508&gt;$K223),Tarification!$D$9,IF(AND(AA508&lt;=$K223,AA508&gt;0),Tarification!$D$10,0)))</f>
        <v>0</v>
      </c>
      <c r="AB798" s="37">
        <f>IF(AND(AB508&lt;=$I223,AB508&gt;$J223),Tarification!$D$8,IF(AND(AB508&lt;=$J223,AB508&gt;$K223),Tarification!$D$9,IF(AND(AB508&lt;=$K223,AB508&gt;0),Tarification!$D$10,0)))</f>
        <v>0</v>
      </c>
      <c r="AC798" s="37">
        <f>IF(AND(AC508&lt;=$I223,AC508&gt;$J223),Tarification!$D$8,IF(AND(AC508&lt;=$J223,AC508&gt;$K223),Tarification!$D$9,IF(AND(AC508&lt;=$K223,AC508&gt;0),Tarification!$D$10,0)))</f>
        <v>0</v>
      </c>
      <c r="AD798" s="37">
        <f>IF(AND(AD508&lt;=$I223,AD508&gt;$J223),Tarification!$D$8,IF(AND(AD508&lt;=$J223,AD508&gt;$K223),Tarification!$D$9,IF(AND(AD508&lt;=$K223,AD508&gt;0),Tarification!$D$10,0)))</f>
        <v>0</v>
      </c>
      <c r="AE798" s="37">
        <f>IF(AND(AE508&lt;=$I223,AE508&gt;$J223),Tarification!$D$8,IF(AND(AE508&lt;=$J223,AE508&gt;$K223),Tarification!$D$9,IF(AND(AE508&lt;=$K223,AE508&gt;0),Tarification!$D$10,0)))</f>
        <v>0</v>
      </c>
      <c r="AF798" s="37">
        <f>IF(AND(AF508&lt;=$I223,AF508&gt;$J223),Tarification!$D$8,IF(AND(AF508&lt;=$J223,AF508&gt;$K223),Tarification!$D$9,IF(AND(AF508&lt;=$K223,AF508&gt;0),Tarification!$D$10,0)))</f>
        <v>0</v>
      </c>
      <c r="AG798" s="37">
        <f>IF(AND(AG508&lt;=$I223,AG508&gt;$J223),Tarification!$D$8,IF(AND(AG508&lt;=$J223,AG508&gt;$K223),Tarification!$D$9,IF(AND(AG508&lt;=$K223,AG508&gt;0),Tarification!$D$10,0)))</f>
        <v>0</v>
      </c>
      <c r="AH798" s="37">
        <f>IF(AND(AH508&lt;=$I223,AH508&gt;$J223),Tarification!$D$8,IF(AND(AH508&lt;=$J223,AH508&gt;$K223),Tarification!$D$9,IF(AND(AH508&lt;=$K223,AH508&gt;0),Tarification!$D$10,0)))</f>
        <v>0</v>
      </c>
      <c r="AI798" s="37">
        <f>IF(AND(AI508&lt;=$I223,AI508&gt;$J223),Tarification!$D$8,IF(AND(AI508&lt;=$J223,AI508&gt;$K223),Tarification!$D$9,IF(AND(AI508&lt;=$K223,AI508&gt;0),Tarification!$D$10,0)))</f>
        <v>0</v>
      </c>
      <c r="AJ798" s="37">
        <f>IF(AND(AJ508&lt;=$I223,AJ508&gt;$J223),Tarification!$D$8,IF(AND(AJ508&lt;=$J223,AJ508&gt;$K223),Tarification!$D$9,IF(AND(AJ508&lt;=$K223,AJ508&gt;0),Tarification!$D$10,0)))</f>
        <v>0</v>
      </c>
      <c r="AK798" s="37">
        <f>IF(AND(AK508&lt;=$I223,AK508&gt;$J223),Tarification!$D$8,IF(AND(AK508&lt;=$J223,AK508&gt;$K223),Tarification!$D$9,IF(AND(AK508&lt;=$K223,AK508&gt;0),Tarification!$D$10,0)))</f>
        <v>0</v>
      </c>
      <c r="AL798" s="37">
        <f>IF(AND(AL508&lt;=$I223,AL508&gt;$J223),Tarification!$D$8,IF(AND(AL508&lt;=$J223,AL508&gt;$K223),Tarification!$D$9,IF(AND(AL508&lt;=$K223,AL508&gt;0),Tarification!$D$10,0)))</f>
        <v>0</v>
      </c>
      <c r="AM798" s="37">
        <f>IF(AND(AM508&lt;=$I223,AM508&gt;$J223),Tarification!$D$8,IF(AND(AM508&lt;=$J223,AM508&gt;$K223),Tarification!$D$9,IF(AND(AM508&lt;=$K223,AM508&gt;0),Tarification!$D$10,0)))</f>
        <v>0</v>
      </c>
      <c r="AN798" s="37">
        <f>IF(AND(AN508&lt;=$I223,AN508&gt;$J223),Tarification!$D$8,IF(AND(AN508&lt;=$J223,AN508&gt;$K223),Tarification!$D$9,IF(AND(AN508&lt;=$K223,AN508&gt;0),Tarification!$D$10,0)))</f>
        <v>0</v>
      </c>
      <c r="AQ798" s="101">
        <f t="shared" si="151"/>
        <v>0</v>
      </c>
    </row>
    <row r="799" spans="14:43" ht="15.6">
      <c r="N799" s="39" t="s">
        <v>27</v>
      </c>
      <c r="O799" s="39" t="s">
        <v>537</v>
      </c>
      <c r="P799" t="s">
        <v>821</v>
      </c>
      <c r="Q799" s="39"/>
      <c r="V799" s="37">
        <f>IF(AND(V509&lt;=$I224,V509&gt;$J224),Tarification!$D$8,IF(AND(V509&lt;=$J224,V509&gt;$K224),Tarification!$D$9,IF(AND(V509&lt;=$K224,V509&gt;0),Tarification!$D$10,0)))</f>
        <v>0</v>
      </c>
      <c r="W799" s="37">
        <f>IF(AND(W509&lt;=$I224,W509&gt;$J224),Tarification!$D$8,IF(AND(W509&lt;=$J224,W509&gt;$K224),Tarification!$D$9,IF(AND(W509&lt;=$K224,W509&gt;0),Tarification!$D$10,0)))</f>
        <v>0</v>
      </c>
      <c r="X799" s="37">
        <f>IF(AND(X509&lt;=$I224,X509&gt;$J224),Tarification!$D$8,IF(AND(X509&lt;=$J224,X509&gt;$K224),Tarification!$D$9,IF(AND(X509&lt;=$K224,X509&gt;0),Tarification!$D$10,0)))</f>
        <v>0</v>
      </c>
      <c r="Y799" s="37">
        <f>IF(AND(Y509&lt;=$I224,Y509&gt;$J224),Tarification!$D$8,IF(AND(Y509&lt;=$J224,Y509&gt;$K224),Tarification!$D$9,IF(AND(Y509&lt;=$K224,Y509&gt;0),Tarification!$D$10,0)))</f>
        <v>0</v>
      </c>
      <c r="Z799" s="37">
        <f>IF(AND(Z509&lt;=$I224,Z509&gt;$J224),Tarification!$D$8,IF(AND(Z509&lt;=$J224,Z509&gt;$K224),Tarification!$D$9,IF(AND(Z509&lt;=$K224,Z509&gt;0),Tarification!$D$10,0)))</f>
        <v>0</v>
      </c>
      <c r="AA799" s="37">
        <f>IF(AND(AA509&lt;=$I224,AA509&gt;$J224),Tarification!$D$8,IF(AND(AA509&lt;=$J224,AA509&gt;$K224),Tarification!$D$9,IF(AND(AA509&lt;=$K224,AA509&gt;0),Tarification!$D$10,0)))</f>
        <v>0</v>
      </c>
      <c r="AB799" s="37">
        <f>IF(AND(AB509&lt;=$I224,AB509&gt;$J224),Tarification!$D$8,IF(AND(AB509&lt;=$J224,AB509&gt;$K224),Tarification!$D$9,IF(AND(AB509&lt;=$K224,AB509&gt;0),Tarification!$D$10,0)))</f>
        <v>0</v>
      </c>
      <c r="AC799" s="37">
        <f>IF(AND(AC509&lt;=$I224,AC509&gt;$J224),Tarification!$D$8,IF(AND(AC509&lt;=$J224,AC509&gt;$K224),Tarification!$D$9,IF(AND(AC509&lt;=$K224,AC509&gt;0),Tarification!$D$10,0)))</f>
        <v>0</v>
      </c>
      <c r="AD799" s="37">
        <f>IF(AND(AD509&lt;=$I224,AD509&gt;$J224),Tarification!$D$8,IF(AND(AD509&lt;=$J224,AD509&gt;$K224),Tarification!$D$9,IF(AND(AD509&lt;=$K224,AD509&gt;0),Tarification!$D$10,0)))</f>
        <v>0</v>
      </c>
      <c r="AE799" s="37">
        <f>IF(AND(AE509&lt;=$I224,AE509&gt;$J224),Tarification!$D$8,IF(AND(AE509&lt;=$J224,AE509&gt;$K224),Tarification!$D$9,IF(AND(AE509&lt;=$K224,AE509&gt;0),Tarification!$D$10,0)))</f>
        <v>50000</v>
      </c>
      <c r="AF799" s="37">
        <f>IF(AND(AF509&lt;=$I224,AF509&gt;$J224),Tarification!$D$8,IF(AND(AF509&lt;=$J224,AF509&gt;$K224),Tarification!$D$9,IF(AND(AF509&lt;=$K224,AF509&gt;0),Tarification!$D$10,0)))</f>
        <v>0</v>
      </c>
      <c r="AG799" s="37">
        <f>IF(AND(AG509&lt;=$I224,AG509&gt;$J224),Tarification!$D$8,IF(AND(AG509&lt;=$J224,AG509&gt;$K224),Tarification!$D$9,IF(AND(AG509&lt;=$K224,AG509&gt;0),Tarification!$D$10,0)))</f>
        <v>0</v>
      </c>
      <c r="AH799" s="37">
        <f>IF(AND(AH509&lt;=$I224,AH509&gt;$J224),Tarification!$D$8,IF(AND(AH509&lt;=$J224,AH509&gt;$K224),Tarification!$D$9,IF(AND(AH509&lt;=$K224,AH509&gt;0),Tarification!$D$10,0)))</f>
        <v>0</v>
      </c>
      <c r="AI799" s="37">
        <f>IF(AND(AI509&lt;=$I224,AI509&gt;$J224),Tarification!$D$8,IF(AND(AI509&lt;=$J224,AI509&gt;$K224),Tarification!$D$9,IF(AND(AI509&lt;=$K224,AI509&gt;0),Tarification!$D$10,0)))</f>
        <v>0</v>
      </c>
      <c r="AJ799" s="37">
        <f>IF(AND(AJ509&lt;=$I224,AJ509&gt;$J224),Tarification!$D$8,IF(AND(AJ509&lt;=$J224,AJ509&gt;$K224),Tarification!$D$9,IF(AND(AJ509&lt;=$K224,AJ509&gt;0),Tarification!$D$10,0)))</f>
        <v>0</v>
      </c>
      <c r="AK799" s="37">
        <f>IF(AND(AK509&lt;=$I224,AK509&gt;$J224),Tarification!$D$8,IF(AND(AK509&lt;=$J224,AK509&gt;$K224),Tarification!$D$9,IF(AND(AK509&lt;=$K224,AK509&gt;0),Tarification!$D$10,0)))</f>
        <v>0</v>
      </c>
      <c r="AL799" s="37">
        <f>IF(AND(AL509&lt;=$I224,AL509&gt;$J224),Tarification!$D$8,IF(AND(AL509&lt;=$J224,AL509&gt;$K224),Tarification!$D$9,IF(AND(AL509&lt;=$K224,AL509&gt;0),Tarification!$D$10,0)))</f>
        <v>0</v>
      </c>
      <c r="AM799" s="37">
        <f>IF(AND(AM509&lt;=$I224,AM509&gt;$J224),Tarification!$D$8,IF(AND(AM509&lt;=$J224,AM509&gt;$K224),Tarification!$D$9,IF(AND(AM509&lt;=$K224,AM509&gt;0),Tarification!$D$10,0)))</f>
        <v>0</v>
      </c>
      <c r="AN799" s="37">
        <f>IF(AND(AN509&lt;=$I224,AN509&gt;$J224),Tarification!$D$8,IF(AND(AN509&lt;=$J224,AN509&gt;$K224),Tarification!$D$9,IF(AND(AN509&lt;=$K224,AN509&gt;0),Tarification!$D$10,0)))</f>
        <v>0</v>
      </c>
      <c r="AQ799" s="101">
        <f t="shared" si="151"/>
        <v>2631.5789473684213</v>
      </c>
    </row>
    <row r="800" spans="14:43" ht="15.6">
      <c r="N800" s="39" t="s">
        <v>27</v>
      </c>
      <c r="O800" s="39" t="s">
        <v>251</v>
      </c>
      <c r="P800" s="89" t="s">
        <v>255</v>
      </c>
      <c r="Q800" s="39"/>
      <c r="V800" s="37">
        <f>IF(AND(V510&lt;=$I225,V510&gt;$J225),Tarification!$D$8,IF(AND(V510&lt;=$J225,V510&gt;$K225),Tarification!$D$9,IF(AND(V510&lt;=$K225,V510&gt;0),Tarification!$D$10,0)))</f>
        <v>0</v>
      </c>
      <c r="W800" s="37">
        <f>IF(AND(W510&lt;=$I225,W510&gt;$J225),Tarification!$D$8,IF(AND(W510&lt;=$J225,W510&gt;$K225),Tarification!$D$9,IF(AND(W510&lt;=$K225,W510&gt;0),Tarification!$D$10,0)))</f>
        <v>0</v>
      </c>
      <c r="X800" s="37">
        <f>IF(AND(X510&lt;=$I225,X510&gt;$J225),Tarification!$D$8,IF(AND(X510&lt;=$J225,X510&gt;$K225),Tarification!$D$9,IF(AND(X510&lt;=$K225,X510&gt;0),Tarification!$D$10,0)))</f>
        <v>0</v>
      </c>
      <c r="Y800" s="37">
        <f>IF(AND(Y510&lt;=$I225,Y510&gt;$J225),Tarification!$D$8,IF(AND(Y510&lt;=$J225,Y510&gt;$K225),Tarification!$D$9,IF(AND(Y510&lt;=$K225,Y510&gt;0),Tarification!$D$10,0)))</f>
        <v>0</v>
      </c>
      <c r="Z800" s="37">
        <f>IF(AND(Z510&lt;=$I225,Z510&gt;$J225),Tarification!$D$8,IF(AND(Z510&lt;=$J225,Z510&gt;$K225),Tarification!$D$9,IF(AND(Z510&lt;=$K225,Z510&gt;0),Tarification!$D$10,0)))</f>
        <v>0</v>
      </c>
      <c r="AA800" s="37">
        <f>IF(AND(AA510&lt;=$I225,AA510&gt;$J225),Tarification!$D$8,IF(AND(AA510&lt;=$J225,AA510&gt;$K225),Tarification!$D$9,IF(AND(AA510&lt;=$K225,AA510&gt;0),Tarification!$D$10,0)))</f>
        <v>0</v>
      </c>
      <c r="AB800" s="37">
        <f>IF(AND(AB510&lt;=$I225,AB510&gt;$J225),Tarification!$D$8,IF(AND(AB510&lt;=$J225,AB510&gt;$K225),Tarification!$D$9,IF(AND(AB510&lt;=$K225,AB510&gt;0),Tarification!$D$10,0)))</f>
        <v>0</v>
      </c>
      <c r="AC800" s="37">
        <f>IF(AND(AC510&lt;=$I225,AC510&gt;$J225),Tarification!$D$8,IF(AND(AC510&lt;=$J225,AC510&gt;$K225),Tarification!$D$9,IF(AND(AC510&lt;=$K225,AC510&gt;0),Tarification!$D$10,0)))</f>
        <v>0</v>
      </c>
      <c r="AD800" s="37">
        <f>IF(AND(AD510&lt;=$I225,AD510&gt;$J225),Tarification!$D$8,IF(AND(AD510&lt;=$J225,AD510&gt;$K225),Tarification!$D$9,IF(AND(AD510&lt;=$K225,AD510&gt;0),Tarification!$D$10,0)))</f>
        <v>0</v>
      </c>
      <c r="AE800" s="37">
        <f>IF(AND(AE510&lt;=$I225,AE510&gt;$J225),Tarification!$D$8,IF(AND(AE510&lt;=$J225,AE510&gt;$K225),Tarification!$D$9,IF(AND(AE510&lt;=$K225,AE510&gt;0),Tarification!$D$10,0)))</f>
        <v>0</v>
      </c>
      <c r="AF800" s="37">
        <f>IF(AND(AF510&lt;=$I225,AF510&gt;$J225),Tarification!$D$8,IF(AND(AF510&lt;=$J225,AF510&gt;$K225),Tarification!$D$9,IF(AND(AF510&lt;=$K225,AF510&gt;0),Tarification!$D$10,0)))</f>
        <v>0</v>
      </c>
      <c r="AG800" s="37">
        <f>IF(AND(AG510&lt;=$I225,AG510&gt;$J225),Tarification!$D$8,IF(AND(AG510&lt;=$J225,AG510&gt;$K225),Tarification!$D$9,IF(AND(AG510&lt;=$K225,AG510&gt;0),Tarification!$D$10,0)))</f>
        <v>0</v>
      </c>
      <c r="AH800" s="37">
        <f>IF(AND(AH510&lt;=$I225,AH510&gt;$J225),Tarification!$D$8,IF(AND(AH510&lt;=$J225,AH510&gt;$K225),Tarification!$D$9,IF(AND(AH510&lt;=$K225,AH510&gt;0),Tarification!$D$10,0)))</f>
        <v>0</v>
      </c>
      <c r="AI800" s="37">
        <f>IF(AND(AI510&lt;=$I225,AI510&gt;$J225),Tarification!$D$8,IF(AND(AI510&lt;=$J225,AI510&gt;$K225),Tarification!$D$9,IF(AND(AI510&lt;=$K225,AI510&gt;0),Tarification!$D$10,0)))</f>
        <v>0</v>
      </c>
      <c r="AJ800" s="37">
        <f>IF(AND(AJ510&lt;=$I225,AJ510&gt;$J225),Tarification!$D$8,IF(AND(AJ510&lt;=$J225,AJ510&gt;$K225),Tarification!$D$9,IF(AND(AJ510&lt;=$K225,AJ510&gt;0),Tarification!$D$10,0)))</f>
        <v>0</v>
      </c>
      <c r="AK800" s="37">
        <f>IF(AND(AK510&lt;=$I225,AK510&gt;$J225),Tarification!$D$8,IF(AND(AK510&lt;=$J225,AK510&gt;$K225),Tarification!$D$9,IF(AND(AK510&lt;=$K225,AK510&gt;0),Tarification!$D$10,0)))</f>
        <v>0</v>
      </c>
      <c r="AL800" s="37">
        <f>IF(AND(AL510&lt;=$I225,AL510&gt;$J225),Tarification!$D$8,IF(AND(AL510&lt;=$J225,AL510&gt;$K225),Tarification!$D$9,IF(AND(AL510&lt;=$K225,AL510&gt;0),Tarification!$D$10,0)))</f>
        <v>0</v>
      </c>
      <c r="AM800" s="37">
        <f>IF(AND(AM510&lt;=$I225,AM510&gt;$J225),Tarification!$D$8,IF(AND(AM510&lt;=$J225,AM510&gt;$K225),Tarification!$D$9,IF(AND(AM510&lt;=$K225,AM510&gt;0),Tarification!$D$10,0)))</f>
        <v>0</v>
      </c>
      <c r="AN800" s="37">
        <f>IF(AND(AN510&lt;=$I225,AN510&gt;$J225),Tarification!$D$8,IF(AND(AN510&lt;=$J225,AN510&gt;$K225),Tarification!$D$9,IF(AND(AN510&lt;=$K225,AN510&gt;0),Tarification!$D$10,0)))</f>
        <v>0</v>
      </c>
      <c r="AQ800" s="101">
        <f t="shared" si="151"/>
        <v>0</v>
      </c>
    </row>
    <row r="801" spans="14:43" ht="15.6">
      <c r="N801" s="39" t="s">
        <v>27</v>
      </c>
      <c r="O801" s="39" t="s">
        <v>448</v>
      </c>
      <c r="P801" t="s">
        <v>822</v>
      </c>
      <c r="Q801" s="39"/>
      <c r="V801" s="37">
        <f>IF(AND(V511&lt;=$I226,V511&gt;$J226),Tarification!$D$8,IF(AND(V511&lt;=$J226,V511&gt;$K226),Tarification!$D$9,IF(AND(V511&lt;=$K226,V511&gt;0),Tarification!$D$10,0)))</f>
        <v>0</v>
      </c>
      <c r="W801" s="37">
        <f>IF(AND(W511&lt;=$I226,W511&gt;$J226),Tarification!$D$8,IF(AND(W511&lt;=$J226,W511&gt;$K226),Tarification!$D$9,IF(AND(W511&lt;=$K226,W511&gt;0),Tarification!$D$10,0)))</f>
        <v>0</v>
      </c>
      <c r="X801" s="37">
        <f>IF(AND(X511&lt;=$I226,X511&gt;$J226),Tarification!$D$8,IF(AND(X511&lt;=$J226,X511&gt;$K226),Tarification!$D$9,IF(AND(X511&lt;=$K226,X511&gt;0),Tarification!$D$10,0)))</f>
        <v>0</v>
      </c>
      <c r="Y801" s="37">
        <f>IF(AND(Y511&lt;=$I226,Y511&gt;$J226),Tarification!$D$8,IF(AND(Y511&lt;=$J226,Y511&gt;$K226),Tarification!$D$9,IF(AND(Y511&lt;=$K226,Y511&gt;0),Tarification!$D$10,0)))</f>
        <v>0</v>
      </c>
      <c r="Z801" s="37">
        <f>IF(AND(Z511&lt;=$I226,Z511&gt;$J226),Tarification!$D$8,IF(AND(Z511&lt;=$J226,Z511&gt;$K226),Tarification!$D$9,IF(AND(Z511&lt;=$K226,Z511&gt;0),Tarification!$D$10,0)))</f>
        <v>0</v>
      </c>
      <c r="AA801" s="37">
        <f>IF(AND(AA511&lt;=$I226,AA511&gt;$J226),Tarification!$D$8,IF(AND(AA511&lt;=$J226,AA511&gt;$K226),Tarification!$D$9,IF(AND(AA511&lt;=$K226,AA511&gt;0),Tarification!$D$10,0)))</f>
        <v>0</v>
      </c>
      <c r="AB801" s="37">
        <f>IF(AND(AB511&lt;=$I226,AB511&gt;$J226),Tarification!$D$8,IF(AND(AB511&lt;=$J226,AB511&gt;$K226),Tarification!$D$9,IF(AND(AB511&lt;=$K226,AB511&gt;0),Tarification!$D$10,0)))</f>
        <v>0</v>
      </c>
      <c r="AC801" s="37">
        <f>IF(AND(AC511&lt;=$I226,AC511&gt;$J226),Tarification!$D$8,IF(AND(AC511&lt;=$J226,AC511&gt;$K226),Tarification!$D$9,IF(AND(AC511&lt;=$K226,AC511&gt;0),Tarification!$D$10,0)))</f>
        <v>0</v>
      </c>
      <c r="AD801" s="37">
        <f>IF(AND(AD511&lt;=$I226,AD511&gt;$J226),Tarification!$D$8,IF(AND(AD511&lt;=$J226,AD511&gt;$K226),Tarification!$D$9,IF(AND(AD511&lt;=$K226,AD511&gt;0),Tarification!$D$10,0)))</f>
        <v>0</v>
      </c>
      <c r="AE801" s="37">
        <f>IF(AND(AE511&lt;=$I226,AE511&gt;$J226),Tarification!$D$8,IF(AND(AE511&lt;=$J226,AE511&gt;$K226),Tarification!$D$9,IF(AND(AE511&lt;=$K226,AE511&gt;0),Tarification!$D$10,0)))</f>
        <v>0</v>
      </c>
      <c r="AF801" s="37">
        <f>IF(AND(AF511&lt;=$I226,AF511&gt;$J226),Tarification!$D$8,IF(AND(AF511&lt;=$J226,AF511&gt;$K226),Tarification!$D$9,IF(AND(AF511&lt;=$K226,AF511&gt;0),Tarification!$D$10,0)))</f>
        <v>0</v>
      </c>
      <c r="AG801" s="37">
        <f>IF(AND(AG511&lt;=$I226,AG511&gt;$J226),Tarification!$D$8,IF(AND(AG511&lt;=$J226,AG511&gt;$K226),Tarification!$D$9,IF(AND(AG511&lt;=$K226,AG511&gt;0),Tarification!$D$10,0)))</f>
        <v>0</v>
      </c>
      <c r="AH801" s="37">
        <f>IF(AND(AH511&lt;=$I226,AH511&gt;$J226),Tarification!$D$8,IF(AND(AH511&lt;=$J226,AH511&gt;$K226),Tarification!$D$9,IF(AND(AH511&lt;=$K226,AH511&gt;0),Tarification!$D$10,0)))</f>
        <v>0</v>
      </c>
      <c r="AI801" s="37">
        <f>IF(AND(AI511&lt;=$I226,AI511&gt;$J226),Tarification!$D$8,IF(AND(AI511&lt;=$J226,AI511&gt;$K226),Tarification!$D$9,IF(AND(AI511&lt;=$K226,AI511&gt;0),Tarification!$D$10,0)))</f>
        <v>0</v>
      </c>
      <c r="AJ801" s="37">
        <f>IF(AND(AJ511&lt;=$I226,AJ511&gt;$J226),Tarification!$D$8,IF(AND(AJ511&lt;=$J226,AJ511&gt;$K226),Tarification!$D$9,IF(AND(AJ511&lt;=$K226,AJ511&gt;0),Tarification!$D$10,0)))</f>
        <v>0</v>
      </c>
      <c r="AK801" s="37">
        <f>IF(AND(AK511&lt;=$I226,AK511&gt;$J226),Tarification!$D$8,IF(AND(AK511&lt;=$J226,AK511&gt;$K226),Tarification!$D$9,IF(AND(AK511&lt;=$K226,AK511&gt;0),Tarification!$D$10,0)))</f>
        <v>0</v>
      </c>
      <c r="AL801" s="37">
        <f>IF(AND(AL511&lt;=$I226,AL511&gt;$J226),Tarification!$D$8,IF(AND(AL511&lt;=$J226,AL511&gt;$K226),Tarification!$D$9,IF(AND(AL511&lt;=$K226,AL511&gt;0),Tarification!$D$10,0)))</f>
        <v>0</v>
      </c>
      <c r="AM801" s="37">
        <f>IF(AND(AM511&lt;=$I226,AM511&gt;$J226),Tarification!$D$8,IF(AND(AM511&lt;=$J226,AM511&gt;$K226),Tarification!$D$9,IF(AND(AM511&lt;=$K226,AM511&gt;0),Tarification!$D$10,0)))</f>
        <v>0</v>
      </c>
      <c r="AN801" s="37">
        <f>IF(AND(AN511&lt;=$I226,AN511&gt;$J226),Tarification!$D$8,IF(AND(AN511&lt;=$J226,AN511&gt;$K226),Tarification!$D$9,IF(AND(AN511&lt;=$K226,AN511&gt;0),Tarification!$D$10,0)))</f>
        <v>0</v>
      </c>
      <c r="AQ801" s="101">
        <f t="shared" si="151"/>
        <v>0</v>
      </c>
    </row>
    <row r="802" spans="14:43" ht="15.6">
      <c r="N802" s="39" t="s">
        <v>27</v>
      </c>
      <c r="O802" s="39" t="s">
        <v>448</v>
      </c>
      <c r="P802" t="s">
        <v>823</v>
      </c>
      <c r="Q802" s="39"/>
      <c r="V802" s="37">
        <f>IF(AND(V512&lt;=$I227,V512&gt;$J227),Tarification!$D$8,IF(AND(V512&lt;=$J227,V512&gt;$K227),Tarification!$D$9,IF(AND(V512&lt;=$K227,V512&gt;0),Tarification!$D$10,0)))</f>
        <v>0</v>
      </c>
      <c r="W802" s="37">
        <f>IF(AND(W512&lt;=$I227,W512&gt;$J227),Tarification!$D$8,IF(AND(W512&lt;=$J227,W512&gt;$K227),Tarification!$D$9,IF(AND(W512&lt;=$K227,W512&gt;0),Tarification!$D$10,0)))</f>
        <v>0</v>
      </c>
      <c r="X802" s="37">
        <f>IF(AND(X512&lt;=$I227,X512&gt;$J227),Tarification!$D$8,IF(AND(X512&lt;=$J227,X512&gt;$K227),Tarification!$D$9,IF(AND(X512&lt;=$K227,X512&gt;0),Tarification!$D$10,0)))</f>
        <v>0</v>
      </c>
      <c r="Y802" s="37">
        <f>IF(AND(Y512&lt;=$I227,Y512&gt;$J227),Tarification!$D$8,IF(AND(Y512&lt;=$J227,Y512&gt;$K227),Tarification!$D$9,IF(AND(Y512&lt;=$K227,Y512&gt;0),Tarification!$D$10,0)))</f>
        <v>0</v>
      </c>
      <c r="Z802" s="37">
        <f>IF(AND(Z512&lt;=$I227,Z512&gt;$J227),Tarification!$D$8,IF(AND(Z512&lt;=$J227,Z512&gt;$K227),Tarification!$D$9,IF(AND(Z512&lt;=$K227,Z512&gt;0),Tarification!$D$10,0)))</f>
        <v>0</v>
      </c>
      <c r="AA802" s="37">
        <f>IF(AND(AA512&lt;=$I227,AA512&gt;$J227),Tarification!$D$8,IF(AND(AA512&lt;=$J227,AA512&gt;$K227),Tarification!$D$9,IF(AND(AA512&lt;=$K227,AA512&gt;0),Tarification!$D$10,0)))</f>
        <v>0</v>
      </c>
      <c r="AB802" s="37">
        <f>IF(AND(AB512&lt;=$I227,AB512&gt;$J227),Tarification!$D$8,IF(AND(AB512&lt;=$J227,AB512&gt;$K227),Tarification!$D$9,IF(AND(AB512&lt;=$K227,AB512&gt;0),Tarification!$D$10,0)))</f>
        <v>0</v>
      </c>
      <c r="AC802" s="37">
        <f>IF(AND(AC512&lt;=$I227,AC512&gt;$J227),Tarification!$D$8,IF(AND(AC512&lt;=$J227,AC512&gt;$K227),Tarification!$D$9,IF(AND(AC512&lt;=$K227,AC512&gt;0),Tarification!$D$10,0)))</f>
        <v>0</v>
      </c>
      <c r="AD802" s="37">
        <f>IF(AND(AD512&lt;=$I227,AD512&gt;$J227),Tarification!$D$8,IF(AND(AD512&lt;=$J227,AD512&gt;$K227),Tarification!$D$9,IF(AND(AD512&lt;=$K227,AD512&gt;0),Tarification!$D$10,0)))</f>
        <v>0</v>
      </c>
      <c r="AE802" s="37">
        <f>IF(AND(AE512&lt;=$I227,AE512&gt;$J227),Tarification!$D$8,IF(AND(AE512&lt;=$J227,AE512&gt;$K227),Tarification!$D$9,IF(AND(AE512&lt;=$K227,AE512&gt;0),Tarification!$D$10,0)))</f>
        <v>0</v>
      </c>
      <c r="AF802" s="37">
        <f>IF(AND(AF512&lt;=$I227,AF512&gt;$J227),Tarification!$D$8,IF(AND(AF512&lt;=$J227,AF512&gt;$K227),Tarification!$D$9,IF(AND(AF512&lt;=$K227,AF512&gt;0),Tarification!$D$10,0)))</f>
        <v>0</v>
      </c>
      <c r="AG802" s="37">
        <f>IF(AND(AG512&lt;=$I227,AG512&gt;$J227),Tarification!$D$8,IF(AND(AG512&lt;=$J227,AG512&gt;$K227),Tarification!$D$9,IF(AND(AG512&lt;=$K227,AG512&gt;0),Tarification!$D$10,0)))</f>
        <v>0</v>
      </c>
      <c r="AH802" s="37">
        <f>IF(AND(AH512&lt;=$I227,AH512&gt;$J227),Tarification!$D$8,IF(AND(AH512&lt;=$J227,AH512&gt;$K227),Tarification!$D$9,IF(AND(AH512&lt;=$K227,AH512&gt;0),Tarification!$D$10,0)))</f>
        <v>0</v>
      </c>
      <c r="AI802" s="37">
        <f>IF(AND(AI512&lt;=$I227,AI512&gt;$J227),Tarification!$D$8,IF(AND(AI512&lt;=$J227,AI512&gt;$K227),Tarification!$D$9,IF(AND(AI512&lt;=$K227,AI512&gt;0),Tarification!$D$10,0)))</f>
        <v>0</v>
      </c>
      <c r="AJ802" s="37">
        <f>IF(AND(AJ512&lt;=$I227,AJ512&gt;$J227),Tarification!$D$8,IF(AND(AJ512&lt;=$J227,AJ512&gt;$K227),Tarification!$D$9,IF(AND(AJ512&lt;=$K227,AJ512&gt;0),Tarification!$D$10,0)))</f>
        <v>0</v>
      </c>
      <c r="AK802" s="37">
        <f>IF(AND(AK512&lt;=$I227,AK512&gt;$J227),Tarification!$D$8,IF(AND(AK512&lt;=$J227,AK512&gt;$K227),Tarification!$D$9,IF(AND(AK512&lt;=$K227,AK512&gt;0),Tarification!$D$10,0)))</f>
        <v>0</v>
      </c>
      <c r="AL802" s="37">
        <f>IF(AND(AL512&lt;=$I227,AL512&gt;$J227),Tarification!$D$8,IF(AND(AL512&lt;=$J227,AL512&gt;$K227),Tarification!$D$9,IF(AND(AL512&lt;=$K227,AL512&gt;0),Tarification!$D$10,0)))</f>
        <v>0</v>
      </c>
      <c r="AM802" s="37">
        <f>IF(AND(AM512&lt;=$I227,AM512&gt;$J227),Tarification!$D$8,IF(AND(AM512&lt;=$J227,AM512&gt;$K227),Tarification!$D$9,IF(AND(AM512&lt;=$K227,AM512&gt;0),Tarification!$D$10,0)))</f>
        <v>0</v>
      </c>
      <c r="AN802" s="37">
        <f>IF(AND(AN512&lt;=$I227,AN512&gt;$J227),Tarification!$D$8,IF(AND(AN512&lt;=$J227,AN512&gt;$K227),Tarification!$D$9,IF(AND(AN512&lt;=$K227,AN512&gt;0),Tarification!$D$10,0)))</f>
        <v>0</v>
      </c>
      <c r="AQ802" s="101">
        <f t="shared" si="151"/>
        <v>0</v>
      </c>
    </row>
    <row r="803" spans="14:43" ht="15.6">
      <c r="N803" s="39" t="s">
        <v>27</v>
      </c>
      <c r="O803" s="39" t="s">
        <v>613</v>
      </c>
      <c r="P803" t="s">
        <v>824</v>
      </c>
      <c r="Q803" s="39"/>
      <c r="V803" s="37">
        <f>IF(AND(V513&lt;=$I228,V513&gt;$J228),Tarification!$D$8,IF(AND(V513&lt;=$J228,V513&gt;$K228),Tarification!$D$9,IF(AND(V513&lt;=$K228,V513&gt;0),Tarification!$D$10,0)))</f>
        <v>0</v>
      </c>
      <c r="W803" s="37">
        <f>IF(AND(W513&lt;=$I228,W513&gt;$J228),Tarification!$D$8,IF(AND(W513&lt;=$J228,W513&gt;$K228),Tarification!$D$9,IF(AND(W513&lt;=$K228,W513&gt;0),Tarification!$D$10,0)))</f>
        <v>0</v>
      </c>
      <c r="X803" s="37">
        <f>IF(AND(X513&lt;=$I228,X513&gt;$J228),Tarification!$D$8,IF(AND(X513&lt;=$J228,X513&gt;$K228),Tarification!$D$9,IF(AND(X513&lt;=$K228,X513&gt;0),Tarification!$D$10,0)))</f>
        <v>0</v>
      </c>
      <c r="Y803" s="37">
        <f>IF(AND(Y513&lt;=$I228,Y513&gt;$J228),Tarification!$D$8,IF(AND(Y513&lt;=$J228,Y513&gt;$K228),Tarification!$D$9,IF(AND(Y513&lt;=$K228,Y513&gt;0),Tarification!$D$10,0)))</f>
        <v>0</v>
      </c>
      <c r="Z803" s="37">
        <f>IF(AND(Z513&lt;=$I228,Z513&gt;$J228),Tarification!$D$8,IF(AND(Z513&lt;=$J228,Z513&gt;$K228),Tarification!$D$9,IF(AND(Z513&lt;=$K228,Z513&gt;0),Tarification!$D$10,0)))</f>
        <v>0</v>
      </c>
      <c r="AA803" s="37">
        <f>IF(AND(AA513&lt;=$I228,AA513&gt;$J228),Tarification!$D$8,IF(AND(AA513&lt;=$J228,AA513&gt;$K228),Tarification!$D$9,IF(AND(AA513&lt;=$K228,AA513&gt;0),Tarification!$D$10,0)))</f>
        <v>0</v>
      </c>
      <c r="AB803" s="37">
        <f>IF(AND(AB513&lt;=$I228,AB513&gt;$J228),Tarification!$D$8,IF(AND(AB513&lt;=$J228,AB513&gt;$K228),Tarification!$D$9,IF(AND(AB513&lt;=$K228,AB513&gt;0),Tarification!$D$10,0)))</f>
        <v>0</v>
      </c>
      <c r="AC803" s="37">
        <f>IF(AND(AC513&lt;=$I228,AC513&gt;$J228),Tarification!$D$8,IF(AND(AC513&lt;=$J228,AC513&gt;$K228),Tarification!$D$9,IF(AND(AC513&lt;=$K228,AC513&gt;0),Tarification!$D$10,0)))</f>
        <v>125000</v>
      </c>
      <c r="AD803" s="37">
        <f>IF(AND(AD513&lt;=$I228,AD513&gt;$J228),Tarification!$D$8,IF(AND(AD513&lt;=$J228,AD513&gt;$K228),Tarification!$D$9,IF(AND(AD513&lt;=$K228,AD513&gt;0),Tarification!$D$10,0)))</f>
        <v>125000</v>
      </c>
      <c r="AE803" s="37">
        <f>IF(AND(AE513&lt;=$I228,AE513&gt;$J228),Tarification!$D$8,IF(AND(AE513&lt;=$J228,AE513&gt;$K228),Tarification!$D$9,IF(AND(AE513&lt;=$K228,AE513&gt;0),Tarification!$D$10,0)))</f>
        <v>250000</v>
      </c>
      <c r="AF803" s="37">
        <f>IF(AND(AF513&lt;=$I228,AF513&gt;$J228),Tarification!$D$8,IF(AND(AF513&lt;=$J228,AF513&gt;$K228),Tarification!$D$9,IF(AND(AF513&lt;=$K228,AF513&gt;0),Tarification!$D$10,0)))</f>
        <v>0</v>
      </c>
      <c r="AG803" s="37">
        <f>IF(AND(AG513&lt;=$I228,AG513&gt;$J228),Tarification!$D$8,IF(AND(AG513&lt;=$J228,AG513&gt;$K228),Tarification!$D$9,IF(AND(AG513&lt;=$K228,AG513&gt;0),Tarification!$D$10,0)))</f>
        <v>0</v>
      </c>
      <c r="AH803" s="37">
        <f>IF(AND(AH513&lt;=$I228,AH513&gt;$J228),Tarification!$D$8,IF(AND(AH513&lt;=$J228,AH513&gt;$K228),Tarification!$D$9,IF(AND(AH513&lt;=$K228,AH513&gt;0),Tarification!$D$10,0)))</f>
        <v>0</v>
      </c>
      <c r="AI803" s="37">
        <f>IF(AND(AI513&lt;=$I228,AI513&gt;$J228),Tarification!$D$8,IF(AND(AI513&lt;=$J228,AI513&gt;$K228),Tarification!$D$9,IF(AND(AI513&lt;=$K228,AI513&gt;0),Tarification!$D$10,0)))</f>
        <v>0</v>
      </c>
      <c r="AJ803" s="37">
        <f>IF(AND(AJ513&lt;=$I228,AJ513&gt;$J228),Tarification!$D$8,IF(AND(AJ513&lt;=$J228,AJ513&gt;$K228),Tarification!$D$9,IF(AND(AJ513&lt;=$K228,AJ513&gt;0),Tarification!$D$10,0)))</f>
        <v>0</v>
      </c>
      <c r="AK803" s="37">
        <f>IF(AND(AK513&lt;=$I228,AK513&gt;$J228),Tarification!$D$8,IF(AND(AK513&lt;=$J228,AK513&gt;$K228),Tarification!$D$9,IF(AND(AK513&lt;=$K228,AK513&gt;0),Tarification!$D$10,0)))</f>
        <v>0</v>
      </c>
      <c r="AL803" s="37">
        <f>IF(AND(AL513&lt;=$I228,AL513&gt;$J228),Tarification!$D$8,IF(AND(AL513&lt;=$J228,AL513&gt;$K228),Tarification!$D$9,IF(AND(AL513&lt;=$K228,AL513&gt;0),Tarification!$D$10,0)))</f>
        <v>0</v>
      </c>
      <c r="AM803" s="37">
        <f>IF(AND(AM513&lt;=$I228,AM513&gt;$J228),Tarification!$D$8,IF(AND(AM513&lt;=$J228,AM513&gt;$K228),Tarification!$D$9,IF(AND(AM513&lt;=$K228,AM513&gt;0),Tarification!$D$10,0)))</f>
        <v>0</v>
      </c>
      <c r="AN803" s="37">
        <f>IF(AND(AN513&lt;=$I228,AN513&gt;$J228),Tarification!$D$8,IF(AND(AN513&lt;=$J228,AN513&gt;$K228),Tarification!$D$9,IF(AND(AN513&lt;=$K228,AN513&gt;0),Tarification!$D$10,0)))</f>
        <v>250000</v>
      </c>
      <c r="AQ803" s="101">
        <f t="shared" si="151"/>
        <v>39473.684210526313</v>
      </c>
    </row>
    <row r="804" spans="14:43" ht="15.6">
      <c r="N804" s="39" t="s">
        <v>27</v>
      </c>
      <c r="O804" s="39" t="s">
        <v>448</v>
      </c>
      <c r="P804" t="s">
        <v>825</v>
      </c>
      <c r="Q804" s="39"/>
      <c r="V804" s="37">
        <f>IF(AND(V514&lt;=$I229,V514&gt;$J229),Tarification!$D$8,IF(AND(V514&lt;=$J229,V514&gt;$K229),Tarification!$D$9,IF(AND(V514&lt;=$K229,V514&gt;0),Tarification!$D$10,0)))</f>
        <v>0</v>
      </c>
      <c r="W804" s="37">
        <f>IF(AND(W514&lt;=$I229,W514&gt;$J229),Tarification!$D$8,IF(AND(W514&lt;=$J229,W514&gt;$K229),Tarification!$D$9,IF(AND(W514&lt;=$K229,W514&gt;0),Tarification!$D$10,0)))</f>
        <v>0</v>
      </c>
      <c r="X804" s="37">
        <f>IF(AND(X514&lt;=$I229,X514&gt;$J229),Tarification!$D$8,IF(AND(X514&lt;=$J229,X514&gt;$K229),Tarification!$D$9,IF(AND(X514&lt;=$K229,X514&gt;0),Tarification!$D$10,0)))</f>
        <v>0</v>
      </c>
      <c r="Y804" s="37">
        <f>IF(AND(Y514&lt;=$I229,Y514&gt;$J229),Tarification!$D$8,IF(AND(Y514&lt;=$J229,Y514&gt;$K229),Tarification!$D$9,IF(AND(Y514&lt;=$K229,Y514&gt;0),Tarification!$D$10,0)))</f>
        <v>0</v>
      </c>
      <c r="Z804" s="37">
        <f>IF(AND(Z514&lt;=$I229,Z514&gt;$J229),Tarification!$D$8,IF(AND(Z514&lt;=$J229,Z514&gt;$K229),Tarification!$D$9,IF(AND(Z514&lt;=$K229,Z514&gt;0),Tarification!$D$10,0)))</f>
        <v>0</v>
      </c>
      <c r="AA804" s="37">
        <f>IF(AND(AA514&lt;=$I229,AA514&gt;$J229),Tarification!$D$8,IF(AND(AA514&lt;=$J229,AA514&gt;$K229),Tarification!$D$9,IF(AND(AA514&lt;=$K229,AA514&gt;0),Tarification!$D$10,0)))</f>
        <v>0</v>
      </c>
      <c r="AB804" s="37">
        <f>IF(AND(AB514&lt;=$I229,AB514&gt;$J229),Tarification!$D$8,IF(AND(AB514&lt;=$J229,AB514&gt;$K229),Tarification!$D$9,IF(AND(AB514&lt;=$K229,AB514&gt;0),Tarification!$D$10,0)))</f>
        <v>0</v>
      </c>
      <c r="AC804" s="37">
        <f>IF(AND(AC514&lt;=$I229,AC514&gt;$J229),Tarification!$D$8,IF(AND(AC514&lt;=$J229,AC514&gt;$K229),Tarification!$D$9,IF(AND(AC514&lt;=$K229,AC514&gt;0),Tarification!$D$10,0)))</f>
        <v>0</v>
      </c>
      <c r="AD804" s="37">
        <f>IF(AND(AD514&lt;=$I229,AD514&gt;$J229),Tarification!$D$8,IF(AND(AD514&lt;=$J229,AD514&gt;$K229),Tarification!$D$9,IF(AND(AD514&lt;=$K229,AD514&gt;0),Tarification!$D$10,0)))</f>
        <v>0</v>
      </c>
      <c r="AE804" s="37">
        <f>IF(AND(AE514&lt;=$I229,AE514&gt;$J229),Tarification!$D$8,IF(AND(AE514&lt;=$J229,AE514&gt;$K229),Tarification!$D$9,IF(AND(AE514&lt;=$K229,AE514&gt;0),Tarification!$D$10,0)))</f>
        <v>0</v>
      </c>
      <c r="AF804" s="37">
        <f>IF(AND(AF514&lt;=$I229,AF514&gt;$J229),Tarification!$D$8,IF(AND(AF514&lt;=$J229,AF514&gt;$K229),Tarification!$D$9,IF(AND(AF514&lt;=$K229,AF514&gt;0),Tarification!$D$10,0)))</f>
        <v>0</v>
      </c>
      <c r="AG804" s="37">
        <f>IF(AND(AG514&lt;=$I229,AG514&gt;$J229),Tarification!$D$8,IF(AND(AG514&lt;=$J229,AG514&gt;$K229),Tarification!$D$9,IF(AND(AG514&lt;=$K229,AG514&gt;0),Tarification!$D$10,0)))</f>
        <v>0</v>
      </c>
      <c r="AH804" s="37">
        <f>IF(AND(AH514&lt;=$I229,AH514&gt;$J229),Tarification!$D$8,IF(AND(AH514&lt;=$J229,AH514&gt;$K229),Tarification!$D$9,IF(AND(AH514&lt;=$K229,AH514&gt;0),Tarification!$D$10,0)))</f>
        <v>0</v>
      </c>
      <c r="AI804" s="37">
        <f>IF(AND(AI514&lt;=$I229,AI514&gt;$J229),Tarification!$D$8,IF(AND(AI514&lt;=$J229,AI514&gt;$K229),Tarification!$D$9,IF(AND(AI514&lt;=$K229,AI514&gt;0),Tarification!$D$10,0)))</f>
        <v>0</v>
      </c>
      <c r="AJ804" s="37">
        <f>IF(AND(AJ514&lt;=$I229,AJ514&gt;$J229),Tarification!$D$8,IF(AND(AJ514&lt;=$J229,AJ514&gt;$K229),Tarification!$D$9,IF(AND(AJ514&lt;=$K229,AJ514&gt;0),Tarification!$D$10,0)))</f>
        <v>50000</v>
      </c>
      <c r="AK804" s="37">
        <f>IF(AND(AK514&lt;=$I229,AK514&gt;$J229),Tarification!$D$8,IF(AND(AK514&lt;=$J229,AK514&gt;$K229),Tarification!$D$9,IF(AND(AK514&lt;=$K229,AK514&gt;0),Tarification!$D$10,0)))</f>
        <v>0</v>
      </c>
      <c r="AL804" s="37">
        <f>IF(AND(AL514&lt;=$I229,AL514&gt;$J229),Tarification!$D$8,IF(AND(AL514&lt;=$J229,AL514&gt;$K229),Tarification!$D$9,IF(AND(AL514&lt;=$K229,AL514&gt;0),Tarification!$D$10,0)))</f>
        <v>0</v>
      </c>
      <c r="AM804" s="37">
        <f>IF(AND(AM514&lt;=$I229,AM514&gt;$J229),Tarification!$D$8,IF(AND(AM514&lt;=$J229,AM514&gt;$K229),Tarification!$D$9,IF(AND(AM514&lt;=$K229,AM514&gt;0),Tarification!$D$10,0)))</f>
        <v>0</v>
      </c>
      <c r="AN804" s="37">
        <f>IF(AND(AN514&lt;=$I229,AN514&gt;$J229),Tarification!$D$8,IF(AND(AN514&lt;=$J229,AN514&gt;$K229),Tarification!$D$9,IF(AND(AN514&lt;=$K229,AN514&gt;0),Tarification!$D$10,0)))</f>
        <v>0</v>
      </c>
      <c r="AQ804" s="101">
        <f t="shared" si="151"/>
        <v>2631.5789473684213</v>
      </c>
    </row>
    <row r="805" spans="14:43" ht="15.6">
      <c r="N805" s="39" t="s">
        <v>27</v>
      </c>
      <c r="O805" s="39" t="s">
        <v>169</v>
      </c>
      <c r="P805" s="91" t="s">
        <v>171</v>
      </c>
      <c r="Q805" s="39"/>
      <c r="V805" s="37">
        <f>IF(AND(V515&lt;=$I230,V515&gt;$J230),Tarification!$D$8,IF(AND(V515&lt;=$J230,V515&gt;$K230),Tarification!$D$9,IF(AND(V515&lt;=$K230,V515&gt;0),Tarification!$D$10,0)))</f>
        <v>0</v>
      </c>
      <c r="W805" s="37">
        <f>IF(AND(W515&lt;=$I230,W515&gt;$J230),Tarification!$D$8,IF(AND(W515&lt;=$J230,W515&gt;$K230),Tarification!$D$9,IF(AND(W515&lt;=$K230,W515&gt;0),Tarification!$D$10,0)))</f>
        <v>0</v>
      </c>
      <c r="X805" s="37">
        <f>IF(AND(X515&lt;=$I230,X515&gt;$J230),Tarification!$D$8,IF(AND(X515&lt;=$J230,X515&gt;$K230),Tarification!$D$9,IF(AND(X515&lt;=$K230,X515&gt;0),Tarification!$D$10,0)))</f>
        <v>0</v>
      </c>
      <c r="Y805" s="37">
        <f>IF(AND(Y515&lt;=$I230,Y515&gt;$J230),Tarification!$D$8,IF(AND(Y515&lt;=$J230,Y515&gt;$K230),Tarification!$D$9,IF(AND(Y515&lt;=$K230,Y515&gt;0),Tarification!$D$10,0)))</f>
        <v>0</v>
      </c>
      <c r="Z805" s="37">
        <f>IF(AND(Z515&lt;=$I230,Z515&gt;$J230),Tarification!$D$8,IF(AND(Z515&lt;=$J230,Z515&gt;$K230),Tarification!$D$9,IF(AND(Z515&lt;=$K230,Z515&gt;0),Tarification!$D$10,0)))</f>
        <v>0</v>
      </c>
      <c r="AA805" s="37">
        <f>IF(AND(AA515&lt;=$I230,AA515&gt;$J230),Tarification!$D$8,IF(AND(AA515&lt;=$J230,AA515&gt;$K230),Tarification!$D$9,IF(AND(AA515&lt;=$K230,AA515&gt;0),Tarification!$D$10,0)))</f>
        <v>0</v>
      </c>
      <c r="AB805" s="37">
        <f>IF(AND(AB515&lt;=$I230,AB515&gt;$J230),Tarification!$D$8,IF(AND(AB515&lt;=$J230,AB515&gt;$K230),Tarification!$D$9,IF(AND(AB515&lt;=$K230,AB515&gt;0),Tarification!$D$10,0)))</f>
        <v>0</v>
      </c>
      <c r="AC805" s="37">
        <f>IF(AND(AC515&lt;=$I230,AC515&gt;$J230),Tarification!$D$8,IF(AND(AC515&lt;=$J230,AC515&gt;$K230),Tarification!$D$9,IF(AND(AC515&lt;=$K230,AC515&gt;0),Tarification!$D$10,0)))</f>
        <v>0</v>
      </c>
      <c r="AD805" s="37">
        <f>IF(AND(AD515&lt;=$I230,AD515&gt;$J230),Tarification!$D$8,IF(AND(AD515&lt;=$J230,AD515&gt;$K230),Tarification!$D$9,IF(AND(AD515&lt;=$K230,AD515&gt;0),Tarification!$D$10,0)))</f>
        <v>0</v>
      </c>
      <c r="AE805" s="37">
        <f>IF(AND(AE515&lt;=$I230,AE515&gt;$J230),Tarification!$D$8,IF(AND(AE515&lt;=$J230,AE515&gt;$K230),Tarification!$D$9,IF(AND(AE515&lt;=$K230,AE515&gt;0),Tarification!$D$10,0)))</f>
        <v>0</v>
      </c>
      <c r="AF805" s="37">
        <f>IF(AND(AF515&lt;=$I230,AF515&gt;$J230),Tarification!$D$8,IF(AND(AF515&lt;=$J230,AF515&gt;$K230),Tarification!$D$9,IF(AND(AF515&lt;=$K230,AF515&gt;0),Tarification!$D$10,0)))</f>
        <v>0</v>
      </c>
      <c r="AG805" s="37">
        <f>IF(AND(AG515&lt;=$I230,AG515&gt;$J230),Tarification!$D$8,IF(AND(AG515&lt;=$J230,AG515&gt;$K230),Tarification!$D$9,IF(AND(AG515&lt;=$K230,AG515&gt;0),Tarification!$D$10,0)))</f>
        <v>0</v>
      </c>
      <c r="AH805" s="37">
        <f>IF(AND(AH515&lt;=$I230,AH515&gt;$J230),Tarification!$D$8,IF(AND(AH515&lt;=$J230,AH515&gt;$K230),Tarification!$D$9,IF(AND(AH515&lt;=$K230,AH515&gt;0),Tarification!$D$10,0)))</f>
        <v>0</v>
      </c>
      <c r="AI805" s="37">
        <f>IF(AND(AI515&lt;=$I230,AI515&gt;$J230),Tarification!$D$8,IF(AND(AI515&lt;=$J230,AI515&gt;$K230),Tarification!$D$9,IF(AND(AI515&lt;=$K230,AI515&gt;0),Tarification!$D$10,0)))</f>
        <v>0</v>
      </c>
      <c r="AJ805" s="37">
        <f>IF(AND(AJ515&lt;=$I230,AJ515&gt;$J230),Tarification!$D$8,IF(AND(AJ515&lt;=$J230,AJ515&gt;$K230),Tarification!$D$9,IF(AND(AJ515&lt;=$K230,AJ515&gt;0),Tarification!$D$10,0)))</f>
        <v>0</v>
      </c>
      <c r="AK805" s="37">
        <f>IF(AND(AK515&lt;=$I230,AK515&gt;$J230),Tarification!$D$8,IF(AND(AK515&lt;=$J230,AK515&gt;$K230),Tarification!$D$9,IF(AND(AK515&lt;=$K230,AK515&gt;0),Tarification!$D$10,0)))</f>
        <v>0</v>
      </c>
      <c r="AL805" s="37">
        <f>IF(AND(AL515&lt;=$I230,AL515&gt;$J230),Tarification!$D$8,IF(AND(AL515&lt;=$J230,AL515&gt;$K230),Tarification!$D$9,IF(AND(AL515&lt;=$K230,AL515&gt;0),Tarification!$D$10,0)))</f>
        <v>0</v>
      </c>
      <c r="AM805" s="37">
        <f>IF(AND(AM515&lt;=$I230,AM515&gt;$J230),Tarification!$D$8,IF(AND(AM515&lt;=$J230,AM515&gt;$K230),Tarification!$D$9,IF(AND(AM515&lt;=$K230,AM515&gt;0),Tarification!$D$10,0)))</f>
        <v>0</v>
      </c>
      <c r="AN805" s="37">
        <f>IF(AND(AN515&lt;=$I230,AN515&gt;$J230),Tarification!$D$8,IF(AND(AN515&lt;=$J230,AN515&gt;$K230),Tarification!$D$9,IF(AND(AN515&lt;=$K230,AN515&gt;0),Tarification!$D$10,0)))</f>
        <v>0</v>
      </c>
      <c r="AQ805" s="101">
        <f t="shared" si="151"/>
        <v>0</v>
      </c>
    </row>
    <row r="806" spans="14:43" ht="15.6">
      <c r="N806" s="39" t="s">
        <v>27</v>
      </c>
      <c r="O806" s="39" t="s">
        <v>530</v>
      </c>
      <c r="P806" t="s">
        <v>826</v>
      </c>
      <c r="Q806" s="39"/>
      <c r="V806" s="37">
        <f>IF(AND(V516&lt;=$I231,V516&gt;$J231),Tarification!$D$8,IF(AND(V516&lt;=$J231,V516&gt;$K231),Tarification!$D$9,IF(AND(V516&lt;=$K231,V516&gt;0),Tarification!$D$10,0)))</f>
        <v>0</v>
      </c>
      <c r="W806" s="37">
        <f>IF(AND(W516&lt;=$I231,W516&gt;$J231),Tarification!$D$8,IF(AND(W516&lt;=$J231,W516&gt;$K231),Tarification!$D$9,IF(AND(W516&lt;=$K231,W516&gt;0),Tarification!$D$10,0)))</f>
        <v>50000</v>
      </c>
      <c r="X806" s="37">
        <f>IF(AND(X516&lt;=$I231,X516&gt;$J231),Tarification!$D$8,IF(AND(X516&lt;=$J231,X516&gt;$K231),Tarification!$D$9,IF(AND(X516&lt;=$K231,X516&gt;0),Tarification!$D$10,0)))</f>
        <v>0</v>
      </c>
      <c r="Y806" s="37">
        <f>IF(AND(Y516&lt;=$I231,Y516&gt;$J231),Tarification!$D$8,IF(AND(Y516&lt;=$J231,Y516&gt;$K231),Tarification!$D$9,IF(AND(Y516&lt;=$K231,Y516&gt;0),Tarification!$D$10,0)))</f>
        <v>0</v>
      </c>
      <c r="Z806" s="37">
        <f>IF(AND(Z516&lt;=$I231,Z516&gt;$J231),Tarification!$D$8,IF(AND(Z516&lt;=$J231,Z516&gt;$K231),Tarification!$D$9,IF(AND(Z516&lt;=$K231,Z516&gt;0),Tarification!$D$10,0)))</f>
        <v>250000</v>
      </c>
      <c r="AA806" s="37">
        <f>IF(AND(AA516&lt;=$I231,AA516&gt;$J231),Tarification!$D$8,IF(AND(AA516&lt;=$J231,AA516&gt;$K231),Tarification!$D$9,IF(AND(AA516&lt;=$K231,AA516&gt;0),Tarification!$D$10,0)))</f>
        <v>0</v>
      </c>
      <c r="AB806" s="37">
        <f>IF(AND(AB516&lt;=$I231,AB516&gt;$J231),Tarification!$D$8,IF(AND(AB516&lt;=$J231,AB516&gt;$K231),Tarification!$D$9,IF(AND(AB516&lt;=$K231,AB516&gt;0),Tarification!$D$10,0)))</f>
        <v>0</v>
      </c>
      <c r="AC806" s="37">
        <f>IF(AND(AC516&lt;=$I231,AC516&gt;$J231),Tarification!$D$8,IF(AND(AC516&lt;=$J231,AC516&gt;$K231),Tarification!$D$9,IF(AND(AC516&lt;=$K231,AC516&gt;0),Tarification!$D$10,0)))</f>
        <v>0</v>
      </c>
      <c r="AD806" s="37">
        <f>IF(AND(AD516&lt;=$I231,AD516&gt;$J231),Tarification!$D$8,IF(AND(AD516&lt;=$J231,AD516&gt;$K231),Tarification!$D$9,IF(AND(AD516&lt;=$K231,AD516&gt;0),Tarification!$D$10,0)))</f>
        <v>125000</v>
      </c>
      <c r="AE806" s="37">
        <f>IF(AND(AE516&lt;=$I231,AE516&gt;$J231),Tarification!$D$8,IF(AND(AE516&lt;=$J231,AE516&gt;$K231),Tarification!$D$9,IF(AND(AE516&lt;=$K231,AE516&gt;0),Tarification!$D$10,0)))</f>
        <v>125000</v>
      </c>
      <c r="AF806" s="37">
        <f>IF(AND(AF516&lt;=$I231,AF516&gt;$J231),Tarification!$D$8,IF(AND(AF516&lt;=$J231,AF516&gt;$K231),Tarification!$D$9,IF(AND(AF516&lt;=$K231,AF516&gt;0),Tarification!$D$10,0)))</f>
        <v>125000</v>
      </c>
      <c r="AG806" s="37">
        <f>IF(AND(AG516&lt;=$I231,AG516&gt;$J231),Tarification!$D$8,IF(AND(AG516&lt;=$J231,AG516&gt;$K231),Tarification!$D$9,IF(AND(AG516&lt;=$K231,AG516&gt;0),Tarification!$D$10,0)))</f>
        <v>0</v>
      </c>
      <c r="AH806" s="37">
        <f>IF(AND(AH516&lt;=$I231,AH516&gt;$J231),Tarification!$D$8,IF(AND(AH516&lt;=$J231,AH516&gt;$K231),Tarification!$D$9,IF(AND(AH516&lt;=$K231,AH516&gt;0),Tarification!$D$10,0)))</f>
        <v>0</v>
      </c>
      <c r="AI806" s="37">
        <f>IF(AND(AI516&lt;=$I231,AI516&gt;$J231),Tarification!$D$8,IF(AND(AI516&lt;=$J231,AI516&gt;$K231),Tarification!$D$9,IF(AND(AI516&lt;=$K231,AI516&gt;0),Tarification!$D$10,0)))</f>
        <v>0</v>
      </c>
      <c r="AJ806" s="37">
        <f>IF(AND(AJ516&lt;=$I231,AJ516&gt;$J231),Tarification!$D$8,IF(AND(AJ516&lt;=$J231,AJ516&gt;$K231),Tarification!$D$9,IF(AND(AJ516&lt;=$K231,AJ516&gt;0),Tarification!$D$10,0)))</f>
        <v>50000</v>
      </c>
      <c r="AK806" s="37">
        <f>IF(AND(AK516&lt;=$I231,AK516&gt;$J231),Tarification!$D$8,IF(AND(AK516&lt;=$J231,AK516&gt;$K231),Tarification!$D$9,IF(AND(AK516&lt;=$K231,AK516&gt;0),Tarification!$D$10,0)))</f>
        <v>0</v>
      </c>
      <c r="AL806" s="37">
        <f>IF(AND(AL516&lt;=$I231,AL516&gt;$J231),Tarification!$D$8,IF(AND(AL516&lt;=$J231,AL516&gt;$K231),Tarification!$D$9,IF(AND(AL516&lt;=$K231,AL516&gt;0),Tarification!$D$10,0)))</f>
        <v>0</v>
      </c>
      <c r="AM806" s="37">
        <f>IF(AND(AM516&lt;=$I231,AM516&gt;$J231),Tarification!$D$8,IF(AND(AM516&lt;=$J231,AM516&gt;$K231),Tarification!$D$9,IF(AND(AM516&lt;=$K231,AM516&gt;0),Tarification!$D$10,0)))</f>
        <v>0</v>
      </c>
      <c r="AN806" s="37">
        <f>IF(AND(AN516&lt;=$I231,AN516&gt;$J231),Tarification!$D$8,IF(AND(AN516&lt;=$J231,AN516&gt;$K231),Tarification!$D$9,IF(AND(AN516&lt;=$K231,AN516&gt;0),Tarification!$D$10,0)))</f>
        <v>50000</v>
      </c>
      <c r="AQ806" s="101">
        <f t="shared" si="151"/>
        <v>40789.473684210527</v>
      </c>
    </row>
    <row r="807" spans="14:43" ht="15.6">
      <c r="N807" s="39" t="s">
        <v>27</v>
      </c>
      <c r="O807" s="39" t="s">
        <v>517</v>
      </c>
      <c r="P807" t="s">
        <v>827</v>
      </c>
      <c r="Q807" s="39"/>
      <c r="V807" s="37">
        <f>IF(AND(V517&lt;=$I232,V517&gt;$J232),Tarification!$D$8,IF(AND(V517&lt;=$J232,V517&gt;$K232),Tarification!$D$9,IF(AND(V517&lt;=$K232,V517&gt;0),Tarification!$D$10,0)))</f>
        <v>0</v>
      </c>
      <c r="W807" s="37">
        <f>IF(AND(W517&lt;=$I232,W517&gt;$J232),Tarification!$D$8,IF(AND(W517&lt;=$J232,W517&gt;$K232),Tarification!$D$9,IF(AND(W517&lt;=$K232,W517&gt;0),Tarification!$D$10,0)))</f>
        <v>50000</v>
      </c>
      <c r="X807" s="37">
        <f>IF(AND(X517&lt;=$I232,X517&gt;$J232),Tarification!$D$8,IF(AND(X517&lt;=$J232,X517&gt;$K232),Tarification!$D$9,IF(AND(X517&lt;=$K232,X517&gt;0),Tarification!$D$10,0)))</f>
        <v>0</v>
      </c>
      <c r="Y807" s="37">
        <f>IF(AND(Y517&lt;=$I232,Y517&gt;$J232),Tarification!$D$8,IF(AND(Y517&lt;=$J232,Y517&gt;$K232),Tarification!$D$9,IF(AND(Y517&lt;=$K232,Y517&gt;0),Tarification!$D$10,0)))</f>
        <v>0</v>
      </c>
      <c r="Z807" s="37">
        <f>IF(AND(Z517&lt;=$I232,Z517&gt;$J232),Tarification!$D$8,IF(AND(Z517&lt;=$J232,Z517&gt;$K232),Tarification!$D$9,IF(AND(Z517&lt;=$K232,Z517&gt;0),Tarification!$D$10,0)))</f>
        <v>0</v>
      </c>
      <c r="AA807" s="37">
        <f>IF(AND(AA517&lt;=$I232,AA517&gt;$J232),Tarification!$D$8,IF(AND(AA517&lt;=$J232,AA517&gt;$K232),Tarification!$D$9,IF(AND(AA517&lt;=$K232,AA517&gt;0),Tarification!$D$10,0)))</f>
        <v>0</v>
      </c>
      <c r="AB807" s="37">
        <f>IF(AND(AB517&lt;=$I232,AB517&gt;$J232),Tarification!$D$8,IF(AND(AB517&lt;=$J232,AB517&gt;$K232),Tarification!$D$9,IF(AND(AB517&lt;=$K232,AB517&gt;0),Tarification!$D$10,0)))</f>
        <v>0</v>
      </c>
      <c r="AC807" s="37">
        <f>IF(AND(AC517&lt;=$I232,AC517&gt;$J232),Tarification!$D$8,IF(AND(AC517&lt;=$J232,AC517&gt;$K232),Tarification!$D$9,IF(AND(AC517&lt;=$K232,AC517&gt;0),Tarification!$D$10,0)))</f>
        <v>50000</v>
      </c>
      <c r="AD807" s="37">
        <f>IF(AND(AD517&lt;=$I232,AD517&gt;$J232),Tarification!$D$8,IF(AND(AD517&lt;=$J232,AD517&gt;$K232),Tarification!$D$9,IF(AND(AD517&lt;=$K232,AD517&gt;0),Tarification!$D$10,0)))</f>
        <v>125000</v>
      </c>
      <c r="AE807" s="37">
        <f>IF(AND(AE517&lt;=$I232,AE517&gt;$J232),Tarification!$D$8,IF(AND(AE517&lt;=$J232,AE517&gt;$K232),Tarification!$D$9,IF(AND(AE517&lt;=$K232,AE517&gt;0),Tarification!$D$10,0)))</f>
        <v>0</v>
      </c>
      <c r="AF807" s="37">
        <f>IF(AND(AF517&lt;=$I232,AF517&gt;$J232),Tarification!$D$8,IF(AND(AF517&lt;=$J232,AF517&gt;$K232),Tarification!$D$9,IF(AND(AF517&lt;=$K232,AF517&gt;0),Tarification!$D$10,0)))</f>
        <v>125000</v>
      </c>
      <c r="AG807" s="37">
        <f>IF(AND(AG517&lt;=$I232,AG517&gt;$J232),Tarification!$D$8,IF(AND(AG517&lt;=$J232,AG517&gt;$K232),Tarification!$D$9,IF(AND(AG517&lt;=$K232,AG517&gt;0),Tarification!$D$10,0)))</f>
        <v>0</v>
      </c>
      <c r="AH807" s="37">
        <f>IF(AND(AH517&lt;=$I232,AH517&gt;$J232),Tarification!$D$8,IF(AND(AH517&lt;=$J232,AH517&gt;$K232),Tarification!$D$9,IF(AND(AH517&lt;=$K232,AH517&gt;0),Tarification!$D$10,0)))</f>
        <v>0</v>
      </c>
      <c r="AI807" s="37">
        <f>IF(AND(AI517&lt;=$I232,AI517&gt;$J232),Tarification!$D$8,IF(AND(AI517&lt;=$J232,AI517&gt;$K232),Tarification!$D$9,IF(AND(AI517&lt;=$K232,AI517&gt;0),Tarification!$D$10,0)))</f>
        <v>0</v>
      </c>
      <c r="AJ807" s="37">
        <f>IF(AND(AJ517&lt;=$I232,AJ517&gt;$J232),Tarification!$D$8,IF(AND(AJ517&lt;=$J232,AJ517&gt;$K232),Tarification!$D$9,IF(AND(AJ517&lt;=$K232,AJ517&gt;0),Tarification!$D$10,0)))</f>
        <v>0</v>
      </c>
      <c r="AK807" s="37">
        <f>IF(AND(AK517&lt;=$I232,AK517&gt;$J232),Tarification!$D$8,IF(AND(AK517&lt;=$J232,AK517&gt;$K232),Tarification!$D$9,IF(AND(AK517&lt;=$K232,AK517&gt;0),Tarification!$D$10,0)))</f>
        <v>0</v>
      </c>
      <c r="AL807" s="37">
        <f>IF(AND(AL517&lt;=$I232,AL517&gt;$J232),Tarification!$D$8,IF(AND(AL517&lt;=$J232,AL517&gt;$K232),Tarification!$D$9,IF(AND(AL517&lt;=$K232,AL517&gt;0),Tarification!$D$10,0)))</f>
        <v>0</v>
      </c>
      <c r="AM807" s="37">
        <f>IF(AND(AM517&lt;=$I232,AM517&gt;$J232),Tarification!$D$8,IF(AND(AM517&lt;=$J232,AM517&gt;$K232),Tarification!$D$9,IF(AND(AM517&lt;=$K232,AM517&gt;0),Tarification!$D$10,0)))</f>
        <v>0</v>
      </c>
      <c r="AN807" s="37">
        <f>IF(AND(AN517&lt;=$I232,AN517&gt;$J232),Tarification!$D$8,IF(AND(AN517&lt;=$J232,AN517&gt;$K232),Tarification!$D$9,IF(AND(AN517&lt;=$K232,AN517&gt;0),Tarification!$D$10,0)))</f>
        <v>125000</v>
      </c>
      <c r="AQ807" s="101">
        <f t="shared" si="151"/>
        <v>25000</v>
      </c>
    </row>
    <row r="808" spans="14:43" ht="15.6">
      <c r="N808" s="39" t="s">
        <v>27</v>
      </c>
      <c r="O808" s="39" t="s">
        <v>530</v>
      </c>
      <c r="P808" t="s">
        <v>828</v>
      </c>
      <c r="Q808" s="39"/>
      <c r="V808" s="37">
        <f>IF(AND(V518&lt;=$I233,V518&gt;$J233),Tarification!$D$8,IF(AND(V518&lt;=$J233,V518&gt;$K233),Tarification!$D$9,IF(AND(V518&lt;=$K233,V518&gt;0),Tarification!$D$10,0)))</f>
        <v>0</v>
      </c>
      <c r="W808" s="37">
        <f>IF(AND(W518&lt;=$I233,W518&gt;$J233),Tarification!$D$8,IF(AND(W518&lt;=$J233,W518&gt;$K233),Tarification!$D$9,IF(AND(W518&lt;=$K233,W518&gt;0),Tarification!$D$10,0)))</f>
        <v>50000</v>
      </c>
      <c r="X808" s="37">
        <f>IF(AND(X518&lt;=$I233,X518&gt;$J233),Tarification!$D$8,IF(AND(X518&lt;=$J233,X518&gt;$K233),Tarification!$D$9,IF(AND(X518&lt;=$K233,X518&gt;0),Tarification!$D$10,0)))</f>
        <v>0</v>
      </c>
      <c r="Y808" s="37">
        <f>IF(AND(Y518&lt;=$I233,Y518&gt;$J233),Tarification!$D$8,IF(AND(Y518&lt;=$J233,Y518&gt;$K233),Tarification!$D$9,IF(AND(Y518&lt;=$K233,Y518&gt;0),Tarification!$D$10,0)))</f>
        <v>0</v>
      </c>
      <c r="Z808" s="37">
        <f>IF(AND(Z518&lt;=$I233,Z518&gt;$J233),Tarification!$D$8,IF(AND(Z518&lt;=$J233,Z518&gt;$K233),Tarification!$D$9,IF(AND(Z518&lt;=$K233,Z518&gt;0),Tarification!$D$10,0)))</f>
        <v>250000</v>
      </c>
      <c r="AA808" s="37">
        <f>IF(AND(AA518&lt;=$I233,AA518&gt;$J233),Tarification!$D$8,IF(AND(AA518&lt;=$J233,AA518&gt;$K233),Tarification!$D$9,IF(AND(AA518&lt;=$K233,AA518&gt;0),Tarification!$D$10,0)))</f>
        <v>0</v>
      </c>
      <c r="AB808" s="37">
        <f>IF(AND(AB518&lt;=$I233,AB518&gt;$J233),Tarification!$D$8,IF(AND(AB518&lt;=$J233,AB518&gt;$K233),Tarification!$D$9,IF(AND(AB518&lt;=$K233,AB518&gt;0),Tarification!$D$10,0)))</f>
        <v>0</v>
      </c>
      <c r="AC808" s="37">
        <f>IF(AND(AC518&lt;=$I233,AC518&gt;$J233),Tarification!$D$8,IF(AND(AC518&lt;=$J233,AC518&gt;$K233),Tarification!$D$9,IF(AND(AC518&lt;=$K233,AC518&gt;0),Tarification!$D$10,0)))</f>
        <v>50000</v>
      </c>
      <c r="AD808" s="37">
        <f>IF(AND(AD518&lt;=$I233,AD518&gt;$J233),Tarification!$D$8,IF(AND(AD518&lt;=$J233,AD518&gt;$K233),Tarification!$D$9,IF(AND(AD518&lt;=$K233,AD518&gt;0),Tarification!$D$10,0)))</f>
        <v>125000</v>
      </c>
      <c r="AE808" s="37">
        <f>IF(AND(AE518&lt;=$I233,AE518&gt;$J233),Tarification!$D$8,IF(AND(AE518&lt;=$J233,AE518&gt;$K233),Tarification!$D$9,IF(AND(AE518&lt;=$K233,AE518&gt;0),Tarification!$D$10,0)))</f>
        <v>50000</v>
      </c>
      <c r="AF808" s="37">
        <f>IF(AND(AF518&lt;=$I233,AF518&gt;$J233),Tarification!$D$8,IF(AND(AF518&lt;=$J233,AF518&gt;$K233),Tarification!$D$9,IF(AND(AF518&lt;=$K233,AF518&gt;0),Tarification!$D$10,0)))</f>
        <v>125000</v>
      </c>
      <c r="AG808" s="37">
        <f>IF(AND(AG518&lt;=$I233,AG518&gt;$J233),Tarification!$D$8,IF(AND(AG518&lt;=$J233,AG518&gt;$K233),Tarification!$D$9,IF(AND(AG518&lt;=$K233,AG518&gt;0),Tarification!$D$10,0)))</f>
        <v>0</v>
      </c>
      <c r="AH808" s="37">
        <f>IF(AND(AH518&lt;=$I233,AH518&gt;$J233),Tarification!$D$8,IF(AND(AH518&lt;=$J233,AH518&gt;$K233),Tarification!$D$9,IF(AND(AH518&lt;=$K233,AH518&gt;0),Tarification!$D$10,0)))</f>
        <v>0</v>
      </c>
      <c r="AI808" s="37">
        <f>IF(AND(AI518&lt;=$I233,AI518&gt;$J233),Tarification!$D$8,IF(AND(AI518&lt;=$J233,AI518&gt;$K233),Tarification!$D$9,IF(AND(AI518&lt;=$K233,AI518&gt;0),Tarification!$D$10,0)))</f>
        <v>0</v>
      </c>
      <c r="AJ808" s="37">
        <f>IF(AND(AJ518&lt;=$I233,AJ518&gt;$J233),Tarification!$D$8,IF(AND(AJ518&lt;=$J233,AJ518&gt;$K233),Tarification!$D$9,IF(AND(AJ518&lt;=$K233,AJ518&gt;0),Tarification!$D$10,0)))</f>
        <v>0</v>
      </c>
      <c r="AK808" s="37">
        <f>IF(AND(AK518&lt;=$I233,AK518&gt;$J233),Tarification!$D$8,IF(AND(AK518&lt;=$J233,AK518&gt;$K233),Tarification!$D$9,IF(AND(AK518&lt;=$K233,AK518&gt;0),Tarification!$D$10,0)))</f>
        <v>0</v>
      </c>
      <c r="AL808" s="37">
        <f>IF(AND(AL518&lt;=$I233,AL518&gt;$J233),Tarification!$D$8,IF(AND(AL518&lt;=$J233,AL518&gt;$K233),Tarification!$D$9,IF(AND(AL518&lt;=$K233,AL518&gt;0),Tarification!$D$10,0)))</f>
        <v>0</v>
      </c>
      <c r="AM808" s="37">
        <f>IF(AND(AM518&lt;=$I233,AM518&gt;$J233),Tarification!$D$8,IF(AND(AM518&lt;=$J233,AM518&gt;$K233),Tarification!$D$9,IF(AND(AM518&lt;=$K233,AM518&gt;0),Tarification!$D$10,0)))</f>
        <v>0</v>
      </c>
      <c r="AN808" s="37">
        <f>IF(AND(AN518&lt;=$I233,AN518&gt;$J233),Tarification!$D$8,IF(AND(AN518&lt;=$J233,AN518&gt;$K233),Tarification!$D$9,IF(AND(AN518&lt;=$K233,AN518&gt;0),Tarification!$D$10,0)))</f>
        <v>50000</v>
      </c>
      <c r="AQ808" s="101">
        <f t="shared" si="151"/>
        <v>36842.105263157893</v>
      </c>
    </row>
    <row r="809" spans="14:43" ht="15.6">
      <c r="N809" s="39" t="s">
        <v>27</v>
      </c>
      <c r="O809" s="39" t="s">
        <v>609</v>
      </c>
      <c r="P809" t="s">
        <v>829</v>
      </c>
      <c r="Q809" s="39"/>
      <c r="V809" s="37">
        <f>IF(AND(V519&lt;=$I234,V519&gt;$J234),Tarification!$D$8,IF(AND(V519&lt;=$J234,V519&gt;$K234),Tarification!$D$9,IF(AND(V519&lt;=$K234,V519&gt;0),Tarification!$D$10,0)))</f>
        <v>0</v>
      </c>
      <c r="W809" s="37">
        <f>IF(AND(W519&lt;=$I234,W519&gt;$J234),Tarification!$D$8,IF(AND(W519&lt;=$J234,W519&gt;$K234),Tarification!$D$9,IF(AND(W519&lt;=$K234,W519&gt;0),Tarification!$D$10,0)))</f>
        <v>50000</v>
      </c>
      <c r="X809" s="37">
        <f>IF(AND(X519&lt;=$I234,X519&gt;$J234),Tarification!$D$8,IF(AND(X519&lt;=$J234,X519&gt;$K234),Tarification!$D$9,IF(AND(X519&lt;=$K234,X519&gt;0),Tarification!$D$10,0)))</f>
        <v>0</v>
      </c>
      <c r="Y809" s="37">
        <f>IF(AND(Y519&lt;=$I234,Y519&gt;$J234),Tarification!$D$8,IF(AND(Y519&lt;=$J234,Y519&gt;$K234),Tarification!$D$9,IF(AND(Y519&lt;=$K234,Y519&gt;0),Tarification!$D$10,0)))</f>
        <v>0</v>
      </c>
      <c r="Z809" s="37">
        <f>IF(AND(Z519&lt;=$I234,Z519&gt;$J234),Tarification!$D$8,IF(AND(Z519&lt;=$J234,Z519&gt;$K234),Tarification!$D$9,IF(AND(Z519&lt;=$K234,Z519&gt;0),Tarification!$D$10,0)))</f>
        <v>0</v>
      </c>
      <c r="AA809" s="37">
        <f>IF(AND(AA519&lt;=$I234,AA519&gt;$J234),Tarification!$D$8,IF(AND(AA519&lt;=$J234,AA519&gt;$K234),Tarification!$D$9,IF(AND(AA519&lt;=$K234,AA519&gt;0),Tarification!$D$10,0)))</f>
        <v>0</v>
      </c>
      <c r="AB809" s="37">
        <f>IF(AND(AB519&lt;=$I234,AB519&gt;$J234),Tarification!$D$8,IF(AND(AB519&lt;=$J234,AB519&gt;$K234),Tarification!$D$9,IF(AND(AB519&lt;=$K234,AB519&gt;0),Tarification!$D$10,0)))</f>
        <v>0</v>
      </c>
      <c r="AC809" s="37">
        <f>IF(AND(AC519&lt;=$I234,AC519&gt;$J234),Tarification!$D$8,IF(AND(AC519&lt;=$J234,AC519&gt;$K234),Tarification!$D$9,IF(AND(AC519&lt;=$K234,AC519&gt;0),Tarification!$D$10,0)))</f>
        <v>50000</v>
      </c>
      <c r="AD809" s="37">
        <f>IF(AND(AD519&lt;=$I234,AD519&gt;$J234),Tarification!$D$8,IF(AND(AD519&lt;=$J234,AD519&gt;$K234),Tarification!$D$9,IF(AND(AD519&lt;=$K234,AD519&gt;0),Tarification!$D$10,0)))</f>
        <v>50000</v>
      </c>
      <c r="AE809" s="37">
        <f>IF(AND(AE519&lt;=$I234,AE519&gt;$J234),Tarification!$D$8,IF(AND(AE519&lt;=$J234,AE519&gt;$K234),Tarification!$D$9,IF(AND(AE519&lt;=$K234,AE519&gt;0),Tarification!$D$10,0)))</f>
        <v>0</v>
      </c>
      <c r="AF809" s="37">
        <f>IF(AND(AF519&lt;=$I234,AF519&gt;$J234),Tarification!$D$8,IF(AND(AF519&lt;=$J234,AF519&gt;$K234),Tarification!$D$9,IF(AND(AF519&lt;=$K234,AF519&gt;0),Tarification!$D$10,0)))</f>
        <v>0</v>
      </c>
      <c r="AG809" s="37">
        <f>IF(AND(AG519&lt;=$I234,AG519&gt;$J234),Tarification!$D$8,IF(AND(AG519&lt;=$J234,AG519&gt;$K234),Tarification!$D$9,IF(AND(AG519&lt;=$K234,AG519&gt;0),Tarification!$D$10,0)))</f>
        <v>0</v>
      </c>
      <c r="AH809" s="37">
        <f>IF(AND(AH519&lt;=$I234,AH519&gt;$J234),Tarification!$D$8,IF(AND(AH519&lt;=$J234,AH519&gt;$K234),Tarification!$D$9,IF(AND(AH519&lt;=$K234,AH519&gt;0),Tarification!$D$10,0)))</f>
        <v>0</v>
      </c>
      <c r="AI809" s="37">
        <f>IF(AND(AI519&lt;=$I234,AI519&gt;$J234),Tarification!$D$8,IF(AND(AI519&lt;=$J234,AI519&gt;$K234),Tarification!$D$9,IF(AND(AI519&lt;=$K234,AI519&gt;0),Tarification!$D$10,0)))</f>
        <v>0</v>
      </c>
      <c r="AJ809" s="37">
        <f>IF(AND(AJ519&lt;=$I234,AJ519&gt;$J234),Tarification!$D$8,IF(AND(AJ519&lt;=$J234,AJ519&gt;$K234),Tarification!$D$9,IF(AND(AJ519&lt;=$K234,AJ519&gt;0),Tarification!$D$10,0)))</f>
        <v>0</v>
      </c>
      <c r="AK809" s="37">
        <f>IF(AND(AK519&lt;=$I234,AK519&gt;$J234),Tarification!$D$8,IF(AND(AK519&lt;=$J234,AK519&gt;$K234),Tarification!$D$9,IF(AND(AK519&lt;=$K234,AK519&gt;0),Tarification!$D$10,0)))</f>
        <v>0</v>
      </c>
      <c r="AL809" s="37">
        <f>IF(AND(AL519&lt;=$I234,AL519&gt;$J234),Tarification!$D$8,IF(AND(AL519&lt;=$J234,AL519&gt;$K234),Tarification!$D$9,IF(AND(AL519&lt;=$K234,AL519&gt;0),Tarification!$D$10,0)))</f>
        <v>0</v>
      </c>
      <c r="AM809" s="37">
        <f>IF(AND(AM519&lt;=$I234,AM519&gt;$J234),Tarification!$D$8,IF(AND(AM519&lt;=$J234,AM519&gt;$K234),Tarification!$D$9,IF(AND(AM519&lt;=$K234,AM519&gt;0),Tarification!$D$10,0)))</f>
        <v>0</v>
      </c>
      <c r="AN809" s="37">
        <f>IF(AND(AN519&lt;=$I234,AN519&gt;$J234),Tarification!$D$8,IF(AND(AN519&lt;=$J234,AN519&gt;$K234),Tarification!$D$9,IF(AND(AN519&lt;=$K234,AN519&gt;0),Tarification!$D$10,0)))</f>
        <v>0</v>
      </c>
      <c r="AQ809" s="101">
        <f t="shared" si="151"/>
        <v>7894.7368421052633</v>
      </c>
    </row>
    <row r="810" spans="14:43" ht="15.6">
      <c r="N810" s="39" t="s">
        <v>27</v>
      </c>
      <c r="O810" s="39" t="s">
        <v>479</v>
      </c>
      <c r="P810" t="s">
        <v>830</v>
      </c>
      <c r="Q810" s="39"/>
      <c r="V810" s="37">
        <f>IF(AND(V520&lt;=$I235,V520&gt;$J235),Tarification!$D$8,IF(AND(V520&lt;=$J235,V520&gt;$K235),Tarification!$D$9,IF(AND(V520&lt;=$K235,V520&gt;0),Tarification!$D$10,0)))</f>
        <v>0</v>
      </c>
      <c r="W810" s="37">
        <f>IF(AND(W520&lt;=$I235,W520&gt;$J235),Tarification!$D$8,IF(AND(W520&lt;=$J235,W520&gt;$K235),Tarification!$D$9,IF(AND(W520&lt;=$K235,W520&gt;0),Tarification!$D$10,0)))</f>
        <v>0</v>
      </c>
      <c r="X810" s="37">
        <f>IF(AND(X520&lt;=$I235,X520&gt;$J235),Tarification!$D$8,IF(AND(X520&lt;=$J235,X520&gt;$K235),Tarification!$D$9,IF(AND(X520&lt;=$K235,X520&gt;0),Tarification!$D$10,0)))</f>
        <v>0</v>
      </c>
      <c r="Y810" s="37">
        <f>IF(AND(Y520&lt;=$I235,Y520&gt;$J235),Tarification!$D$8,IF(AND(Y520&lt;=$J235,Y520&gt;$K235),Tarification!$D$9,IF(AND(Y520&lt;=$K235,Y520&gt;0),Tarification!$D$10,0)))</f>
        <v>0</v>
      </c>
      <c r="Z810" s="37">
        <f>IF(AND(Z520&lt;=$I235,Z520&gt;$J235),Tarification!$D$8,IF(AND(Z520&lt;=$J235,Z520&gt;$K235),Tarification!$D$9,IF(AND(Z520&lt;=$K235,Z520&gt;0),Tarification!$D$10,0)))</f>
        <v>0</v>
      </c>
      <c r="AA810" s="37">
        <f>IF(AND(AA520&lt;=$I235,AA520&gt;$J235),Tarification!$D$8,IF(AND(AA520&lt;=$J235,AA520&gt;$K235),Tarification!$D$9,IF(AND(AA520&lt;=$K235,AA520&gt;0),Tarification!$D$10,0)))</f>
        <v>0</v>
      </c>
      <c r="AB810" s="37">
        <f>IF(AND(AB520&lt;=$I235,AB520&gt;$J235),Tarification!$D$8,IF(AND(AB520&lt;=$J235,AB520&gt;$K235),Tarification!$D$9,IF(AND(AB520&lt;=$K235,AB520&gt;0),Tarification!$D$10,0)))</f>
        <v>0</v>
      </c>
      <c r="AC810" s="37">
        <f>IF(AND(AC520&lt;=$I235,AC520&gt;$J235),Tarification!$D$8,IF(AND(AC520&lt;=$J235,AC520&gt;$K235),Tarification!$D$9,IF(AND(AC520&lt;=$K235,AC520&gt;0),Tarification!$D$10,0)))</f>
        <v>0</v>
      </c>
      <c r="AD810" s="37">
        <f>IF(AND(AD520&lt;=$I235,AD520&gt;$J235),Tarification!$D$8,IF(AND(AD520&lt;=$J235,AD520&gt;$K235),Tarification!$D$9,IF(AND(AD520&lt;=$K235,AD520&gt;0),Tarification!$D$10,0)))</f>
        <v>0</v>
      </c>
      <c r="AE810" s="37">
        <f>IF(AND(AE520&lt;=$I235,AE520&gt;$J235),Tarification!$D$8,IF(AND(AE520&lt;=$J235,AE520&gt;$K235),Tarification!$D$9,IF(AND(AE520&lt;=$K235,AE520&gt;0),Tarification!$D$10,0)))</f>
        <v>0</v>
      </c>
      <c r="AF810" s="37">
        <f>IF(AND(AF520&lt;=$I235,AF520&gt;$J235),Tarification!$D$8,IF(AND(AF520&lt;=$J235,AF520&gt;$K235),Tarification!$D$9,IF(AND(AF520&lt;=$K235,AF520&gt;0),Tarification!$D$10,0)))</f>
        <v>0</v>
      </c>
      <c r="AG810" s="37">
        <f>IF(AND(AG520&lt;=$I235,AG520&gt;$J235),Tarification!$D$8,IF(AND(AG520&lt;=$J235,AG520&gt;$K235),Tarification!$D$9,IF(AND(AG520&lt;=$K235,AG520&gt;0),Tarification!$D$10,0)))</f>
        <v>0</v>
      </c>
      <c r="AH810" s="37">
        <f>IF(AND(AH520&lt;=$I235,AH520&gt;$J235),Tarification!$D$8,IF(AND(AH520&lt;=$J235,AH520&gt;$K235),Tarification!$D$9,IF(AND(AH520&lt;=$K235,AH520&gt;0),Tarification!$D$10,0)))</f>
        <v>0</v>
      </c>
      <c r="AI810" s="37">
        <f>IF(AND(AI520&lt;=$I235,AI520&gt;$J235),Tarification!$D$8,IF(AND(AI520&lt;=$J235,AI520&gt;$K235),Tarification!$D$9,IF(AND(AI520&lt;=$K235,AI520&gt;0),Tarification!$D$10,0)))</f>
        <v>0</v>
      </c>
      <c r="AJ810" s="37">
        <f>IF(AND(AJ520&lt;=$I235,AJ520&gt;$J235),Tarification!$D$8,IF(AND(AJ520&lt;=$J235,AJ520&gt;$K235),Tarification!$D$9,IF(AND(AJ520&lt;=$K235,AJ520&gt;0),Tarification!$D$10,0)))</f>
        <v>50000</v>
      </c>
      <c r="AK810" s="37">
        <f>IF(AND(AK520&lt;=$I235,AK520&gt;$J235),Tarification!$D$8,IF(AND(AK520&lt;=$J235,AK520&gt;$K235),Tarification!$D$9,IF(AND(AK520&lt;=$K235,AK520&gt;0),Tarification!$D$10,0)))</f>
        <v>0</v>
      </c>
      <c r="AL810" s="37">
        <f>IF(AND(AL520&lt;=$I235,AL520&gt;$J235),Tarification!$D$8,IF(AND(AL520&lt;=$J235,AL520&gt;$K235),Tarification!$D$9,IF(AND(AL520&lt;=$K235,AL520&gt;0),Tarification!$D$10,0)))</f>
        <v>0</v>
      </c>
      <c r="AM810" s="37">
        <f>IF(AND(AM520&lt;=$I235,AM520&gt;$J235),Tarification!$D$8,IF(AND(AM520&lt;=$J235,AM520&gt;$K235),Tarification!$D$9,IF(AND(AM520&lt;=$K235,AM520&gt;0),Tarification!$D$10,0)))</f>
        <v>0</v>
      </c>
      <c r="AN810" s="37">
        <f>IF(AND(AN520&lt;=$I235,AN520&gt;$J235),Tarification!$D$8,IF(AND(AN520&lt;=$J235,AN520&gt;$K235),Tarification!$D$9,IF(AND(AN520&lt;=$K235,AN520&gt;0),Tarification!$D$10,0)))</f>
        <v>0</v>
      </c>
      <c r="AQ810" s="101">
        <f t="shared" si="151"/>
        <v>2631.5789473684213</v>
      </c>
    </row>
    <row r="811" spans="14:43" ht="15.6">
      <c r="N811" s="39" t="s">
        <v>27</v>
      </c>
      <c r="O811" s="39" t="s">
        <v>448</v>
      </c>
      <c r="P811" t="s">
        <v>831</v>
      </c>
      <c r="Q811" s="39"/>
      <c r="V811" s="37">
        <f>IF(AND(V521&lt;=$I236,V521&gt;$J236),Tarification!$D$8,IF(AND(V521&lt;=$J236,V521&gt;$K236),Tarification!$D$9,IF(AND(V521&lt;=$K236,V521&gt;0),Tarification!$D$10,0)))</f>
        <v>0</v>
      </c>
      <c r="W811" s="37">
        <f>IF(AND(W521&lt;=$I236,W521&gt;$J236),Tarification!$D$8,IF(AND(W521&lt;=$J236,W521&gt;$K236),Tarification!$D$9,IF(AND(W521&lt;=$K236,W521&gt;0),Tarification!$D$10,0)))</f>
        <v>0</v>
      </c>
      <c r="X811" s="37">
        <f>IF(AND(X521&lt;=$I236,X521&gt;$J236),Tarification!$D$8,IF(AND(X521&lt;=$J236,X521&gt;$K236),Tarification!$D$9,IF(AND(X521&lt;=$K236,X521&gt;0),Tarification!$D$10,0)))</f>
        <v>0</v>
      </c>
      <c r="Y811" s="37">
        <f>IF(AND(Y521&lt;=$I236,Y521&gt;$J236),Tarification!$D$8,IF(AND(Y521&lt;=$J236,Y521&gt;$K236),Tarification!$D$9,IF(AND(Y521&lt;=$K236,Y521&gt;0),Tarification!$D$10,0)))</f>
        <v>0</v>
      </c>
      <c r="Z811" s="37">
        <f>IF(AND(Z521&lt;=$I236,Z521&gt;$J236),Tarification!$D$8,IF(AND(Z521&lt;=$J236,Z521&gt;$K236),Tarification!$D$9,IF(AND(Z521&lt;=$K236,Z521&gt;0),Tarification!$D$10,0)))</f>
        <v>0</v>
      </c>
      <c r="AA811" s="37">
        <f>IF(AND(AA521&lt;=$I236,AA521&gt;$J236),Tarification!$D$8,IF(AND(AA521&lt;=$J236,AA521&gt;$K236),Tarification!$D$9,IF(AND(AA521&lt;=$K236,AA521&gt;0),Tarification!$D$10,0)))</f>
        <v>0</v>
      </c>
      <c r="AB811" s="37">
        <f>IF(AND(AB521&lt;=$I236,AB521&gt;$J236),Tarification!$D$8,IF(AND(AB521&lt;=$J236,AB521&gt;$K236),Tarification!$D$9,IF(AND(AB521&lt;=$K236,AB521&gt;0),Tarification!$D$10,0)))</f>
        <v>0</v>
      </c>
      <c r="AC811" s="37">
        <f>IF(AND(AC521&lt;=$I236,AC521&gt;$J236),Tarification!$D$8,IF(AND(AC521&lt;=$J236,AC521&gt;$K236),Tarification!$D$9,IF(AND(AC521&lt;=$K236,AC521&gt;0),Tarification!$D$10,0)))</f>
        <v>0</v>
      </c>
      <c r="AD811" s="37">
        <f>IF(AND(AD521&lt;=$I236,AD521&gt;$J236),Tarification!$D$8,IF(AND(AD521&lt;=$J236,AD521&gt;$K236),Tarification!$D$9,IF(AND(AD521&lt;=$K236,AD521&gt;0),Tarification!$D$10,0)))</f>
        <v>0</v>
      </c>
      <c r="AE811" s="37">
        <f>IF(AND(AE521&lt;=$I236,AE521&gt;$J236),Tarification!$D$8,IF(AND(AE521&lt;=$J236,AE521&gt;$K236),Tarification!$D$9,IF(AND(AE521&lt;=$K236,AE521&gt;0),Tarification!$D$10,0)))</f>
        <v>0</v>
      </c>
      <c r="AF811" s="37">
        <f>IF(AND(AF521&lt;=$I236,AF521&gt;$J236),Tarification!$D$8,IF(AND(AF521&lt;=$J236,AF521&gt;$K236),Tarification!$D$9,IF(AND(AF521&lt;=$K236,AF521&gt;0),Tarification!$D$10,0)))</f>
        <v>0</v>
      </c>
      <c r="AG811" s="37">
        <f>IF(AND(AG521&lt;=$I236,AG521&gt;$J236),Tarification!$D$8,IF(AND(AG521&lt;=$J236,AG521&gt;$K236),Tarification!$D$9,IF(AND(AG521&lt;=$K236,AG521&gt;0),Tarification!$D$10,0)))</f>
        <v>0</v>
      </c>
      <c r="AH811" s="37">
        <f>IF(AND(AH521&lt;=$I236,AH521&gt;$J236),Tarification!$D$8,IF(AND(AH521&lt;=$J236,AH521&gt;$K236),Tarification!$D$9,IF(AND(AH521&lt;=$K236,AH521&gt;0),Tarification!$D$10,0)))</f>
        <v>0</v>
      </c>
      <c r="AI811" s="37">
        <f>IF(AND(AI521&lt;=$I236,AI521&gt;$J236),Tarification!$D$8,IF(AND(AI521&lt;=$J236,AI521&gt;$K236),Tarification!$D$9,IF(AND(AI521&lt;=$K236,AI521&gt;0),Tarification!$D$10,0)))</f>
        <v>0</v>
      </c>
      <c r="AJ811" s="37">
        <f>IF(AND(AJ521&lt;=$I236,AJ521&gt;$J236),Tarification!$D$8,IF(AND(AJ521&lt;=$J236,AJ521&gt;$K236),Tarification!$D$9,IF(AND(AJ521&lt;=$K236,AJ521&gt;0),Tarification!$D$10,0)))</f>
        <v>0</v>
      </c>
      <c r="AK811" s="37">
        <f>IF(AND(AK521&lt;=$I236,AK521&gt;$J236),Tarification!$D$8,IF(AND(AK521&lt;=$J236,AK521&gt;$K236),Tarification!$D$9,IF(AND(AK521&lt;=$K236,AK521&gt;0),Tarification!$D$10,0)))</f>
        <v>0</v>
      </c>
      <c r="AL811" s="37">
        <f>IF(AND(AL521&lt;=$I236,AL521&gt;$J236),Tarification!$D$8,IF(AND(AL521&lt;=$J236,AL521&gt;$K236),Tarification!$D$9,IF(AND(AL521&lt;=$K236,AL521&gt;0),Tarification!$D$10,0)))</f>
        <v>0</v>
      </c>
      <c r="AM811" s="37">
        <f>IF(AND(AM521&lt;=$I236,AM521&gt;$J236),Tarification!$D$8,IF(AND(AM521&lt;=$J236,AM521&gt;$K236),Tarification!$D$9,IF(AND(AM521&lt;=$K236,AM521&gt;0),Tarification!$D$10,0)))</f>
        <v>0</v>
      </c>
      <c r="AN811" s="37">
        <f>IF(AND(AN521&lt;=$I236,AN521&gt;$J236),Tarification!$D$8,IF(AND(AN521&lt;=$J236,AN521&gt;$K236),Tarification!$D$9,IF(AND(AN521&lt;=$K236,AN521&gt;0),Tarification!$D$10,0)))</f>
        <v>0</v>
      </c>
      <c r="AQ811" s="101">
        <f t="shared" si="151"/>
        <v>0</v>
      </c>
    </row>
    <row r="812" spans="14:43" ht="15.6">
      <c r="N812" s="39" t="s">
        <v>27</v>
      </c>
      <c r="O812" s="39" t="s">
        <v>561</v>
      </c>
      <c r="P812" t="s">
        <v>832</v>
      </c>
      <c r="Q812" s="39"/>
      <c r="V812" s="37">
        <f>IF(AND(V522&lt;=$I237,V522&gt;$J237),Tarification!$D$8,IF(AND(V522&lt;=$J237,V522&gt;$K237),Tarification!$D$9,IF(AND(V522&lt;=$K237,V522&gt;0),Tarification!$D$10,0)))</f>
        <v>0</v>
      </c>
      <c r="W812" s="37">
        <f>IF(AND(W522&lt;=$I237,W522&gt;$J237),Tarification!$D$8,IF(AND(W522&lt;=$J237,W522&gt;$K237),Tarification!$D$9,IF(AND(W522&lt;=$K237,W522&gt;0),Tarification!$D$10,0)))</f>
        <v>0</v>
      </c>
      <c r="X812" s="37">
        <f>IF(AND(X522&lt;=$I237,X522&gt;$J237),Tarification!$D$8,IF(AND(X522&lt;=$J237,X522&gt;$K237),Tarification!$D$9,IF(AND(X522&lt;=$K237,X522&gt;0),Tarification!$D$10,0)))</f>
        <v>0</v>
      </c>
      <c r="Y812" s="37">
        <f>IF(AND(Y522&lt;=$I237,Y522&gt;$J237),Tarification!$D$8,IF(AND(Y522&lt;=$J237,Y522&gt;$K237),Tarification!$D$9,IF(AND(Y522&lt;=$K237,Y522&gt;0),Tarification!$D$10,0)))</f>
        <v>0</v>
      </c>
      <c r="Z812" s="37">
        <f>IF(AND(Z522&lt;=$I237,Z522&gt;$J237),Tarification!$D$8,IF(AND(Z522&lt;=$J237,Z522&gt;$K237),Tarification!$D$9,IF(AND(Z522&lt;=$K237,Z522&gt;0),Tarification!$D$10,0)))</f>
        <v>0</v>
      </c>
      <c r="AA812" s="37">
        <f>IF(AND(AA522&lt;=$I237,AA522&gt;$J237),Tarification!$D$8,IF(AND(AA522&lt;=$J237,AA522&gt;$K237),Tarification!$D$9,IF(AND(AA522&lt;=$K237,AA522&gt;0),Tarification!$D$10,0)))</f>
        <v>0</v>
      </c>
      <c r="AB812" s="37">
        <f>IF(AND(AB522&lt;=$I237,AB522&gt;$J237),Tarification!$D$8,IF(AND(AB522&lt;=$J237,AB522&gt;$K237),Tarification!$D$9,IF(AND(AB522&lt;=$K237,AB522&gt;0),Tarification!$D$10,0)))</f>
        <v>0</v>
      </c>
      <c r="AC812" s="37">
        <f>IF(AND(AC522&lt;=$I237,AC522&gt;$J237),Tarification!$D$8,IF(AND(AC522&lt;=$J237,AC522&gt;$K237),Tarification!$D$9,IF(AND(AC522&lt;=$K237,AC522&gt;0),Tarification!$D$10,0)))</f>
        <v>0</v>
      </c>
      <c r="AD812" s="37">
        <f>IF(AND(AD522&lt;=$I237,AD522&gt;$J237),Tarification!$D$8,IF(AND(AD522&lt;=$J237,AD522&gt;$K237),Tarification!$D$9,IF(AND(AD522&lt;=$K237,AD522&gt;0),Tarification!$D$10,0)))</f>
        <v>0</v>
      </c>
      <c r="AE812" s="37">
        <f>IF(AND(AE522&lt;=$I237,AE522&gt;$J237),Tarification!$D$8,IF(AND(AE522&lt;=$J237,AE522&gt;$K237),Tarification!$D$9,IF(AND(AE522&lt;=$K237,AE522&gt;0),Tarification!$D$10,0)))</f>
        <v>0</v>
      </c>
      <c r="AF812" s="37">
        <f>IF(AND(AF522&lt;=$I237,AF522&gt;$J237),Tarification!$D$8,IF(AND(AF522&lt;=$J237,AF522&gt;$K237),Tarification!$D$9,IF(AND(AF522&lt;=$K237,AF522&gt;0),Tarification!$D$10,0)))</f>
        <v>0</v>
      </c>
      <c r="AG812" s="37">
        <f>IF(AND(AG522&lt;=$I237,AG522&gt;$J237),Tarification!$D$8,IF(AND(AG522&lt;=$J237,AG522&gt;$K237),Tarification!$D$9,IF(AND(AG522&lt;=$K237,AG522&gt;0),Tarification!$D$10,0)))</f>
        <v>0</v>
      </c>
      <c r="AH812" s="37">
        <f>IF(AND(AH522&lt;=$I237,AH522&gt;$J237),Tarification!$D$8,IF(AND(AH522&lt;=$J237,AH522&gt;$K237),Tarification!$D$9,IF(AND(AH522&lt;=$K237,AH522&gt;0),Tarification!$D$10,0)))</f>
        <v>0</v>
      </c>
      <c r="AI812" s="37">
        <f>IF(AND(AI522&lt;=$I237,AI522&gt;$J237),Tarification!$D$8,IF(AND(AI522&lt;=$J237,AI522&gt;$K237),Tarification!$D$9,IF(AND(AI522&lt;=$K237,AI522&gt;0),Tarification!$D$10,0)))</f>
        <v>0</v>
      </c>
      <c r="AJ812" s="37">
        <f>IF(AND(AJ522&lt;=$I237,AJ522&gt;$J237),Tarification!$D$8,IF(AND(AJ522&lt;=$J237,AJ522&gt;$K237),Tarification!$D$9,IF(AND(AJ522&lt;=$K237,AJ522&gt;0),Tarification!$D$10,0)))</f>
        <v>0</v>
      </c>
      <c r="AK812" s="37">
        <f>IF(AND(AK522&lt;=$I237,AK522&gt;$J237),Tarification!$D$8,IF(AND(AK522&lt;=$J237,AK522&gt;$K237),Tarification!$D$9,IF(AND(AK522&lt;=$K237,AK522&gt;0),Tarification!$D$10,0)))</f>
        <v>0</v>
      </c>
      <c r="AL812" s="37">
        <f>IF(AND(AL522&lt;=$I237,AL522&gt;$J237),Tarification!$D$8,IF(AND(AL522&lt;=$J237,AL522&gt;$K237),Tarification!$D$9,IF(AND(AL522&lt;=$K237,AL522&gt;0),Tarification!$D$10,0)))</f>
        <v>0</v>
      </c>
      <c r="AM812" s="37">
        <f>IF(AND(AM522&lt;=$I237,AM522&gt;$J237),Tarification!$D$8,IF(AND(AM522&lt;=$J237,AM522&gt;$K237),Tarification!$D$9,IF(AND(AM522&lt;=$K237,AM522&gt;0),Tarification!$D$10,0)))</f>
        <v>0</v>
      </c>
      <c r="AN812" s="37">
        <f>IF(AND(AN522&lt;=$I237,AN522&gt;$J237),Tarification!$D$8,IF(AND(AN522&lt;=$J237,AN522&gt;$K237),Tarification!$D$9,IF(AND(AN522&lt;=$K237,AN522&gt;0),Tarification!$D$10,0)))</f>
        <v>0</v>
      </c>
      <c r="AQ812" s="101">
        <f t="shared" si="151"/>
        <v>0</v>
      </c>
    </row>
    <row r="813" spans="14:43" ht="15.6">
      <c r="N813" s="39" t="s">
        <v>27</v>
      </c>
      <c r="O813" s="39" t="s">
        <v>172</v>
      </c>
      <c r="P813" t="s">
        <v>833</v>
      </c>
      <c r="Q813" s="39"/>
      <c r="V813" s="37">
        <f>IF(AND(V523&lt;=$I238,V523&gt;$J238),Tarification!$D$8,IF(AND(V523&lt;=$J238,V523&gt;$K238),Tarification!$D$9,IF(AND(V523&lt;=$K238,V523&gt;0),Tarification!$D$10,0)))</f>
        <v>0</v>
      </c>
      <c r="W813" s="37">
        <f>IF(AND(W523&lt;=$I238,W523&gt;$J238),Tarification!$D$8,IF(AND(W523&lt;=$J238,W523&gt;$K238),Tarification!$D$9,IF(AND(W523&lt;=$K238,W523&gt;0),Tarification!$D$10,0)))</f>
        <v>0</v>
      </c>
      <c r="X813" s="37">
        <f>IF(AND(X523&lt;=$I238,X523&gt;$J238),Tarification!$D$8,IF(AND(X523&lt;=$J238,X523&gt;$K238),Tarification!$D$9,IF(AND(X523&lt;=$K238,X523&gt;0),Tarification!$D$10,0)))</f>
        <v>0</v>
      </c>
      <c r="Y813" s="37">
        <f>IF(AND(Y523&lt;=$I238,Y523&gt;$J238),Tarification!$D$8,IF(AND(Y523&lt;=$J238,Y523&gt;$K238),Tarification!$D$9,IF(AND(Y523&lt;=$K238,Y523&gt;0),Tarification!$D$10,0)))</f>
        <v>0</v>
      </c>
      <c r="Z813" s="37">
        <f>IF(AND(Z523&lt;=$I238,Z523&gt;$J238),Tarification!$D$8,IF(AND(Z523&lt;=$J238,Z523&gt;$K238),Tarification!$D$9,IF(AND(Z523&lt;=$K238,Z523&gt;0),Tarification!$D$10,0)))</f>
        <v>0</v>
      </c>
      <c r="AA813" s="37">
        <f>IF(AND(AA523&lt;=$I238,AA523&gt;$J238),Tarification!$D$8,IF(AND(AA523&lt;=$J238,AA523&gt;$K238),Tarification!$D$9,IF(AND(AA523&lt;=$K238,AA523&gt;0),Tarification!$D$10,0)))</f>
        <v>0</v>
      </c>
      <c r="AB813" s="37">
        <f>IF(AND(AB523&lt;=$I238,AB523&gt;$J238),Tarification!$D$8,IF(AND(AB523&lt;=$J238,AB523&gt;$K238),Tarification!$D$9,IF(AND(AB523&lt;=$K238,AB523&gt;0),Tarification!$D$10,0)))</f>
        <v>0</v>
      </c>
      <c r="AC813" s="37">
        <f>IF(AND(AC523&lt;=$I238,AC523&gt;$J238),Tarification!$D$8,IF(AND(AC523&lt;=$J238,AC523&gt;$K238),Tarification!$D$9,IF(AND(AC523&lt;=$K238,AC523&gt;0),Tarification!$D$10,0)))</f>
        <v>0</v>
      </c>
      <c r="AD813" s="37">
        <f>IF(AND(AD523&lt;=$I238,AD523&gt;$J238),Tarification!$D$8,IF(AND(AD523&lt;=$J238,AD523&gt;$K238),Tarification!$D$9,IF(AND(AD523&lt;=$K238,AD523&gt;0),Tarification!$D$10,0)))</f>
        <v>0</v>
      </c>
      <c r="AE813" s="37">
        <f>IF(AND(AE523&lt;=$I238,AE523&gt;$J238),Tarification!$D$8,IF(AND(AE523&lt;=$J238,AE523&gt;$K238),Tarification!$D$9,IF(AND(AE523&lt;=$K238,AE523&gt;0),Tarification!$D$10,0)))</f>
        <v>0</v>
      </c>
      <c r="AF813" s="37">
        <f>IF(AND(AF523&lt;=$I238,AF523&gt;$J238),Tarification!$D$8,IF(AND(AF523&lt;=$J238,AF523&gt;$K238),Tarification!$D$9,IF(AND(AF523&lt;=$K238,AF523&gt;0),Tarification!$D$10,0)))</f>
        <v>0</v>
      </c>
      <c r="AG813" s="37">
        <f>IF(AND(AG523&lt;=$I238,AG523&gt;$J238),Tarification!$D$8,IF(AND(AG523&lt;=$J238,AG523&gt;$K238),Tarification!$D$9,IF(AND(AG523&lt;=$K238,AG523&gt;0),Tarification!$D$10,0)))</f>
        <v>0</v>
      </c>
      <c r="AH813" s="37">
        <f>IF(AND(AH523&lt;=$I238,AH523&gt;$J238),Tarification!$D$8,IF(AND(AH523&lt;=$J238,AH523&gt;$K238),Tarification!$D$9,IF(AND(AH523&lt;=$K238,AH523&gt;0),Tarification!$D$10,0)))</f>
        <v>0</v>
      </c>
      <c r="AI813" s="37">
        <f>IF(AND(AI523&lt;=$I238,AI523&gt;$J238),Tarification!$D$8,IF(AND(AI523&lt;=$J238,AI523&gt;$K238),Tarification!$D$9,IF(AND(AI523&lt;=$K238,AI523&gt;0),Tarification!$D$10,0)))</f>
        <v>0</v>
      </c>
      <c r="AJ813" s="37">
        <f>IF(AND(AJ523&lt;=$I238,AJ523&gt;$J238),Tarification!$D$8,IF(AND(AJ523&lt;=$J238,AJ523&gt;$K238),Tarification!$D$9,IF(AND(AJ523&lt;=$K238,AJ523&gt;0),Tarification!$D$10,0)))</f>
        <v>0</v>
      </c>
      <c r="AK813" s="37">
        <f>IF(AND(AK523&lt;=$I238,AK523&gt;$J238),Tarification!$D$8,IF(AND(AK523&lt;=$J238,AK523&gt;$K238),Tarification!$D$9,IF(AND(AK523&lt;=$K238,AK523&gt;0),Tarification!$D$10,0)))</f>
        <v>0</v>
      </c>
      <c r="AL813" s="37">
        <f>IF(AND(AL523&lt;=$I238,AL523&gt;$J238),Tarification!$D$8,IF(AND(AL523&lt;=$J238,AL523&gt;$K238),Tarification!$D$9,IF(AND(AL523&lt;=$K238,AL523&gt;0),Tarification!$D$10,0)))</f>
        <v>0</v>
      </c>
      <c r="AM813" s="37">
        <f>IF(AND(AM523&lt;=$I238,AM523&gt;$J238),Tarification!$D$8,IF(AND(AM523&lt;=$J238,AM523&gt;$K238),Tarification!$D$9,IF(AND(AM523&lt;=$K238,AM523&gt;0),Tarification!$D$10,0)))</f>
        <v>0</v>
      </c>
      <c r="AN813" s="37">
        <f>IF(AND(AN523&lt;=$I238,AN523&gt;$J238),Tarification!$D$8,IF(AND(AN523&lt;=$J238,AN523&gt;$K238),Tarification!$D$9,IF(AND(AN523&lt;=$K238,AN523&gt;0),Tarification!$D$10,0)))</f>
        <v>0</v>
      </c>
      <c r="AQ813" s="101">
        <f t="shared" si="151"/>
        <v>0</v>
      </c>
    </row>
    <row r="814" spans="14:43" ht="15.6">
      <c r="N814" s="39" t="s">
        <v>27</v>
      </c>
      <c r="O814" s="39" t="s">
        <v>605</v>
      </c>
      <c r="P814" t="s">
        <v>834</v>
      </c>
      <c r="Q814" s="39"/>
      <c r="V814" s="37">
        <f>IF(AND(V524&lt;=$I239,V524&gt;$J239),Tarification!$D$8,IF(AND(V524&lt;=$J239,V524&gt;$K239),Tarification!$D$9,IF(AND(V524&lt;=$K239,V524&gt;0),Tarification!$D$10,0)))</f>
        <v>0</v>
      </c>
      <c r="W814" s="37">
        <f>IF(AND(W524&lt;=$I239,W524&gt;$J239),Tarification!$D$8,IF(AND(W524&lt;=$J239,W524&gt;$K239),Tarification!$D$9,IF(AND(W524&lt;=$K239,W524&gt;0),Tarification!$D$10,0)))</f>
        <v>50000</v>
      </c>
      <c r="X814" s="37">
        <f>IF(AND(X524&lt;=$I239,X524&gt;$J239),Tarification!$D$8,IF(AND(X524&lt;=$J239,X524&gt;$K239),Tarification!$D$9,IF(AND(X524&lt;=$K239,X524&gt;0),Tarification!$D$10,0)))</f>
        <v>0</v>
      </c>
      <c r="Y814" s="37">
        <f>IF(AND(Y524&lt;=$I239,Y524&gt;$J239),Tarification!$D$8,IF(AND(Y524&lt;=$J239,Y524&gt;$K239),Tarification!$D$9,IF(AND(Y524&lt;=$K239,Y524&gt;0),Tarification!$D$10,0)))</f>
        <v>0</v>
      </c>
      <c r="Z814" s="37">
        <f>IF(AND(Z524&lt;=$I239,Z524&gt;$J239),Tarification!$D$8,IF(AND(Z524&lt;=$J239,Z524&gt;$K239),Tarification!$D$9,IF(AND(Z524&lt;=$K239,Z524&gt;0),Tarification!$D$10,0)))</f>
        <v>0</v>
      </c>
      <c r="AA814" s="37">
        <f>IF(AND(AA524&lt;=$I239,AA524&gt;$J239),Tarification!$D$8,IF(AND(AA524&lt;=$J239,AA524&gt;$K239),Tarification!$D$9,IF(AND(AA524&lt;=$K239,AA524&gt;0),Tarification!$D$10,0)))</f>
        <v>0</v>
      </c>
      <c r="AB814" s="37">
        <f>IF(AND(AB524&lt;=$I239,AB524&gt;$J239),Tarification!$D$8,IF(AND(AB524&lt;=$J239,AB524&gt;$K239),Tarification!$D$9,IF(AND(AB524&lt;=$K239,AB524&gt;0),Tarification!$D$10,0)))</f>
        <v>0</v>
      </c>
      <c r="AC814" s="37">
        <f>IF(AND(AC524&lt;=$I239,AC524&gt;$J239),Tarification!$D$8,IF(AND(AC524&lt;=$J239,AC524&gt;$K239),Tarification!$D$9,IF(AND(AC524&lt;=$K239,AC524&gt;0),Tarification!$D$10,0)))</f>
        <v>250000</v>
      </c>
      <c r="AD814" s="37">
        <f>IF(AND(AD524&lt;=$I239,AD524&gt;$J239),Tarification!$D$8,IF(AND(AD524&lt;=$J239,AD524&gt;$K239),Tarification!$D$9,IF(AND(AD524&lt;=$K239,AD524&gt;0),Tarification!$D$10,0)))</f>
        <v>50000</v>
      </c>
      <c r="AE814" s="37">
        <f>IF(AND(AE524&lt;=$I239,AE524&gt;$J239),Tarification!$D$8,IF(AND(AE524&lt;=$J239,AE524&gt;$K239),Tarification!$D$9,IF(AND(AE524&lt;=$K239,AE524&gt;0),Tarification!$D$10,0)))</f>
        <v>50000</v>
      </c>
      <c r="AF814" s="37">
        <f>IF(AND(AF524&lt;=$I239,AF524&gt;$J239),Tarification!$D$8,IF(AND(AF524&lt;=$J239,AF524&gt;$K239),Tarification!$D$9,IF(AND(AF524&lt;=$K239,AF524&gt;0),Tarification!$D$10,0)))</f>
        <v>0</v>
      </c>
      <c r="AG814" s="37">
        <f>IF(AND(AG524&lt;=$I239,AG524&gt;$J239),Tarification!$D$8,IF(AND(AG524&lt;=$J239,AG524&gt;$K239),Tarification!$D$9,IF(AND(AG524&lt;=$K239,AG524&gt;0),Tarification!$D$10,0)))</f>
        <v>50000</v>
      </c>
      <c r="AH814" s="37">
        <f>IF(AND(AH524&lt;=$I239,AH524&gt;$J239),Tarification!$D$8,IF(AND(AH524&lt;=$J239,AH524&gt;$K239),Tarification!$D$9,IF(AND(AH524&lt;=$K239,AH524&gt;0),Tarification!$D$10,0)))</f>
        <v>0</v>
      </c>
      <c r="AI814" s="37">
        <f>IF(AND(AI524&lt;=$I239,AI524&gt;$J239),Tarification!$D$8,IF(AND(AI524&lt;=$J239,AI524&gt;$K239),Tarification!$D$9,IF(AND(AI524&lt;=$K239,AI524&gt;0),Tarification!$D$10,0)))</f>
        <v>0</v>
      </c>
      <c r="AJ814" s="37">
        <f>IF(AND(AJ524&lt;=$I239,AJ524&gt;$J239),Tarification!$D$8,IF(AND(AJ524&lt;=$J239,AJ524&gt;$K239),Tarification!$D$9,IF(AND(AJ524&lt;=$K239,AJ524&gt;0),Tarification!$D$10,0)))</f>
        <v>0</v>
      </c>
      <c r="AK814" s="37">
        <f>IF(AND(AK524&lt;=$I239,AK524&gt;$J239),Tarification!$D$8,IF(AND(AK524&lt;=$J239,AK524&gt;$K239),Tarification!$D$9,IF(AND(AK524&lt;=$K239,AK524&gt;0),Tarification!$D$10,0)))</f>
        <v>0</v>
      </c>
      <c r="AL814" s="37">
        <f>IF(AND(AL524&lt;=$I239,AL524&gt;$J239),Tarification!$D$8,IF(AND(AL524&lt;=$J239,AL524&gt;$K239),Tarification!$D$9,IF(AND(AL524&lt;=$K239,AL524&gt;0),Tarification!$D$10,0)))</f>
        <v>0</v>
      </c>
      <c r="AM814" s="37">
        <f>IF(AND(AM524&lt;=$I239,AM524&gt;$J239),Tarification!$D$8,IF(AND(AM524&lt;=$J239,AM524&gt;$K239),Tarification!$D$9,IF(AND(AM524&lt;=$K239,AM524&gt;0),Tarification!$D$10,0)))</f>
        <v>0</v>
      </c>
      <c r="AN814" s="37">
        <f>IF(AND(AN524&lt;=$I239,AN524&gt;$J239),Tarification!$D$8,IF(AND(AN524&lt;=$J239,AN524&gt;$K239),Tarification!$D$9,IF(AND(AN524&lt;=$K239,AN524&gt;0),Tarification!$D$10,0)))</f>
        <v>50000</v>
      </c>
      <c r="AQ814" s="101">
        <f t="shared" si="151"/>
        <v>26315.78947368421</v>
      </c>
    </row>
    <row r="815" spans="14:43" ht="15.6">
      <c r="N815" s="39" t="s">
        <v>27</v>
      </c>
      <c r="O815" s="39" t="s">
        <v>479</v>
      </c>
      <c r="P815" t="s">
        <v>835</v>
      </c>
      <c r="Q815" s="39"/>
      <c r="V815" s="37">
        <f>IF(AND(V525&lt;=$I240,V525&gt;$J240),Tarification!$D$8,IF(AND(V525&lt;=$J240,V525&gt;$K240),Tarification!$D$9,IF(AND(V525&lt;=$K240,V525&gt;0),Tarification!$D$10,0)))</f>
        <v>0</v>
      </c>
      <c r="W815" s="37">
        <f>IF(AND(W525&lt;=$I240,W525&gt;$J240),Tarification!$D$8,IF(AND(W525&lt;=$J240,W525&gt;$K240),Tarification!$D$9,IF(AND(W525&lt;=$K240,W525&gt;0),Tarification!$D$10,0)))</f>
        <v>0</v>
      </c>
      <c r="X815" s="37">
        <f>IF(AND(X525&lt;=$I240,X525&gt;$J240),Tarification!$D$8,IF(AND(X525&lt;=$J240,X525&gt;$K240),Tarification!$D$9,IF(AND(X525&lt;=$K240,X525&gt;0),Tarification!$D$10,0)))</f>
        <v>0</v>
      </c>
      <c r="Y815" s="37">
        <f>IF(AND(Y525&lt;=$I240,Y525&gt;$J240),Tarification!$D$8,IF(AND(Y525&lt;=$J240,Y525&gt;$K240),Tarification!$D$9,IF(AND(Y525&lt;=$K240,Y525&gt;0),Tarification!$D$10,0)))</f>
        <v>50000</v>
      </c>
      <c r="Z815" s="37">
        <f>IF(AND(Z525&lt;=$I240,Z525&gt;$J240),Tarification!$D$8,IF(AND(Z525&lt;=$J240,Z525&gt;$K240),Tarification!$D$9,IF(AND(Z525&lt;=$K240,Z525&gt;0),Tarification!$D$10,0)))</f>
        <v>0</v>
      </c>
      <c r="AA815" s="37">
        <f>IF(AND(AA525&lt;=$I240,AA525&gt;$J240),Tarification!$D$8,IF(AND(AA525&lt;=$J240,AA525&gt;$K240),Tarification!$D$9,IF(AND(AA525&lt;=$K240,AA525&gt;0),Tarification!$D$10,0)))</f>
        <v>0</v>
      </c>
      <c r="AB815" s="37">
        <f>IF(AND(AB525&lt;=$I240,AB525&gt;$J240),Tarification!$D$8,IF(AND(AB525&lt;=$J240,AB525&gt;$K240),Tarification!$D$9,IF(AND(AB525&lt;=$K240,AB525&gt;0),Tarification!$D$10,0)))</f>
        <v>0</v>
      </c>
      <c r="AC815" s="37">
        <f>IF(AND(AC525&lt;=$I240,AC525&gt;$J240),Tarification!$D$8,IF(AND(AC525&lt;=$J240,AC525&gt;$K240),Tarification!$D$9,IF(AND(AC525&lt;=$K240,AC525&gt;0),Tarification!$D$10,0)))</f>
        <v>0</v>
      </c>
      <c r="AD815" s="37">
        <f>IF(AND(AD525&lt;=$I240,AD525&gt;$J240),Tarification!$D$8,IF(AND(AD525&lt;=$J240,AD525&gt;$K240),Tarification!$D$9,IF(AND(AD525&lt;=$K240,AD525&gt;0),Tarification!$D$10,0)))</f>
        <v>0</v>
      </c>
      <c r="AE815" s="37">
        <f>IF(AND(AE525&lt;=$I240,AE525&gt;$J240),Tarification!$D$8,IF(AND(AE525&lt;=$J240,AE525&gt;$K240),Tarification!$D$9,IF(AND(AE525&lt;=$K240,AE525&gt;0),Tarification!$D$10,0)))</f>
        <v>0</v>
      </c>
      <c r="AF815" s="37">
        <f>IF(AND(AF525&lt;=$I240,AF525&gt;$J240),Tarification!$D$8,IF(AND(AF525&lt;=$J240,AF525&gt;$K240),Tarification!$D$9,IF(AND(AF525&lt;=$K240,AF525&gt;0),Tarification!$D$10,0)))</f>
        <v>0</v>
      </c>
      <c r="AG815" s="37">
        <f>IF(AND(AG525&lt;=$I240,AG525&gt;$J240),Tarification!$D$8,IF(AND(AG525&lt;=$J240,AG525&gt;$K240),Tarification!$D$9,IF(AND(AG525&lt;=$K240,AG525&gt;0),Tarification!$D$10,0)))</f>
        <v>50000</v>
      </c>
      <c r="AH815" s="37">
        <f>IF(AND(AH525&lt;=$I240,AH525&gt;$J240),Tarification!$D$8,IF(AND(AH525&lt;=$J240,AH525&gt;$K240),Tarification!$D$9,IF(AND(AH525&lt;=$K240,AH525&gt;0),Tarification!$D$10,0)))</f>
        <v>0</v>
      </c>
      <c r="AI815" s="37">
        <f>IF(AND(AI525&lt;=$I240,AI525&gt;$J240),Tarification!$D$8,IF(AND(AI525&lt;=$J240,AI525&gt;$K240),Tarification!$D$9,IF(AND(AI525&lt;=$K240,AI525&gt;0),Tarification!$D$10,0)))</f>
        <v>0</v>
      </c>
      <c r="AJ815" s="37">
        <f>IF(AND(AJ525&lt;=$I240,AJ525&gt;$J240),Tarification!$D$8,IF(AND(AJ525&lt;=$J240,AJ525&gt;$K240),Tarification!$D$9,IF(AND(AJ525&lt;=$K240,AJ525&gt;0),Tarification!$D$10,0)))</f>
        <v>50000</v>
      </c>
      <c r="AK815" s="37">
        <f>IF(AND(AK525&lt;=$I240,AK525&gt;$J240),Tarification!$D$8,IF(AND(AK525&lt;=$J240,AK525&gt;$K240),Tarification!$D$9,IF(AND(AK525&lt;=$K240,AK525&gt;0),Tarification!$D$10,0)))</f>
        <v>0</v>
      </c>
      <c r="AL815" s="37">
        <f>IF(AND(AL525&lt;=$I240,AL525&gt;$J240),Tarification!$D$8,IF(AND(AL525&lt;=$J240,AL525&gt;$K240),Tarification!$D$9,IF(AND(AL525&lt;=$K240,AL525&gt;0),Tarification!$D$10,0)))</f>
        <v>0</v>
      </c>
      <c r="AM815" s="37">
        <f>IF(AND(AM525&lt;=$I240,AM525&gt;$J240),Tarification!$D$8,IF(AND(AM525&lt;=$J240,AM525&gt;$K240),Tarification!$D$9,IF(AND(AM525&lt;=$K240,AM525&gt;0),Tarification!$D$10,0)))</f>
        <v>0</v>
      </c>
      <c r="AN815" s="37">
        <f>IF(AND(AN525&lt;=$I240,AN525&gt;$J240),Tarification!$D$8,IF(AND(AN525&lt;=$J240,AN525&gt;$K240),Tarification!$D$9,IF(AND(AN525&lt;=$K240,AN525&gt;0),Tarification!$D$10,0)))</f>
        <v>0</v>
      </c>
      <c r="AQ815" s="101">
        <f t="shared" si="151"/>
        <v>7894.7368421052633</v>
      </c>
    </row>
    <row r="816" spans="14:43" ht="15.6">
      <c r="N816" s="39" t="s">
        <v>27</v>
      </c>
      <c r="O816" s="39" t="s">
        <v>566</v>
      </c>
      <c r="P816" t="s">
        <v>836</v>
      </c>
      <c r="Q816" s="39"/>
      <c r="V816" s="37">
        <f>IF(AND(V526&lt;=$I241,V526&gt;$J241),Tarification!$D$8,IF(AND(V526&lt;=$J241,V526&gt;$K241),Tarification!$D$9,IF(AND(V526&lt;=$K241,V526&gt;0),Tarification!$D$10,0)))</f>
        <v>0</v>
      </c>
      <c r="W816" s="37">
        <f>IF(AND(W526&lt;=$I241,W526&gt;$J241),Tarification!$D$8,IF(AND(W526&lt;=$J241,W526&gt;$K241),Tarification!$D$9,IF(AND(W526&lt;=$K241,W526&gt;0),Tarification!$D$10,0)))</f>
        <v>0</v>
      </c>
      <c r="X816" s="37">
        <f>IF(AND(X526&lt;=$I241,X526&gt;$J241),Tarification!$D$8,IF(AND(X526&lt;=$J241,X526&gt;$K241),Tarification!$D$9,IF(AND(X526&lt;=$K241,X526&gt;0),Tarification!$D$10,0)))</f>
        <v>0</v>
      </c>
      <c r="Y816" s="37">
        <f>IF(AND(Y526&lt;=$I241,Y526&gt;$J241),Tarification!$D$8,IF(AND(Y526&lt;=$J241,Y526&gt;$K241),Tarification!$D$9,IF(AND(Y526&lt;=$K241,Y526&gt;0),Tarification!$D$10,0)))</f>
        <v>0</v>
      </c>
      <c r="Z816" s="37">
        <f>IF(AND(Z526&lt;=$I241,Z526&gt;$J241),Tarification!$D$8,IF(AND(Z526&lt;=$J241,Z526&gt;$K241),Tarification!$D$9,IF(AND(Z526&lt;=$K241,Z526&gt;0),Tarification!$D$10,0)))</f>
        <v>0</v>
      </c>
      <c r="AA816" s="37">
        <f>IF(AND(AA526&lt;=$I241,AA526&gt;$J241),Tarification!$D$8,IF(AND(AA526&lt;=$J241,AA526&gt;$K241),Tarification!$D$9,IF(AND(AA526&lt;=$K241,AA526&gt;0),Tarification!$D$10,0)))</f>
        <v>0</v>
      </c>
      <c r="AB816" s="37">
        <f>IF(AND(AB526&lt;=$I241,AB526&gt;$J241),Tarification!$D$8,IF(AND(AB526&lt;=$J241,AB526&gt;$K241),Tarification!$D$9,IF(AND(AB526&lt;=$K241,AB526&gt;0),Tarification!$D$10,0)))</f>
        <v>0</v>
      </c>
      <c r="AC816" s="37">
        <f>IF(AND(AC526&lt;=$I241,AC526&gt;$J241),Tarification!$D$8,IF(AND(AC526&lt;=$J241,AC526&gt;$K241),Tarification!$D$9,IF(AND(AC526&lt;=$K241,AC526&gt;0),Tarification!$D$10,0)))</f>
        <v>0</v>
      </c>
      <c r="AD816" s="37">
        <f>IF(AND(AD526&lt;=$I241,AD526&gt;$J241),Tarification!$D$8,IF(AND(AD526&lt;=$J241,AD526&gt;$K241),Tarification!$D$9,IF(AND(AD526&lt;=$K241,AD526&gt;0),Tarification!$D$10,0)))</f>
        <v>0</v>
      </c>
      <c r="AE816" s="37">
        <f>IF(AND(AE526&lt;=$I241,AE526&gt;$J241),Tarification!$D$8,IF(AND(AE526&lt;=$J241,AE526&gt;$K241),Tarification!$D$9,IF(AND(AE526&lt;=$K241,AE526&gt;0),Tarification!$D$10,0)))</f>
        <v>0</v>
      </c>
      <c r="AF816" s="37">
        <f>IF(AND(AF526&lt;=$I241,AF526&gt;$J241),Tarification!$D$8,IF(AND(AF526&lt;=$J241,AF526&gt;$K241),Tarification!$D$9,IF(AND(AF526&lt;=$K241,AF526&gt;0),Tarification!$D$10,0)))</f>
        <v>0</v>
      </c>
      <c r="AG816" s="37">
        <f>IF(AND(AG526&lt;=$I241,AG526&gt;$J241),Tarification!$D$8,IF(AND(AG526&lt;=$J241,AG526&gt;$K241),Tarification!$D$9,IF(AND(AG526&lt;=$K241,AG526&gt;0),Tarification!$D$10,0)))</f>
        <v>0</v>
      </c>
      <c r="AH816" s="37">
        <f>IF(AND(AH526&lt;=$I241,AH526&gt;$J241),Tarification!$D$8,IF(AND(AH526&lt;=$J241,AH526&gt;$K241),Tarification!$D$9,IF(AND(AH526&lt;=$K241,AH526&gt;0),Tarification!$D$10,0)))</f>
        <v>0</v>
      </c>
      <c r="AI816" s="37">
        <f>IF(AND(AI526&lt;=$I241,AI526&gt;$J241),Tarification!$D$8,IF(AND(AI526&lt;=$J241,AI526&gt;$K241),Tarification!$D$9,IF(AND(AI526&lt;=$K241,AI526&gt;0),Tarification!$D$10,0)))</f>
        <v>0</v>
      </c>
      <c r="AJ816" s="37">
        <f>IF(AND(AJ526&lt;=$I241,AJ526&gt;$J241),Tarification!$D$8,IF(AND(AJ526&lt;=$J241,AJ526&gt;$K241),Tarification!$D$9,IF(AND(AJ526&lt;=$K241,AJ526&gt;0),Tarification!$D$10,0)))</f>
        <v>0</v>
      </c>
      <c r="AK816" s="37">
        <f>IF(AND(AK526&lt;=$I241,AK526&gt;$J241),Tarification!$D$8,IF(AND(AK526&lt;=$J241,AK526&gt;$K241),Tarification!$D$9,IF(AND(AK526&lt;=$K241,AK526&gt;0),Tarification!$D$10,0)))</f>
        <v>0</v>
      </c>
      <c r="AL816" s="37">
        <f>IF(AND(AL526&lt;=$I241,AL526&gt;$J241),Tarification!$D$8,IF(AND(AL526&lt;=$J241,AL526&gt;$K241),Tarification!$D$9,IF(AND(AL526&lt;=$K241,AL526&gt;0),Tarification!$D$10,0)))</f>
        <v>0</v>
      </c>
      <c r="AM816" s="37">
        <f>IF(AND(AM526&lt;=$I241,AM526&gt;$J241),Tarification!$D$8,IF(AND(AM526&lt;=$J241,AM526&gt;$K241),Tarification!$D$9,IF(AND(AM526&lt;=$K241,AM526&gt;0),Tarification!$D$10,0)))</f>
        <v>0</v>
      </c>
      <c r="AN816" s="37">
        <f>IF(AND(AN526&lt;=$I241,AN526&gt;$J241),Tarification!$D$8,IF(AND(AN526&lt;=$J241,AN526&gt;$K241),Tarification!$D$9,IF(AND(AN526&lt;=$K241,AN526&gt;0),Tarification!$D$10,0)))</f>
        <v>0</v>
      </c>
      <c r="AQ816" s="101">
        <f t="shared" si="151"/>
        <v>0</v>
      </c>
    </row>
    <row r="817" spans="14:43" ht="15.6">
      <c r="N817" s="39" t="s">
        <v>27</v>
      </c>
      <c r="O817" s="39" t="s">
        <v>494</v>
      </c>
      <c r="P817" t="s">
        <v>837</v>
      </c>
      <c r="Q817" s="39"/>
      <c r="V817" s="37">
        <f>IF(AND(V527&lt;=$I242,V527&gt;$J242),Tarification!$D$8,IF(AND(V527&lt;=$J242,V527&gt;$K242),Tarification!$D$9,IF(AND(V527&lt;=$K242,V527&gt;0),Tarification!$D$10,0)))</f>
        <v>0</v>
      </c>
      <c r="W817" s="37">
        <f>IF(AND(W527&lt;=$I242,W527&gt;$J242),Tarification!$D$8,IF(AND(W527&lt;=$J242,W527&gt;$K242),Tarification!$D$9,IF(AND(W527&lt;=$K242,W527&gt;0),Tarification!$D$10,0)))</f>
        <v>0</v>
      </c>
      <c r="X817" s="37">
        <f>IF(AND(X527&lt;=$I242,X527&gt;$J242),Tarification!$D$8,IF(AND(X527&lt;=$J242,X527&gt;$K242),Tarification!$D$9,IF(AND(X527&lt;=$K242,X527&gt;0),Tarification!$D$10,0)))</f>
        <v>0</v>
      </c>
      <c r="Y817" s="37">
        <f>IF(AND(Y527&lt;=$I242,Y527&gt;$J242),Tarification!$D$8,IF(AND(Y527&lt;=$J242,Y527&gt;$K242),Tarification!$D$9,IF(AND(Y527&lt;=$K242,Y527&gt;0),Tarification!$D$10,0)))</f>
        <v>0</v>
      </c>
      <c r="Z817" s="37">
        <f>IF(AND(Z527&lt;=$I242,Z527&gt;$J242),Tarification!$D$8,IF(AND(Z527&lt;=$J242,Z527&gt;$K242),Tarification!$D$9,IF(AND(Z527&lt;=$K242,Z527&gt;0),Tarification!$D$10,0)))</f>
        <v>0</v>
      </c>
      <c r="AA817" s="37">
        <f>IF(AND(AA527&lt;=$I242,AA527&gt;$J242),Tarification!$D$8,IF(AND(AA527&lt;=$J242,AA527&gt;$K242),Tarification!$D$9,IF(AND(AA527&lt;=$K242,AA527&gt;0),Tarification!$D$10,0)))</f>
        <v>0</v>
      </c>
      <c r="AB817" s="37">
        <f>IF(AND(AB527&lt;=$I242,AB527&gt;$J242),Tarification!$D$8,IF(AND(AB527&lt;=$J242,AB527&gt;$K242),Tarification!$D$9,IF(AND(AB527&lt;=$K242,AB527&gt;0),Tarification!$D$10,0)))</f>
        <v>0</v>
      </c>
      <c r="AC817" s="37">
        <f>IF(AND(AC527&lt;=$I242,AC527&gt;$J242),Tarification!$D$8,IF(AND(AC527&lt;=$J242,AC527&gt;$K242),Tarification!$D$9,IF(AND(AC527&lt;=$K242,AC527&gt;0),Tarification!$D$10,0)))</f>
        <v>0</v>
      </c>
      <c r="AD817" s="37">
        <f>IF(AND(AD527&lt;=$I242,AD527&gt;$J242),Tarification!$D$8,IF(AND(AD527&lt;=$J242,AD527&gt;$K242),Tarification!$D$9,IF(AND(AD527&lt;=$K242,AD527&gt;0),Tarification!$D$10,0)))</f>
        <v>0</v>
      </c>
      <c r="AE817" s="37">
        <f>IF(AND(AE527&lt;=$I242,AE527&gt;$J242),Tarification!$D$8,IF(AND(AE527&lt;=$J242,AE527&gt;$K242),Tarification!$D$9,IF(AND(AE527&lt;=$K242,AE527&gt;0),Tarification!$D$10,0)))</f>
        <v>0</v>
      </c>
      <c r="AF817" s="37">
        <f>IF(AND(AF527&lt;=$I242,AF527&gt;$J242),Tarification!$D$8,IF(AND(AF527&lt;=$J242,AF527&gt;$K242),Tarification!$D$9,IF(AND(AF527&lt;=$K242,AF527&gt;0),Tarification!$D$10,0)))</f>
        <v>0</v>
      </c>
      <c r="AG817" s="37">
        <f>IF(AND(AG527&lt;=$I242,AG527&gt;$J242),Tarification!$D$8,IF(AND(AG527&lt;=$J242,AG527&gt;$K242),Tarification!$D$9,IF(AND(AG527&lt;=$K242,AG527&gt;0),Tarification!$D$10,0)))</f>
        <v>0</v>
      </c>
      <c r="AH817" s="37">
        <f>IF(AND(AH527&lt;=$I242,AH527&gt;$J242),Tarification!$D$8,IF(AND(AH527&lt;=$J242,AH527&gt;$K242),Tarification!$D$9,IF(AND(AH527&lt;=$K242,AH527&gt;0),Tarification!$D$10,0)))</f>
        <v>0</v>
      </c>
      <c r="AI817" s="37">
        <f>IF(AND(AI527&lt;=$I242,AI527&gt;$J242),Tarification!$D$8,IF(AND(AI527&lt;=$J242,AI527&gt;$K242),Tarification!$D$9,IF(AND(AI527&lt;=$K242,AI527&gt;0),Tarification!$D$10,0)))</f>
        <v>0</v>
      </c>
      <c r="AJ817" s="37">
        <f>IF(AND(AJ527&lt;=$I242,AJ527&gt;$J242),Tarification!$D$8,IF(AND(AJ527&lt;=$J242,AJ527&gt;$K242),Tarification!$D$9,IF(AND(AJ527&lt;=$K242,AJ527&gt;0),Tarification!$D$10,0)))</f>
        <v>0</v>
      </c>
      <c r="AK817" s="37">
        <f>IF(AND(AK527&lt;=$I242,AK527&gt;$J242),Tarification!$D$8,IF(AND(AK527&lt;=$J242,AK527&gt;$K242),Tarification!$D$9,IF(AND(AK527&lt;=$K242,AK527&gt;0),Tarification!$D$10,0)))</f>
        <v>0</v>
      </c>
      <c r="AL817" s="37">
        <f>IF(AND(AL527&lt;=$I242,AL527&gt;$J242),Tarification!$D$8,IF(AND(AL527&lt;=$J242,AL527&gt;$K242),Tarification!$D$9,IF(AND(AL527&lt;=$K242,AL527&gt;0),Tarification!$D$10,0)))</f>
        <v>0</v>
      </c>
      <c r="AM817" s="37">
        <f>IF(AND(AM527&lt;=$I242,AM527&gt;$J242),Tarification!$D$8,IF(AND(AM527&lt;=$J242,AM527&gt;$K242),Tarification!$D$9,IF(AND(AM527&lt;=$K242,AM527&gt;0),Tarification!$D$10,0)))</f>
        <v>0</v>
      </c>
      <c r="AN817" s="37">
        <f>IF(AND(AN527&lt;=$I242,AN527&gt;$J242),Tarification!$D$8,IF(AND(AN527&lt;=$J242,AN527&gt;$K242),Tarification!$D$9,IF(AND(AN527&lt;=$K242,AN527&gt;0),Tarification!$D$10,0)))</f>
        <v>0</v>
      </c>
      <c r="AQ817" s="101">
        <f t="shared" si="151"/>
        <v>0</v>
      </c>
    </row>
    <row r="818" spans="14:43" ht="15.6">
      <c r="N818" s="39" t="s">
        <v>27</v>
      </c>
      <c r="O818" s="39">
        <v>1</v>
      </c>
      <c r="P818" s="91" t="s">
        <v>838</v>
      </c>
      <c r="Q818" s="39"/>
      <c r="V818" s="37">
        <f>IF(AND(V528&lt;=$I243,V528&gt;$J243),Tarification!$D$8,IF(AND(V528&lt;=$J243,V528&gt;$K243),Tarification!$D$9,IF(AND(V528&lt;=$K243,V528&gt;0),Tarification!$D$10,0)))</f>
        <v>0</v>
      </c>
      <c r="W818" s="37">
        <f>IF(AND(W528&lt;=$I243,W528&gt;$J243),Tarification!$D$8,IF(AND(W528&lt;=$J243,W528&gt;$K243),Tarification!$D$9,IF(AND(W528&lt;=$K243,W528&gt;0),Tarification!$D$10,0)))</f>
        <v>0</v>
      </c>
      <c r="X818" s="37">
        <f>IF(AND(X528&lt;=$I243,X528&gt;$J243),Tarification!$D$8,IF(AND(X528&lt;=$J243,X528&gt;$K243),Tarification!$D$9,IF(AND(X528&lt;=$K243,X528&gt;0),Tarification!$D$10,0)))</f>
        <v>0</v>
      </c>
      <c r="Y818" s="37">
        <f>IF(AND(Y528&lt;=$I243,Y528&gt;$J243),Tarification!$D$8,IF(AND(Y528&lt;=$J243,Y528&gt;$K243),Tarification!$D$9,IF(AND(Y528&lt;=$K243,Y528&gt;0),Tarification!$D$10,0)))</f>
        <v>0</v>
      </c>
      <c r="Z818" s="37">
        <f>IF(AND(Z528&lt;=$I243,Z528&gt;$J243),Tarification!$D$8,IF(AND(Z528&lt;=$J243,Z528&gt;$K243),Tarification!$D$9,IF(AND(Z528&lt;=$K243,Z528&gt;0),Tarification!$D$10,0)))</f>
        <v>0</v>
      </c>
      <c r="AA818" s="37">
        <f>IF(AND(AA528&lt;=$I243,AA528&gt;$J243),Tarification!$D$8,IF(AND(AA528&lt;=$J243,AA528&gt;$K243),Tarification!$D$9,IF(AND(AA528&lt;=$K243,AA528&gt;0),Tarification!$D$10,0)))</f>
        <v>0</v>
      </c>
      <c r="AB818" s="37">
        <f>IF(AND(AB528&lt;=$I243,AB528&gt;$J243),Tarification!$D$8,IF(AND(AB528&lt;=$J243,AB528&gt;$K243),Tarification!$D$9,IF(AND(AB528&lt;=$K243,AB528&gt;0),Tarification!$D$10,0)))</f>
        <v>0</v>
      </c>
      <c r="AC818" s="37">
        <f>IF(AND(AC528&lt;=$I243,AC528&gt;$J243),Tarification!$D$8,IF(AND(AC528&lt;=$J243,AC528&gt;$K243),Tarification!$D$9,IF(AND(AC528&lt;=$K243,AC528&gt;0),Tarification!$D$10,0)))</f>
        <v>125000</v>
      </c>
      <c r="AD818" s="37">
        <f>IF(AND(AD528&lt;=$I243,AD528&gt;$J243),Tarification!$D$8,IF(AND(AD528&lt;=$J243,AD528&gt;$K243),Tarification!$D$9,IF(AND(AD528&lt;=$K243,AD528&gt;0),Tarification!$D$10,0)))</f>
        <v>50000</v>
      </c>
      <c r="AE818" s="37">
        <f>IF(AND(AE528&lt;=$I243,AE528&gt;$J243),Tarification!$D$8,IF(AND(AE528&lt;=$J243,AE528&gt;$K243),Tarification!$D$9,IF(AND(AE528&lt;=$K243,AE528&gt;0),Tarification!$D$10,0)))</f>
        <v>50000</v>
      </c>
      <c r="AF818" s="37">
        <f>IF(AND(AF528&lt;=$I243,AF528&gt;$J243),Tarification!$D$8,IF(AND(AF528&lt;=$J243,AF528&gt;$K243),Tarification!$D$9,IF(AND(AF528&lt;=$K243,AF528&gt;0),Tarification!$D$10,0)))</f>
        <v>0</v>
      </c>
      <c r="AG818" s="37">
        <f>IF(AND(AG528&lt;=$I243,AG528&gt;$J243),Tarification!$D$8,IF(AND(AG528&lt;=$J243,AG528&gt;$K243),Tarification!$D$9,IF(AND(AG528&lt;=$K243,AG528&gt;0),Tarification!$D$10,0)))</f>
        <v>0</v>
      </c>
      <c r="AH818" s="37">
        <f>IF(AND(AH528&lt;=$I243,AH528&gt;$J243),Tarification!$D$8,IF(AND(AH528&lt;=$J243,AH528&gt;$K243),Tarification!$D$9,IF(AND(AH528&lt;=$K243,AH528&gt;0),Tarification!$D$10,0)))</f>
        <v>0</v>
      </c>
      <c r="AI818" s="37">
        <f>IF(AND(AI528&lt;=$I243,AI528&gt;$J243),Tarification!$D$8,IF(AND(AI528&lt;=$J243,AI528&gt;$K243),Tarification!$D$9,IF(AND(AI528&lt;=$K243,AI528&gt;0),Tarification!$D$10,0)))</f>
        <v>0</v>
      </c>
      <c r="AJ818" s="37">
        <f>IF(AND(AJ528&lt;=$I243,AJ528&gt;$J243),Tarification!$D$8,IF(AND(AJ528&lt;=$J243,AJ528&gt;$K243),Tarification!$D$9,IF(AND(AJ528&lt;=$K243,AJ528&gt;0),Tarification!$D$10,0)))</f>
        <v>50000</v>
      </c>
      <c r="AK818" s="37">
        <f>IF(AND(AK528&lt;=$I243,AK528&gt;$J243),Tarification!$D$8,IF(AND(AK528&lt;=$J243,AK528&gt;$K243),Tarification!$D$9,IF(AND(AK528&lt;=$K243,AK528&gt;0),Tarification!$D$10,0)))</f>
        <v>0</v>
      </c>
      <c r="AL818" s="37">
        <f>IF(AND(AL528&lt;=$I243,AL528&gt;$J243),Tarification!$D$8,IF(AND(AL528&lt;=$J243,AL528&gt;$K243),Tarification!$D$9,IF(AND(AL528&lt;=$K243,AL528&gt;0),Tarification!$D$10,0)))</f>
        <v>0</v>
      </c>
      <c r="AM818" s="37">
        <f>IF(AND(AM528&lt;=$I243,AM528&gt;$J243),Tarification!$D$8,IF(AND(AM528&lt;=$J243,AM528&gt;$K243),Tarification!$D$9,IF(AND(AM528&lt;=$K243,AM528&gt;0),Tarification!$D$10,0)))</f>
        <v>0</v>
      </c>
      <c r="AN818" s="37">
        <f>IF(AND(AN528&lt;=$I243,AN528&gt;$J243),Tarification!$D$8,IF(AND(AN528&lt;=$J243,AN528&gt;$K243),Tarification!$D$9,IF(AND(AN528&lt;=$K243,AN528&gt;0),Tarification!$D$10,0)))</f>
        <v>125000</v>
      </c>
      <c r="AQ818" s="101">
        <f t="shared" si="151"/>
        <v>21052.63157894737</v>
      </c>
    </row>
    <row r="819" spans="14:43" ht="15.6">
      <c r="N819" s="39" t="s">
        <v>27</v>
      </c>
      <c r="O819" s="39" t="s">
        <v>468</v>
      </c>
      <c r="P819" t="s">
        <v>471</v>
      </c>
      <c r="Q819" s="39"/>
      <c r="V819" s="37">
        <f>IF(AND(V529&lt;=$I244,V529&gt;$J244),Tarification!$D$8,IF(AND(V529&lt;=$J244,V529&gt;$K244),Tarification!$D$9,IF(AND(V529&lt;=$K244,V529&gt;0),Tarification!$D$10,0)))</f>
        <v>0</v>
      </c>
      <c r="W819" s="37">
        <f>IF(AND(W529&lt;=$I244,W529&gt;$J244),Tarification!$D$8,IF(AND(W529&lt;=$J244,W529&gt;$K244),Tarification!$D$9,IF(AND(W529&lt;=$K244,W529&gt;0),Tarification!$D$10,0)))</f>
        <v>0</v>
      </c>
      <c r="X819" s="37">
        <f>IF(AND(X529&lt;=$I244,X529&gt;$J244),Tarification!$D$8,IF(AND(X529&lt;=$J244,X529&gt;$K244),Tarification!$D$9,IF(AND(X529&lt;=$K244,X529&gt;0),Tarification!$D$10,0)))</f>
        <v>0</v>
      </c>
      <c r="Y819" s="37">
        <f>IF(AND(Y529&lt;=$I244,Y529&gt;$J244),Tarification!$D$8,IF(AND(Y529&lt;=$J244,Y529&gt;$K244),Tarification!$D$9,IF(AND(Y529&lt;=$K244,Y529&gt;0),Tarification!$D$10,0)))</f>
        <v>0</v>
      </c>
      <c r="Z819" s="37">
        <f>IF(AND(Z529&lt;=$I244,Z529&gt;$J244),Tarification!$D$8,IF(AND(Z529&lt;=$J244,Z529&gt;$K244),Tarification!$D$9,IF(AND(Z529&lt;=$K244,Z529&gt;0),Tarification!$D$10,0)))</f>
        <v>0</v>
      </c>
      <c r="AA819" s="37">
        <f>IF(AND(AA529&lt;=$I244,AA529&gt;$J244),Tarification!$D$8,IF(AND(AA529&lt;=$J244,AA529&gt;$K244),Tarification!$D$9,IF(AND(AA529&lt;=$K244,AA529&gt;0),Tarification!$D$10,0)))</f>
        <v>0</v>
      </c>
      <c r="AB819" s="37">
        <f>IF(AND(AB529&lt;=$I244,AB529&gt;$J244),Tarification!$D$8,IF(AND(AB529&lt;=$J244,AB529&gt;$K244),Tarification!$D$9,IF(AND(AB529&lt;=$K244,AB529&gt;0),Tarification!$D$10,0)))</f>
        <v>0</v>
      </c>
      <c r="AC819" s="37">
        <f>IF(AND(AC529&lt;=$I244,AC529&gt;$J244),Tarification!$D$8,IF(AND(AC529&lt;=$J244,AC529&gt;$K244),Tarification!$D$9,IF(AND(AC529&lt;=$K244,AC529&gt;0),Tarification!$D$10,0)))</f>
        <v>0</v>
      </c>
      <c r="AD819" s="37">
        <f>IF(AND(AD529&lt;=$I244,AD529&gt;$J244),Tarification!$D$8,IF(AND(AD529&lt;=$J244,AD529&gt;$K244),Tarification!$D$9,IF(AND(AD529&lt;=$K244,AD529&gt;0),Tarification!$D$10,0)))</f>
        <v>50000</v>
      </c>
      <c r="AE819" s="37">
        <f>IF(AND(AE529&lt;=$I244,AE529&gt;$J244),Tarification!$D$8,IF(AND(AE529&lt;=$J244,AE529&gt;$K244),Tarification!$D$9,IF(AND(AE529&lt;=$K244,AE529&gt;0),Tarification!$D$10,0)))</f>
        <v>0</v>
      </c>
      <c r="AF819" s="37">
        <f>IF(AND(AF529&lt;=$I244,AF529&gt;$J244),Tarification!$D$8,IF(AND(AF529&lt;=$J244,AF529&gt;$K244),Tarification!$D$9,IF(AND(AF529&lt;=$K244,AF529&gt;0),Tarification!$D$10,0)))</f>
        <v>0</v>
      </c>
      <c r="AG819" s="37">
        <f>IF(AND(AG529&lt;=$I244,AG529&gt;$J244),Tarification!$D$8,IF(AND(AG529&lt;=$J244,AG529&gt;$K244),Tarification!$D$9,IF(AND(AG529&lt;=$K244,AG529&gt;0),Tarification!$D$10,0)))</f>
        <v>0</v>
      </c>
      <c r="AH819" s="37">
        <f>IF(AND(AH529&lt;=$I244,AH529&gt;$J244),Tarification!$D$8,IF(AND(AH529&lt;=$J244,AH529&gt;$K244),Tarification!$D$9,IF(AND(AH529&lt;=$K244,AH529&gt;0),Tarification!$D$10,0)))</f>
        <v>0</v>
      </c>
      <c r="AI819" s="37">
        <f>IF(AND(AI529&lt;=$I244,AI529&gt;$J244),Tarification!$D$8,IF(AND(AI529&lt;=$J244,AI529&gt;$K244),Tarification!$D$9,IF(AND(AI529&lt;=$K244,AI529&gt;0),Tarification!$D$10,0)))</f>
        <v>0</v>
      </c>
      <c r="AJ819" s="37">
        <f>IF(AND(AJ529&lt;=$I244,AJ529&gt;$J244),Tarification!$D$8,IF(AND(AJ529&lt;=$J244,AJ529&gt;$K244),Tarification!$D$9,IF(AND(AJ529&lt;=$K244,AJ529&gt;0),Tarification!$D$10,0)))</f>
        <v>50000</v>
      </c>
      <c r="AK819" s="37">
        <f>IF(AND(AK529&lt;=$I244,AK529&gt;$J244),Tarification!$D$8,IF(AND(AK529&lt;=$J244,AK529&gt;$K244),Tarification!$D$9,IF(AND(AK529&lt;=$K244,AK529&gt;0),Tarification!$D$10,0)))</f>
        <v>0</v>
      </c>
      <c r="AL819" s="37">
        <f>IF(AND(AL529&lt;=$I244,AL529&gt;$J244),Tarification!$D$8,IF(AND(AL529&lt;=$J244,AL529&gt;$K244),Tarification!$D$9,IF(AND(AL529&lt;=$K244,AL529&gt;0),Tarification!$D$10,0)))</f>
        <v>0</v>
      </c>
      <c r="AM819" s="37">
        <f>IF(AND(AM529&lt;=$I244,AM529&gt;$J244),Tarification!$D$8,IF(AND(AM529&lt;=$J244,AM529&gt;$K244),Tarification!$D$9,IF(AND(AM529&lt;=$K244,AM529&gt;0),Tarification!$D$10,0)))</f>
        <v>0</v>
      </c>
      <c r="AN819" s="37">
        <f>IF(AND(AN529&lt;=$I244,AN529&gt;$J244),Tarification!$D$8,IF(AND(AN529&lt;=$J244,AN529&gt;$K244),Tarification!$D$9,IF(AND(AN529&lt;=$K244,AN529&gt;0),Tarification!$D$10,0)))</f>
        <v>0</v>
      </c>
      <c r="AQ819" s="101">
        <f t="shared" si="151"/>
        <v>5263.1578947368425</v>
      </c>
    </row>
    <row r="820" spans="14:43" ht="15.6">
      <c r="N820" s="39" t="s">
        <v>27</v>
      </c>
      <c r="O820" s="39" t="s">
        <v>542</v>
      </c>
      <c r="P820" t="s">
        <v>839</v>
      </c>
      <c r="Q820" s="39"/>
      <c r="V820" s="37">
        <f>IF(AND(V530&lt;=$I245,V530&gt;$J245),Tarification!$D$8,IF(AND(V530&lt;=$J245,V530&gt;$K245),Tarification!$D$9,IF(AND(V530&lt;=$K245,V530&gt;0),Tarification!$D$10,0)))</f>
        <v>0</v>
      </c>
      <c r="W820" s="37">
        <f>IF(AND(W530&lt;=$I245,W530&gt;$J245),Tarification!$D$8,IF(AND(W530&lt;=$J245,W530&gt;$K245),Tarification!$D$9,IF(AND(W530&lt;=$K245,W530&gt;0),Tarification!$D$10,0)))</f>
        <v>50000</v>
      </c>
      <c r="X820" s="37">
        <f>IF(AND(X530&lt;=$I245,X530&gt;$J245),Tarification!$D$8,IF(AND(X530&lt;=$J245,X530&gt;$K245),Tarification!$D$9,IF(AND(X530&lt;=$K245,X530&gt;0),Tarification!$D$10,0)))</f>
        <v>0</v>
      </c>
      <c r="Y820" s="37">
        <f>IF(AND(Y530&lt;=$I245,Y530&gt;$J245),Tarification!$D$8,IF(AND(Y530&lt;=$J245,Y530&gt;$K245),Tarification!$D$9,IF(AND(Y530&lt;=$K245,Y530&gt;0),Tarification!$D$10,0)))</f>
        <v>0</v>
      </c>
      <c r="Z820" s="37">
        <f>IF(AND(Z530&lt;=$I245,Z530&gt;$J245),Tarification!$D$8,IF(AND(Z530&lt;=$J245,Z530&gt;$K245),Tarification!$D$9,IF(AND(Z530&lt;=$K245,Z530&gt;0),Tarification!$D$10,0)))</f>
        <v>50000</v>
      </c>
      <c r="AA820" s="37">
        <f>IF(AND(AA530&lt;=$I245,AA530&gt;$J245),Tarification!$D$8,IF(AND(AA530&lt;=$J245,AA530&gt;$K245),Tarification!$D$9,IF(AND(AA530&lt;=$K245,AA530&gt;0),Tarification!$D$10,0)))</f>
        <v>50000</v>
      </c>
      <c r="AB820" s="37">
        <f>IF(AND(AB530&lt;=$I245,AB530&gt;$J245),Tarification!$D$8,IF(AND(AB530&lt;=$J245,AB530&gt;$K245),Tarification!$D$9,IF(AND(AB530&lt;=$K245,AB530&gt;0),Tarification!$D$10,0)))</f>
        <v>0</v>
      </c>
      <c r="AC820" s="37">
        <f>IF(AND(AC530&lt;=$I245,AC530&gt;$J245),Tarification!$D$8,IF(AND(AC530&lt;=$J245,AC530&gt;$K245),Tarification!$D$9,IF(AND(AC530&lt;=$K245,AC530&gt;0),Tarification!$D$10,0)))</f>
        <v>0</v>
      </c>
      <c r="AD820" s="37">
        <f>IF(AND(AD530&lt;=$I245,AD530&gt;$J245),Tarification!$D$8,IF(AND(AD530&lt;=$J245,AD530&gt;$K245),Tarification!$D$9,IF(AND(AD530&lt;=$K245,AD530&gt;0),Tarification!$D$10,0)))</f>
        <v>50000</v>
      </c>
      <c r="AE820" s="37">
        <f>IF(AND(AE530&lt;=$I245,AE530&gt;$J245),Tarification!$D$8,IF(AND(AE530&lt;=$J245,AE530&gt;$K245),Tarification!$D$9,IF(AND(AE530&lt;=$K245,AE530&gt;0),Tarification!$D$10,0)))</f>
        <v>50000</v>
      </c>
      <c r="AF820" s="37">
        <f>IF(AND(AF530&lt;=$I245,AF530&gt;$J245),Tarification!$D$8,IF(AND(AF530&lt;=$J245,AF530&gt;$K245),Tarification!$D$9,IF(AND(AF530&lt;=$K245,AF530&gt;0),Tarification!$D$10,0)))</f>
        <v>50000</v>
      </c>
      <c r="AG820" s="37">
        <f>IF(AND(AG530&lt;=$I245,AG530&gt;$J245),Tarification!$D$8,IF(AND(AG530&lt;=$J245,AG530&gt;$K245),Tarification!$D$9,IF(AND(AG530&lt;=$K245,AG530&gt;0),Tarification!$D$10,0)))</f>
        <v>0</v>
      </c>
      <c r="AH820" s="37">
        <f>IF(AND(AH530&lt;=$I245,AH530&gt;$J245),Tarification!$D$8,IF(AND(AH530&lt;=$J245,AH530&gt;$K245),Tarification!$D$9,IF(AND(AH530&lt;=$K245,AH530&gt;0),Tarification!$D$10,0)))</f>
        <v>0</v>
      </c>
      <c r="AI820" s="37">
        <f>IF(AND(AI530&lt;=$I245,AI530&gt;$J245),Tarification!$D$8,IF(AND(AI530&lt;=$J245,AI530&gt;$K245),Tarification!$D$9,IF(AND(AI530&lt;=$K245,AI530&gt;0),Tarification!$D$10,0)))</f>
        <v>0</v>
      </c>
      <c r="AJ820" s="37">
        <f>IF(AND(AJ530&lt;=$I245,AJ530&gt;$J245),Tarification!$D$8,IF(AND(AJ530&lt;=$J245,AJ530&gt;$K245),Tarification!$D$9,IF(AND(AJ530&lt;=$K245,AJ530&gt;0),Tarification!$D$10,0)))</f>
        <v>0</v>
      </c>
      <c r="AK820" s="37">
        <f>IF(AND(AK530&lt;=$I245,AK530&gt;$J245),Tarification!$D$8,IF(AND(AK530&lt;=$J245,AK530&gt;$K245),Tarification!$D$9,IF(AND(AK530&lt;=$K245,AK530&gt;0),Tarification!$D$10,0)))</f>
        <v>0</v>
      </c>
      <c r="AL820" s="37">
        <f>IF(AND(AL530&lt;=$I245,AL530&gt;$J245),Tarification!$D$8,IF(AND(AL530&lt;=$J245,AL530&gt;$K245),Tarification!$D$9,IF(AND(AL530&lt;=$K245,AL530&gt;0),Tarification!$D$10,0)))</f>
        <v>0</v>
      </c>
      <c r="AM820" s="37">
        <f>IF(AND(AM530&lt;=$I245,AM530&gt;$J245),Tarification!$D$8,IF(AND(AM530&lt;=$J245,AM530&gt;$K245),Tarification!$D$9,IF(AND(AM530&lt;=$K245,AM530&gt;0),Tarification!$D$10,0)))</f>
        <v>0</v>
      </c>
      <c r="AN820" s="37">
        <f>IF(AND(AN530&lt;=$I245,AN530&gt;$J245),Tarification!$D$8,IF(AND(AN530&lt;=$J245,AN530&gt;$K245),Tarification!$D$9,IF(AND(AN530&lt;=$K245,AN530&gt;0),Tarification!$D$10,0)))</f>
        <v>50000</v>
      </c>
      <c r="AQ820" s="101">
        <f t="shared" si="151"/>
        <v>18421.052631578947</v>
      </c>
    </row>
    <row r="821" spans="14:43" ht="15.6">
      <c r="N821" s="39" t="s">
        <v>27</v>
      </c>
      <c r="O821" s="39" t="s">
        <v>179</v>
      </c>
      <c r="P821" t="s">
        <v>840</v>
      </c>
      <c r="Q821" s="39"/>
      <c r="V821" s="37">
        <f>IF(AND(V531&lt;=$I246,V531&gt;$J246),Tarification!$D$8,IF(AND(V531&lt;=$J246,V531&gt;$K246),Tarification!$D$9,IF(AND(V531&lt;=$K246,V531&gt;0),Tarification!$D$10,0)))</f>
        <v>0</v>
      </c>
      <c r="W821" s="37">
        <f>IF(AND(W531&lt;=$I246,W531&gt;$J246),Tarification!$D$8,IF(AND(W531&lt;=$J246,W531&gt;$K246),Tarification!$D$9,IF(AND(W531&lt;=$K246,W531&gt;0),Tarification!$D$10,0)))</f>
        <v>0</v>
      </c>
      <c r="X821" s="37">
        <f>IF(AND(X531&lt;=$I246,X531&gt;$J246),Tarification!$D$8,IF(AND(X531&lt;=$J246,X531&gt;$K246),Tarification!$D$9,IF(AND(X531&lt;=$K246,X531&gt;0),Tarification!$D$10,0)))</f>
        <v>0</v>
      </c>
      <c r="Y821" s="37">
        <f>IF(AND(Y531&lt;=$I246,Y531&gt;$J246),Tarification!$D$8,IF(AND(Y531&lt;=$J246,Y531&gt;$K246),Tarification!$D$9,IF(AND(Y531&lt;=$K246,Y531&gt;0),Tarification!$D$10,0)))</f>
        <v>0</v>
      </c>
      <c r="Z821" s="37">
        <f>IF(AND(Z531&lt;=$I246,Z531&gt;$J246),Tarification!$D$8,IF(AND(Z531&lt;=$J246,Z531&gt;$K246),Tarification!$D$9,IF(AND(Z531&lt;=$K246,Z531&gt;0),Tarification!$D$10,0)))</f>
        <v>0</v>
      </c>
      <c r="AA821" s="37">
        <f>IF(AND(AA531&lt;=$I246,AA531&gt;$J246),Tarification!$D$8,IF(AND(AA531&lt;=$J246,AA531&gt;$K246),Tarification!$D$9,IF(AND(AA531&lt;=$K246,AA531&gt;0),Tarification!$D$10,0)))</f>
        <v>0</v>
      </c>
      <c r="AB821" s="37">
        <f>IF(AND(AB531&lt;=$I246,AB531&gt;$J246),Tarification!$D$8,IF(AND(AB531&lt;=$J246,AB531&gt;$K246),Tarification!$D$9,IF(AND(AB531&lt;=$K246,AB531&gt;0),Tarification!$D$10,0)))</f>
        <v>0</v>
      </c>
      <c r="AC821" s="37">
        <f>IF(AND(AC531&lt;=$I246,AC531&gt;$J246),Tarification!$D$8,IF(AND(AC531&lt;=$J246,AC531&gt;$K246),Tarification!$D$9,IF(AND(AC531&lt;=$K246,AC531&gt;0),Tarification!$D$10,0)))</f>
        <v>0</v>
      </c>
      <c r="AD821" s="37">
        <f>IF(AND(AD531&lt;=$I246,AD531&gt;$J246),Tarification!$D$8,IF(AND(AD531&lt;=$J246,AD531&gt;$K246),Tarification!$D$9,IF(AND(AD531&lt;=$K246,AD531&gt;0),Tarification!$D$10,0)))</f>
        <v>0</v>
      </c>
      <c r="AE821" s="37">
        <f>IF(AND(AE531&lt;=$I246,AE531&gt;$J246),Tarification!$D$8,IF(AND(AE531&lt;=$J246,AE531&gt;$K246),Tarification!$D$9,IF(AND(AE531&lt;=$K246,AE531&gt;0),Tarification!$D$10,0)))</f>
        <v>0</v>
      </c>
      <c r="AF821" s="37">
        <f>IF(AND(AF531&lt;=$I246,AF531&gt;$J246),Tarification!$D$8,IF(AND(AF531&lt;=$J246,AF531&gt;$K246),Tarification!$D$9,IF(AND(AF531&lt;=$K246,AF531&gt;0),Tarification!$D$10,0)))</f>
        <v>0</v>
      </c>
      <c r="AG821" s="37">
        <f>IF(AND(AG531&lt;=$I246,AG531&gt;$J246),Tarification!$D$8,IF(AND(AG531&lt;=$J246,AG531&gt;$K246),Tarification!$D$9,IF(AND(AG531&lt;=$K246,AG531&gt;0),Tarification!$D$10,0)))</f>
        <v>0</v>
      </c>
      <c r="AH821" s="37">
        <f>IF(AND(AH531&lt;=$I246,AH531&gt;$J246),Tarification!$D$8,IF(AND(AH531&lt;=$J246,AH531&gt;$K246),Tarification!$D$9,IF(AND(AH531&lt;=$K246,AH531&gt;0),Tarification!$D$10,0)))</f>
        <v>0</v>
      </c>
      <c r="AI821" s="37">
        <f>IF(AND(AI531&lt;=$I246,AI531&gt;$J246),Tarification!$D$8,IF(AND(AI531&lt;=$J246,AI531&gt;$K246),Tarification!$D$9,IF(AND(AI531&lt;=$K246,AI531&gt;0),Tarification!$D$10,0)))</f>
        <v>0</v>
      </c>
      <c r="AJ821" s="37">
        <f>IF(AND(AJ531&lt;=$I246,AJ531&gt;$J246),Tarification!$D$8,IF(AND(AJ531&lt;=$J246,AJ531&gt;$K246),Tarification!$D$9,IF(AND(AJ531&lt;=$K246,AJ531&gt;0),Tarification!$D$10,0)))</f>
        <v>0</v>
      </c>
      <c r="AK821" s="37">
        <f>IF(AND(AK531&lt;=$I246,AK531&gt;$J246),Tarification!$D$8,IF(AND(AK531&lt;=$J246,AK531&gt;$K246),Tarification!$D$9,IF(AND(AK531&lt;=$K246,AK531&gt;0),Tarification!$D$10,0)))</f>
        <v>0</v>
      </c>
      <c r="AL821" s="37">
        <f>IF(AND(AL531&lt;=$I246,AL531&gt;$J246),Tarification!$D$8,IF(AND(AL531&lt;=$J246,AL531&gt;$K246),Tarification!$D$9,IF(AND(AL531&lt;=$K246,AL531&gt;0),Tarification!$D$10,0)))</f>
        <v>0</v>
      </c>
      <c r="AM821" s="37">
        <f>IF(AND(AM531&lt;=$I246,AM531&gt;$J246),Tarification!$D$8,IF(AND(AM531&lt;=$J246,AM531&gt;$K246),Tarification!$D$9,IF(AND(AM531&lt;=$K246,AM531&gt;0),Tarification!$D$10,0)))</f>
        <v>0</v>
      </c>
      <c r="AN821" s="37">
        <f>IF(AND(AN531&lt;=$I246,AN531&gt;$J246),Tarification!$D$8,IF(AND(AN531&lt;=$J246,AN531&gt;$K246),Tarification!$D$9,IF(AND(AN531&lt;=$K246,AN531&gt;0),Tarification!$D$10,0)))</f>
        <v>0</v>
      </c>
      <c r="AQ821" s="101">
        <f t="shared" si="151"/>
        <v>0</v>
      </c>
    </row>
    <row r="822" spans="14:43" ht="15.6">
      <c r="N822" s="39" t="s">
        <v>27</v>
      </c>
      <c r="O822" s="39" t="s">
        <v>566</v>
      </c>
      <c r="P822" t="s">
        <v>841</v>
      </c>
      <c r="Q822" s="39"/>
      <c r="V822" s="37">
        <f>IF(AND(V532&lt;=$I247,V532&gt;$J247),Tarification!$D$8,IF(AND(V532&lt;=$J247,V532&gt;$K247),Tarification!$D$9,IF(AND(V532&lt;=$K247,V532&gt;0),Tarification!$D$10,0)))</f>
        <v>0</v>
      </c>
      <c r="W822" s="37">
        <f>IF(AND(W532&lt;=$I247,W532&gt;$J247),Tarification!$D$8,IF(AND(W532&lt;=$J247,W532&gt;$K247),Tarification!$D$9,IF(AND(W532&lt;=$K247,W532&gt;0),Tarification!$D$10,0)))</f>
        <v>0</v>
      </c>
      <c r="X822" s="37">
        <f>IF(AND(X532&lt;=$I247,X532&gt;$J247),Tarification!$D$8,IF(AND(X532&lt;=$J247,X532&gt;$K247),Tarification!$D$9,IF(AND(X532&lt;=$K247,X532&gt;0),Tarification!$D$10,0)))</f>
        <v>0</v>
      </c>
      <c r="Y822" s="37">
        <f>IF(AND(Y532&lt;=$I247,Y532&gt;$J247),Tarification!$D$8,IF(AND(Y532&lt;=$J247,Y532&gt;$K247),Tarification!$D$9,IF(AND(Y532&lt;=$K247,Y532&gt;0),Tarification!$D$10,0)))</f>
        <v>0</v>
      </c>
      <c r="Z822" s="37">
        <f>IF(AND(Z532&lt;=$I247,Z532&gt;$J247),Tarification!$D$8,IF(AND(Z532&lt;=$J247,Z532&gt;$K247),Tarification!$D$9,IF(AND(Z532&lt;=$K247,Z532&gt;0),Tarification!$D$10,0)))</f>
        <v>0</v>
      </c>
      <c r="AA822" s="37">
        <f>IF(AND(AA532&lt;=$I247,AA532&gt;$J247),Tarification!$D$8,IF(AND(AA532&lt;=$J247,AA532&gt;$K247),Tarification!$D$9,IF(AND(AA532&lt;=$K247,AA532&gt;0),Tarification!$D$10,0)))</f>
        <v>0</v>
      </c>
      <c r="AB822" s="37">
        <f>IF(AND(AB532&lt;=$I247,AB532&gt;$J247),Tarification!$D$8,IF(AND(AB532&lt;=$J247,AB532&gt;$K247),Tarification!$D$9,IF(AND(AB532&lt;=$K247,AB532&gt;0),Tarification!$D$10,0)))</f>
        <v>0</v>
      </c>
      <c r="AC822" s="37">
        <f>IF(AND(AC532&lt;=$I247,AC532&gt;$J247),Tarification!$D$8,IF(AND(AC532&lt;=$J247,AC532&gt;$K247),Tarification!$D$9,IF(AND(AC532&lt;=$K247,AC532&gt;0),Tarification!$D$10,0)))</f>
        <v>0</v>
      </c>
      <c r="AD822" s="37">
        <f>IF(AND(AD532&lt;=$I247,AD532&gt;$J247),Tarification!$D$8,IF(AND(AD532&lt;=$J247,AD532&gt;$K247),Tarification!$D$9,IF(AND(AD532&lt;=$K247,AD532&gt;0),Tarification!$D$10,0)))</f>
        <v>0</v>
      </c>
      <c r="AE822" s="37">
        <f>IF(AND(AE532&lt;=$I247,AE532&gt;$J247),Tarification!$D$8,IF(AND(AE532&lt;=$J247,AE532&gt;$K247),Tarification!$D$9,IF(AND(AE532&lt;=$K247,AE532&gt;0),Tarification!$D$10,0)))</f>
        <v>0</v>
      </c>
      <c r="AF822" s="37">
        <f>IF(AND(AF532&lt;=$I247,AF532&gt;$J247),Tarification!$D$8,IF(AND(AF532&lt;=$J247,AF532&gt;$K247),Tarification!$D$9,IF(AND(AF532&lt;=$K247,AF532&gt;0),Tarification!$D$10,0)))</f>
        <v>0</v>
      </c>
      <c r="AG822" s="37">
        <f>IF(AND(AG532&lt;=$I247,AG532&gt;$J247),Tarification!$D$8,IF(AND(AG532&lt;=$J247,AG532&gt;$K247),Tarification!$D$9,IF(AND(AG532&lt;=$K247,AG532&gt;0),Tarification!$D$10,0)))</f>
        <v>0</v>
      </c>
      <c r="AH822" s="37">
        <f>IF(AND(AH532&lt;=$I247,AH532&gt;$J247),Tarification!$D$8,IF(AND(AH532&lt;=$J247,AH532&gt;$K247),Tarification!$D$9,IF(AND(AH532&lt;=$K247,AH532&gt;0),Tarification!$D$10,0)))</f>
        <v>0</v>
      </c>
      <c r="AI822" s="37">
        <f>IF(AND(AI532&lt;=$I247,AI532&gt;$J247),Tarification!$D$8,IF(AND(AI532&lt;=$J247,AI532&gt;$K247),Tarification!$D$9,IF(AND(AI532&lt;=$K247,AI532&gt;0),Tarification!$D$10,0)))</f>
        <v>0</v>
      </c>
      <c r="AJ822" s="37">
        <f>IF(AND(AJ532&lt;=$I247,AJ532&gt;$J247),Tarification!$D$8,IF(AND(AJ532&lt;=$J247,AJ532&gt;$K247),Tarification!$D$9,IF(AND(AJ532&lt;=$K247,AJ532&gt;0),Tarification!$D$10,0)))</f>
        <v>0</v>
      </c>
      <c r="AK822" s="37">
        <f>IF(AND(AK532&lt;=$I247,AK532&gt;$J247),Tarification!$D$8,IF(AND(AK532&lt;=$J247,AK532&gt;$K247),Tarification!$D$9,IF(AND(AK532&lt;=$K247,AK532&gt;0),Tarification!$D$10,0)))</f>
        <v>0</v>
      </c>
      <c r="AL822" s="37">
        <f>IF(AND(AL532&lt;=$I247,AL532&gt;$J247),Tarification!$D$8,IF(AND(AL532&lt;=$J247,AL532&gt;$K247),Tarification!$D$9,IF(AND(AL532&lt;=$K247,AL532&gt;0),Tarification!$D$10,0)))</f>
        <v>0</v>
      </c>
      <c r="AM822" s="37">
        <f>IF(AND(AM532&lt;=$I247,AM532&gt;$J247),Tarification!$D$8,IF(AND(AM532&lt;=$J247,AM532&gt;$K247),Tarification!$D$9,IF(AND(AM532&lt;=$K247,AM532&gt;0),Tarification!$D$10,0)))</f>
        <v>0</v>
      </c>
      <c r="AN822" s="37">
        <f>IF(AND(AN532&lt;=$I247,AN532&gt;$J247),Tarification!$D$8,IF(AND(AN532&lt;=$J247,AN532&gt;$K247),Tarification!$D$9,IF(AND(AN532&lt;=$K247,AN532&gt;0),Tarification!$D$10,0)))</f>
        <v>0</v>
      </c>
      <c r="AQ822" s="101">
        <f t="shared" si="151"/>
        <v>0</v>
      </c>
    </row>
    <row r="823" spans="14:43" ht="15.6">
      <c r="N823" s="39" t="s">
        <v>27</v>
      </c>
      <c r="O823" s="39" t="s">
        <v>166</v>
      </c>
      <c r="P823" t="s">
        <v>842</v>
      </c>
      <c r="Q823" s="39"/>
      <c r="V823" s="37">
        <f>IF(AND(V533&lt;=$I248,V533&gt;$J248),Tarification!$D$8,IF(AND(V533&lt;=$J248,V533&gt;$K248),Tarification!$D$9,IF(AND(V533&lt;=$K248,V533&gt;0),Tarification!$D$10,0)))</f>
        <v>0</v>
      </c>
      <c r="W823" s="37">
        <f>IF(AND(W533&lt;=$I248,W533&gt;$J248),Tarification!$D$8,IF(AND(W533&lt;=$J248,W533&gt;$K248),Tarification!$D$9,IF(AND(W533&lt;=$K248,W533&gt;0),Tarification!$D$10,0)))</f>
        <v>0</v>
      </c>
      <c r="X823" s="37">
        <f>IF(AND(X533&lt;=$I248,X533&gt;$J248),Tarification!$D$8,IF(AND(X533&lt;=$J248,X533&gt;$K248),Tarification!$D$9,IF(AND(X533&lt;=$K248,X533&gt;0),Tarification!$D$10,0)))</f>
        <v>0</v>
      </c>
      <c r="Y823" s="37">
        <f>IF(AND(Y533&lt;=$I248,Y533&gt;$J248),Tarification!$D$8,IF(AND(Y533&lt;=$J248,Y533&gt;$K248),Tarification!$D$9,IF(AND(Y533&lt;=$K248,Y533&gt;0),Tarification!$D$10,0)))</f>
        <v>0</v>
      </c>
      <c r="Z823" s="37">
        <f>IF(AND(Z533&lt;=$I248,Z533&gt;$J248),Tarification!$D$8,IF(AND(Z533&lt;=$J248,Z533&gt;$K248),Tarification!$D$9,IF(AND(Z533&lt;=$K248,Z533&gt;0),Tarification!$D$10,0)))</f>
        <v>0</v>
      </c>
      <c r="AA823" s="37">
        <f>IF(AND(AA533&lt;=$I248,AA533&gt;$J248),Tarification!$D$8,IF(AND(AA533&lt;=$J248,AA533&gt;$K248),Tarification!$D$9,IF(AND(AA533&lt;=$K248,AA533&gt;0),Tarification!$D$10,0)))</f>
        <v>0</v>
      </c>
      <c r="AB823" s="37">
        <f>IF(AND(AB533&lt;=$I248,AB533&gt;$J248),Tarification!$D$8,IF(AND(AB533&lt;=$J248,AB533&gt;$K248),Tarification!$D$9,IF(AND(AB533&lt;=$K248,AB533&gt;0),Tarification!$D$10,0)))</f>
        <v>0</v>
      </c>
      <c r="AC823" s="37">
        <f>IF(AND(AC533&lt;=$I248,AC533&gt;$J248),Tarification!$D$8,IF(AND(AC533&lt;=$J248,AC533&gt;$K248),Tarification!$D$9,IF(AND(AC533&lt;=$K248,AC533&gt;0),Tarification!$D$10,0)))</f>
        <v>0</v>
      </c>
      <c r="AD823" s="37">
        <f>IF(AND(AD533&lt;=$I248,AD533&gt;$J248),Tarification!$D$8,IF(AND(AD533&lt;=$J248,AD533&gt;$K248),Tarification!$D$9,IF(AND(AD533&lt;=$K248,AD533&gt;0),Tarification!$D$10,0)))</f>
        <v>0</v>
      </c>
      <c r="AE823" s="37">
        <f>IF(AND(AE533&lt;=$I248,AE533&gt;$J248),Tarification!$D$8,IF(AND(AE533&lt;=$J248,AE533&gt;$K248),Tarification!$D$9,IF(AND(AE533&lt;=$K248,AE533&gt;0),Tarification!$D$10,0)))</f>
        <v>0</v>
      </c>
      <c r="AF823" s="37">
        <f>IF(AND(AF533&lt;=$I248,AF533&gt;$J248),Tarification!$D$8,IF(AND(AF533&lt;=$J248,AF533&gt;$K248),Tarification!$D$9,IF(AND(AF533&lt;=$K248,AF533&gt;0),Tarification!$D$10,0)))</f>
        <v>0</v>
      </c>
      <c r="AG823" s="37">
        <f>IF(AND(AG533&lt;=$I248,AG533&gt;$J248),Tarification!$D$8,IF(AND(AG533&lt;=$J248,AG533&gt;$K248),Tarification!$D$9,IF(AND(AG533&lt;=$K248,AG533&gt;0),Tarification!$D$10,0)))</f>
        <v>0</v>
      </c>
      <c r="AH823" s="37">
        <f>IF(AND(AH533&lt;=$I248,AH533&gt;$J248),Tarification!$D$8,IF(AND(AH533&lt;=$J248,AH533&gt;$K248),Tarification!$D$9,IF(AND(AH533&lt;=$K248,AH533&gt;0),Tarification!$D$10,0)))</f>
        <v>0</v>
      </c>
      <c r="AI823" s="37">
        <f>IF(AND(AI533&lt;=$I248,AI533&gt;$J248),Tarification!$D$8,IF(AND(AI533&lt;=$J248,AI533&gt;$K248),Tarification!$D$9,IF(AND(AI533&lt;=$K248,AI533&gt;0),Tarification!$D$10,0)))</f>
        <v>0</v>
      </c>
      <c r="AJ823" s="37">
        <f>IF(AND(AJ533&lt;=$I248,AJ533&gt;$J248),Tarification!$D$8,IF(AND(AJ533&lt;=$J248,AJ533&gt;$K248),Tarification!$D$9,IF(AND(AJ533&lt;=$K248,AJ533&gt;0),Tarification!$D$10,0)))</f>
        <v>0</v>
      </c>
      <c r="AK823" s="37">
        <f>IF(AND(AK533&lt;=$I248,AK533&gt;$J248),Tarification!$D$8,IF(AND(AK533&lt;=$J248,AK533&gt;$K248),Tarification!$D$9,IF(AND(AK533&lt;=$K248,AK533&gt;0),Tarification!$D$10,0)))</f>
        <v>0</v>
      </c>
      <c r="AL823" s="37">
        <f>IF(AND(AL533&lt;=$I248,AL533&gt;$J248),Tarification!$D$8,IF(AND(AL533&lt;=$J248,AL533&gt;$K248),Tarification!$D$9,IF(AND(AL533&lt;=$K248,AL533&gt;0),Tarification!$D$10,0)))</f>
        <v>0</v>
      </c>
      <c r="AM823" s="37">
        <f>IF(AND(AM533&lt;=$I248,AM533&gt;$J248),Tarification!$D$8,IF(AND(AM533&lt;=$J248,AM533&gt;$K248),Tarification!$D$9,IF(AND(AM533&lt;=$K248,AM533&gt;0),Tarification!$D$10,0)))</f>
        <v>0</v>
      </c>
      <c r="AN823" s="37">
        <f>IF(AND(AN533&lt;=$I248,AN533&gt;$J248),Tarification!$D$8,IF(AND(AN533&lt;=$J248,AN533&gt;$K248),Tarification!$D$9,IF(AND(AN533&lt;=$K248,AN533&gt;0),Tarification!$D$10,0)))</f>
        <v>0</v>
      </c>
      <c r="AQ823" s="101">
        <f t="shared" si="151"/>
        <v>0</v>
      </c>
    </row>
    <row r="824" spans="14:43" ht="15.6">
      <c r="N824" s="39" t="s">
        <v>27</v>
      </c>
      <c r="O824" s="39" t="s">
        <v>177</v>
      </c>
      <c r="P824" t="s">
        <v>843</v>
      </c>
      <c r="Q824" s="39"/>
      <c r="V824" s="37">
        <f>IF(AND(V534&lt;=$I249,V534&gt;$J249),Tarification!$D$8,IF(AND(V534&lt;=$J249,V534&gt;$K249),Tarification!$D$9,IF(AND(V534&lt;=$K249,V534&gt;0),Tarification!$D$10,0)))</f>
        <v>0</v>
      </c>
      <c r="W824" s="37">
        <f>IF(AND(W534&lt;=$I249,W534&gt;$J249),Tarification!$D$8,IF(AND(W534&lt;=$J249,W534&gt;$K249),Tarification!$D$9,IF(AND(W534&lt;=$K249,W534&gt;0),Tarification!$D$10,0)))</f>
        <v>0</v>
      </c>
      <c r="X824" s="37">
        <f>IF(AND(X534&lt;=$I249,X534&gt;$J249),Tarification!$D$8,IF(AND(X534&lt;=$J249,X534&gt;$K249),Tarification!$D$9,IF(AND(X534&lt;=$K249,X534&gt;0),Tarification!$D$10,0)))</f>
        <v>0</v>
      </c>
      <c r="Y824" s="37">
        <f>IF(AND(Y534&lt;=$I249,Y534&gt;$J249),Tarification!$D$8,IF(AND(Y534&lt;=$J249,Y534&gt;$K249),Tarification!$D$9,IF(AND(Y534&lt;=$K249,Y534&gt;0),Tarification!$D$10,0)))</f>
        <v>0</v>
      </c>
      <c r="Z824" s="37">
        <f>IF(AND(Z534&lt;=$I249,Z534&gt;$J249),Tarification!$D$8,IF(AND(Z534&lt;=$J249,Z534&gt;$K249),Tarification!$D$9,IF(AND(Z534&lt;=$K249,Z534&gt;0),Tarification!$D$10,0)))</f>
        <v>0</v>
      </c>
      <c r="AA824" s="37">
        <f>IF(AND(AA534&lt;=$I249,AA534&gt;$J249),Tarification!$D$8,IF(AND(AA534&lt;=$J249,AA534&gt;$K249),Tarification!$D$9,IF(AND(AA534&lt;=$K249,AA534&gt;0),Tarification!$D$10,0)))</f>
        <v>0</v>
      </c>
      <c r="AB824" s="37">
        <f>IF(AND(AB534&lt;=$I249,AB534&gt;$J249),Tarification!$D$8,IF(AND(AB534&lt;=$J249,AB534&gt;$K249),Tarification!$D$9,IF(AND(AB534&lt;=$K249,AB534&gt;0),Tarification!$D$10,0)))</f>
        <v>0</v>
      </c>
      <c r="AC824" s="37">
        <f>IF(AND(AC534&lt;=$I249,AC534&gt;$J249),Tarification!$D$8,IF(AND(AC534&lt;=$J249,AC534&gt;$K249),Tarification!$D$9,IF(AND(AC534&lt;=$K249,AC534&gt;0),Tarification!$D$10,0)))</f>
        <v>0</v>
      </c>
      <c r="AD824" s="37">
        <f>IF(AND(AD534&lt;=$I249,AD534&gt;$J249),Tarification!$D$8,IF(AND(AD534&lt;=$J249,AD534&gt;$K249),Tarification!$D$9,IF(AND(AD534&lt;=$K249,AD534&gt;0),Tarification!$D$10,0)))</f>
        <v>0</v>
      </c>
      <c r="AE824" s="37">
        <f>IF(AND(AE534&lt;=$I249,AE534&gt;$J249),Tarification!$D$8,IF(AND(AE534&lt;=$J249,AE534&gt;$K249),Tarification!$D$9,IF(AND(AE534&lt;=$K249,AE534&gt;0),Tarification!$D$10,0)))</f>
        <v>0</v>
      </c>
      <c r="AF824" s="37">
        <f>IF(AND(AF534&lt;=$I249,AF534&gt;$J249),Tarification!$D$8,IF(AND(AF534&lt;=$J249,AF534&gt;$K249),Tarification!$D$9,IF(AND(AF534&lt;=$K249,AF534&gt;0),Tarification!$D$10,0)))</f>
        <v>0</v>
      </c>
      <c r="AG824" s="37">
        <f>IF(AND(AG534&lt;=$I249,AG534&gt;$J249),Tarification!$D$8,IF(AND(AG534&lt;=$J249,AG534&gt;$K249),Tarification!$D$9,IF(AND(AG534&lt;=$K249,AG534&gt;0),Tarification!$D$10,0)))</f>
        <v>0</v>
      </c>
      <c r="AH824" s="37">
        <f>IF(AND(AH534&lt;=$I249,AH534&gt;$J249),Tarification!$D$8,IF(AND(AH534&lt;=$J249,AH534&gt;$K249),Tarification!$D$9,IF(AND(AH534&lt;=$K249,AH534&gt;0),Tarification!$D$10,0)))</f>
        <v>0</v>
      </c>
      <c r="AI824" s="37">
        <f>IF(AND(AI534&lt;=$I249,AI534&gt;$J249),Tarification!$D$8,IF(AND(AI534&lt;=$J249,AI534&gt;$K249),Tarification!$D$9,IF(AND(AI534&lt;=$K249,AI534&gt;0),Tarification!$D$10,0)))</f>
        <v>0</v>
      </c>
      <c r="AJ824" s="37">
        <f>IF(AND(AJ534&lt;=$I249,AJ534&gt;$J249),Tarification!$D$8,IF(AND(AJ534&lt;=$J249,AJ534&gt;$K249),Tarification!$D$9,IF(AND(AJ534&lt;=$K249,AJ534&gt;0),Tarification!$D$10,0)))</f>
        <v>0</v>
      </c>
      <c r="AK824" s="37">
        <f>IF(AND(AK534&lt;=$I249,AK534&gt;$J249),Tarification!$D$8,IF(AND(AK534&lt;=$J249,AK534&gt;$K249),Tarification!$D$9,IF(AND(AK534&lt;=$K249,AK534&gt;0),Tarification!$D$10,0)))</f>
        <v>0</v>
      </c>
      <c r="AL824" s="37">
        <f>IF(AND(AL534&lt;=$I249,AL534&gt;$J249),Tarification!$D$8,IF(AND(AL534&lt;=$J249,AL534&gt;$K249),Tarification!$D$9,IF(AND(AL534&lt;=$K249,AL534&gt;0),Tarification!$D$10,0)))</f>
        <v>0</v>
      </c>
      <c r="AM824" s="37">
        <f>IF(AND(AM534&lt;=$I249,AM534&gt;$J249),Tarification!$D$8,IF(AND(AM534&lt;=$J249,AM534&gt;$K249),Tarification!$D$9,IF(AND(AM534&lt;=$K249,AM534&gt;0),Tarification!$D$10,0)))</f>
        <v>0</v>
      </c>
      <c r="AN824" s="37">
        <f>IF(AND(AN534&lt;=$I249,AN534&gt;$J249),Tarification!$D$8,IF(AND(AN534&lt;=$J249,AN534&gt;$K249),Tarification!$D$9,IF(AND(AN534&lt;=$K249,AN534&gt;0),Tarification!$D$10,0)))</f>
        <v>0</v>
      </c>
      <c r="AQ824" s="101">
        <f t="shared" si="151"/>
        <v>0</v>
      </c>
    </row>
    <row r="825" spans="14:43" ht="15.6">
      <c r="N825" s="39" t="s">
        <v>26</v>
      </c>
      <c r="O825" s="39" t="s">
        <v>594</v>
      </c>
      <c r="P825" t="s">
        <v>708</v>
      </c>
      <c r="Q825" s="39"/>
      <c r="V825" s="37">
        <f>IF(AND(V535&lt;=$I250,V535&gt;$J250),Tarification!$D$8,IF(AND(V535&lt;=$J250,V535&gt;$K250),Tarification!$D$9,IF(AND(V535&lt;=$K250,V535&gt;0),Tarification!$D$10,0)))</f>
        <v>0</v>
      </c>
      <c r="W825" s="37">
        <f>IF(AND(W535&lt;=$I250,W535&gt;$J250),Tarification!$D$8,IF(AND(W535&lt;=$J250,W535&gt;$K250),Tarification!$D$9,IF(AND(W535&lt;=$K250,W535&gt;0),Tarification!$D$10,0)))</f>
        <v>0</v>
      </c>
      <c r="X825" s="37">
        <f>IF(AND(X535&lt;=$I250,X535&gt;$J250),Tarification!$D$8,IF(AND(X535&lt;=$J250,X535&gt;$K250),Tarification!$D$9,IF(AND(X535&lt;=$K250,X535&gt;0),Tarification!$D$10,0)))</f>
        <v>0</v>
      </c>
      <c r="Y825" s="37">
        <f>IF(AND(Y535&lt;=$I250,Y535&gt;$J250),Tarification!$D$8,IF(AND(Y535&lt;=$J250,Y535&gt;$K250),Tarification!$D$9,IF(AND(Y535&lt;=$K250,Y535&gt;0),Tarification!$D$10,0)))</f>
        <v>0</v>
      </c>
      <c r="Z825" s="37">
        <f>IF(AND(Z535&lt;=$I250,Z535&gt;$J250),Tarification!$D$8,IF(AND(Z535&lt;=$J250,Z535&gt;$K250),Tarification!$D$9,IF(AND(Z535&lt;=$K250,Z535&gt;0),Tarification!$D$10,0)))</f>
        <v>0</v>
      </c>
      <c r="AA825" s="37">
        <f>IF(AND(AA535&lt;=$I250,AA535&gt;$J250),Tarification!$D$8,IF(AND(AA535&lt;=$J250,AA535&gt;$K250),Tarification!$D$9,IF(AND(AA535&lt;=$K250,AA535&gt;0),Tarification!$D$10,0)))</f>
        <v>0</v>
      </c>
      <c r="AB825" s="37">
        <f>IF(AND(AB535&lt;=$I250,AB535&gt;$J250),Tarification!$D$8,IF(AND(AB535&lt;=$J250,AB535&gt;$K250),Tarification!$D$9,IF(AND(AB535&lt;=$K250,AB535&gt;0),Tarification!$D$10,0)))</f>
        <v>0</v>
      </c>
      <c r="AC825" s="37">
        <f>IF(AND(AC535&lt;=$I250,AC535&gt;$J250),Tarification!$D$8,IF(AND(AC535&lt;=$J250,AC535&gt;$K250),Tarification!$D$9,IF(AND(AC535&lt;=$K250,AC535&gt;0),Tarification!$D$10,0)))</f>
        <v>125000</v>
      </c>
      <c r="AD825" s="37">
        <f>IF(AND(AD535&lt;=$I250,AD535&gt;$J250),Tarification!$D$8,IF(AND(AD535&lt;=$J250,AD535&gt;$K250),Tarification!$D$9,IF(AND(AD535&lt;=$K250,AD535&gt;0),Tarification!$D$10,0)))</f>
        <v>125000</v>
      </c>
      <c r="AE825" s="37">
        <f>IF(AND(AE535&lt;=$I250,AE535&gt;$J250),Tarification!$D$8,IF(AND(AE535&lt;=$J250,AE535&gt;$K250),Tarification!$D$9,IF(AND(AE535&lt;=$K250,AE535&gt;0),Tarification!$D$10,0)))</f>
        <v>250000</v>
      </c>
      <c r="AF825" s="37">
        <f>IF(AND(AF535&lt;=$I250,AF535&gt;$J250),Tarification!$D$8,IF(AND(AF535&lt;=$J250,AF535&gt;$K250),Tarification!$D$9,IF(AND(AF535&lt;=$K250,AF535&gt;0),Tarification!$D$10,0)))</f>
        <v>125000</v>
      </c>
      <c r="AG825" s="37">
        <f>IF(AND(AG535&lt;=$I250,AG535&gt;$J250),Tarification!$D$8,IF(AND(AG535&lt;=$J250,AG535&gt;$K250),Tarification!$D$9,IF(AND(AG535&lt;=$K250,AG535&gt;0),Tarification!$D$10,0)))</f>
        <v>0</v>
      </c>
      <c r="AH825" s="37">
        <f>IF(AND(AH535&lt;=$I250,AH535&gt;$J250),Tarification!$D$8,IF(AND(AH535&lt;=$J250,AH535&gt;$K250),Tarification!$D$9,IF(AND(AH535&lt;=$K250,AH535&gt;0),Tarification!$D$10,0)))</f>
        <v>0</v>
      </c>
      <c r="AI825" s="37">
        <f>IF(AND(AI535&lt;=$I250,AI535&gt;$J250),Tarification!$D$8,IF(AND(AI535&lt;=$J250,AI535&gt;$K250),Tarification!$D$9,IF(AND(AI535&lt;=$K250,AI535&gt;0),Tarification!$D$10,0)))</f>
        <v>0</v>
      </c>
      <c r="AJ825" s="37">
        <f>IF(AND(AJ535&lt;=$I250,AJ535&gt;$J250),Tarification!$D$8,IF(AND(AJ535&lt;=$J250,AJ535&gt;$K250),Tarification!$D$9,IF(AND(AJ535&lt;=$K250,AJ535&gt;0),Tarification!$D$10,0)))</f>
        <v>0</v>
      </c>
      <c r="AK825" s="37">
        <f>IF(AND(AK535&lt;=$I250,AK535&gt;$J250),Tarification!$D$8,IF(AND(AK535&lt;=$J250,AK535&gt;$K250),Tarification!$D$9,IF(AND(AK535&lt;=$K250,AK535&gt;0),Tarification!$D$10,0)))</f>
        <v>0</v>
      </c>
      <c r="AL825" s="37">
        <f>IF(AND(AL535&lt;=$I250,AL535&gt;$J250),Tarification!$D$8,IF(AND(AL535&lt;=$J250,AL535&gt;$K250),Tarification!$D$9,IF(AND(AL535&lt;=$K250,AL535&gt;0),Tarification!$D$10,0)))</f>
        <v>0</v>
      </c>
      <c r="AM825" s="37">
        <f>IF(AND(AM535&lt;=$I250,AM535&gt;$J250),Tarification!$D$8,IF(AND(AM535&lt;=$J250,AM535&gt;$K250),Tarification!$D$9,IF(AND(AM535&lt;=$K250,AM535&gt;0),Tarification!$D$10,0)))</f>
        <v>0</v>
      </c>
      <c r="AN825" s="37">
        <f>IF(AND(AN535&lt;=$I250,AN535&gt;$J250),Tarification!$D$8,IF(AND(AN535&lt;=$J250,AN535&gt;$K250),Tarification!$D$9,IF(AND(AN535&lt;=$K250,AN535&gt;0),Tarification!$D$10,0)))</f>
        <v>125000</v>
      </c>
      <c r="AQ825" s="101">
        <f t="shared" si="151"/>
        <v>39473.684210526313</v>
      </c>
    </row>
    <row r="826" spans="14:43" ht="15.6">
      <c r="N826" s="39" t="s">
        <v>27</v>
      </c>
      <c r="O826" s="39" t="s">
        <v>331</v>
      </c>
      <c r="P826" s="89" t="s">
        <v>337</v>
      </c>
      <c r="Q826" s="39"/>
      <c r="V826" s="37">
        <f>IF(AND(V536&lt;=$I251,V536&gt;$J251),Tarification!$D$8,IF(AND(V536&lt;=$J251,V536&gt;$K251),Tarification!$D$9,IF(AND(V536&lt;=$K251,V536&gt;0),Tarification!$D$10,0)))</f>
        <v>0</v>
      </c>
      <c r="W826" s="37">
        <f>IF(AND(W536&lt;=$I251,W536&gt;$J251),Tarification!$D$8,IF(AND(W536&lt;=$J251,W536&gt;$K251),Tarification!$D$9,IF(AND(W536&lt;=$K251,W536&gt;0),Tarification!$D$10,0)))</f>
        <v>0</v>
      </c>
      <c r="X826" s="37">
        <f>IF(AND(X536&lt;=$I251,X536&gt;$J251),Tarification!$D$8,IF(AND(X536&lt;=$J251,X536&gt;$K251),Tarification!$D$9,IF(AND(X536&lt;=$K251,X536&gt;0),Tarification!$D$10,0)))</f>
        <v>0</v>
      </c>
      <c r="Y826" s="37">
        <f>IF(AND(Y536&lt;=$I251,Y536&gt;$J251),Tarification!$D$8,IF(AND(Y536&lt;=$J251,Y536&gt;$K251),Tarification!$D$9,IF(AND(Y536&lt;=$K251,Y536&gt;0),Tarification!$D$10,0)))</f>
        <v>0</v>
      </c>
      <c r="Z826" s="37">
        <f>IF(AND(Z536&lt;=$I251,Z536&gt;$J251),Tarification!$D$8,IF(AND(Z536&lt;=$J251,Z536&gt;$K251),Tarification!$D$9,IF(AND(Z536&lt;=$K251,Z536&gt;0),Tarification!$D$10,0)))</f>
        <v>0</v>
      </c>
      <c r="AA826" s="37">
        <f>IF(AND(AA536&lt;=$I251,AA536&gt;$J251),Tarification!$D$8,IF(AND(AA536&lt;=$J251,AA536&gt;$K251),Tarification!$D$9,IF(AND(AA536&lt;=$K251,AA536&gt;0),Tarification!$D$10,0)))</f>
        <v>0</v>
      </c>
      <c r="AB826" s="37">
        <f>IF(AND(AB536&lt;=$I251,AB536&gt;$J251),Tarification!$D$8,IF(AND(AB536&lt;=$J251,AB536&gt;$K251),Tarification!$D$9,IF(AND(AB536&lt;=$K251,AB536&gt;0),Tarification!$D$10,0)))</f>
        <v>0</v>
      </c>
      <c r="AC826" s="37">
        <f>IF(AND(AC536&lt;=$I251,AC536&gt;$J251),Tarification!$D$8,IF(AND(AC536&lt;=$J251,AC536&gt;$K251),Tarification!$D$9,IF(AND(AC536&lt;=$K251,AC536&gt;0),Tarification!$D$10,0)))</f>
        <v>0</v>
      </c>
      <c r="AD826" s="37">
        <f>IF(AND(AD536&lt;=$I251,AD536&gt;$J251),Tarification!$D$8,IF(AND(AD536&lt;=$J251,AD536&gt;$K251),Tarification!$D$9,IF(AND(AD536&lt;=$K251,AD536&gt;0),Tarification!$D$10,0)))</f>
        <v>0</v>
      </c>
      <c r="AE826" s="37">
        <f>IF(AND(AE536&lt;=$I251,AE536&gt;$J251),Tarification!$D$8,IF(AND(AE536&lt;=$J251,AE536&gt;$K251),Tarification!$D$9,IF(AND(AE536&lt;=$K251,AE536&gt;0),Tarification!$D$10,0)))</f>
        <v>0</v>
      </c>
      <c r="AF826" s="37">
        <f>IF(AND(AF536&lt;=$I251,AF536&gt;$J251),Tarification!$D$8,IF(AND(AF536&lt;=$J251,AF536&gt;$K251),Tarification!$D$9,IF(AND(AF536&lt;=$K251,AF536&gt;0),Tarification!$D$10,0)))</f>
        <v>0</v>
      </c>
      <c r="AG826" s="37">
        <f>IF(AND(AG536&lt;=$I251,AG536&gt;$J251),Tarification!$D$8,IF(AND(AG536&lt;=$J251,AG536&gt;$K251),Tarification!$D$9,IF(AND(AG536&lt;=$K251,AG536&gt;0),Tarification!$D$10,0)))</f>
        <v>0</v>
      </c>
      <c r="AH826" s="37">
        <f>IF(AND(AH536&lt;=$I251,AH536&gt;$J251),Tarification!$D$8,IF(AND(AH536&lt;=$J251,AH536&gt;$K251),Tarification!$D$9,IF(AND(AH536&lt;=$K251,AH536&gt;0),Tarification!$D$10,0)))</f>
        <v>0</v>
      </c>
      <c r="AI826" s="37">
        <f>IF(AND(AI536&lt;=$I251,AI536&gt;$J251),Tarification!$D$8,IF(AND(AI536&lt;=$J251,AI536&gt;$K251),Tarification!$D$9,IF(AND(AI536&lt;=$K251,AI536&gt;0),Tarification!$D$10,0)))</f>
        <v>0</v>
      </c>
      <c r="AJ826" s="37">
        <f>IF(AND(AJ536&lt;=$I251,AJ536&gt;$J251),Tarification!$D$8,IF(AND(AJ536&lt;=$J251,AJ536&gt;$K251),Tarification!$D$9,IF(AND(AJ536&lt;=$K251,AJ536&gt;0),Tarification!$D$10,0)))</f>
        <v>0</v>
      </c>
      <c r="AK826" s="37">
        <f>IF(AND(AK536&lt;=$I251,AK536&gt;$J251),Tarification!$D$8,IF(AND(AK536&lt;=$J251,AK536&gt;$K251),Tarification!$D$9,IF(AND(AK536&lt;=$K251,AK536&gt;0),Tarification!$D$10,0)))</f>
        <v>0</v>
      </c>
      <c r="AL826" s="37">
        <f>IF(AND(AL536&lt;=$I251,AL536&gt;$J251),Tarification!$D$8,IF(AND(AL536&lt;=$J251,AL536&gt;$K251),Tarification!$D$9,IF(AND(AL536&lt;=$K251,AL536&gt;0),Tarification!$D$10,0)))</f>
        <v>0</v>
      </c>
      <c r="AM826" s="37">
        <f>IF(AND(AM536&lt;=$I251,AM536&gt;$J251),Tarification!$D$8,IF(AND(AM536&lt;=$J251,AM536&gt;$K251),Tarification!$D$9,IF(AND(AM536&lt;=$K251,AM536&gt;0),Tarification!$D$10,0)))</f>
        <v>0</v>
      </c>
      <c r="AN826" s="37">
        <f>IF(AND(AN536&lt;=$I251,AN536&gt;$J251),Tarification!$D$8,IF(AND(AN536&lt;=$J251,AN536&gt;$K251),Tarification!$D$9,IF(AND(AN536&lt;=$K251,AN536&gt;0),Tarification!$D$10,0)))</f>
        <v>0</v>
      </c>
      <c r="AQ826" s="101">
        <f t="shared" si="151"/>
        <v>0</v>
      </c>
    </row>
    <row r="827" spans="14:43" ht="15.6">
      <c r="N827" s="39" t="s">
        <v>27</v>
      </c>
      <c r="O827" s="39" t="s">
        <v>555</v>
      </c>
      <c r="P827" t="s">
        <v>844</v>
      </c>
      <c r="Q827" s="39"/>
      <c r="V827" s="37">
        <f>IF(AND(V537&lt;=$I252,V537&gt;$J252),Tarification!$D$8,IF(AND(V537&lt;=$J252,V537&gt;$K252),Tarification!$D$9,IF(AND(V537&lt;=$K252,V537&gt;0),Tarification!$D$10,0)))</f>
        <v>0</v>
      </c>
      <c r="W827" s="37">
        <f>IF(AND(W537&lt;=$I252,W537&gt;$J252),Tarification!$D$8,IF(AND(W537&lt;=$J252,W537&gt;$K252),Tarification!$D$9,IF(AND(W537&lt;=$K252,W537&gt;0),Tarification!$D$10,0)))</f>
        <v>50000</v>
      </c>
      <c r="X827" s="37">
        <f>IF(AND(X537&lt;=$I252,X537&gt;$J252),Tarification!$D$8,IF(AND(X537&lt;=$J252,X537&gt;$K252),Tarification!$D$9,IF(AND(X537&lt;=$K252,X537&gt;0),Tarification!$D$10,0)))</f>
        <v>0</v>
      </c>
      <c r="Y827" s="37">
        <f>IF(AND(Y537&lt;=$I252,Y537&gt;$J252),Tarification!$D$8,IF(AND(Y537&lt;=$J252,Y537&gt;$K252),Tarification!$D$9,IF(AND(Y537&lt;=$K252,Y537&gt;0),Tarification!$D$10,0)))</f>
        <v>0</v>
      </c>
      <c r="Z827" s="37">
        <f>IF(AND(Z537&lt;=$I252,Z537&gt;$J252),Tarification!$D$8,IF(AND(Z537&lt;=$J252,Z537&gt;$K252),Tarification!$D$9,IF(AND(Z537&lt;=$K252,Z537&gt;0),Tarification!$D$10,0)))</f>
        <v>125000</v>
      </c>
      <c r="AA827" s="37">
        <f>IF(AND(AA537&lt;=$I252,AA537&gt;$J252),Tarification!$D$8,IF(AND(AA537&lt;=$J252,AA537&gt;$K252),Tarification!$D$9,IF(AND(AA537&lt;=$K252,AA537&gt;0),Tarification!$D$10,0)))</f>
        <v>0</v>
      </c>
      <c r="AB827" s="37">
        <f>IF(AND(AB537&lt;=$I252,AB537&gt;$J252),Tarification!$D$8,IF(AND(AB537&lt;=$J252,AB537&gt;$K252),Tarification!$D$9,IF(AND(AB537&lt;=$K252,AB537&gt;0),Tarification!$D$10,0)))</f>
        <v>0</v>
      </c>
      <c r="AC827" s="37">
        <f>IF(AND(AC537&lt;=$I252,AC537&gt;$J252),Tarification!$D$8,IF(AND(AC537&lt;=$J252,AC537&gt;$K252),Tarification!$D$9,IF(AND(AC537&lt;=$K252,AC537&gt;0),Tarification!$D$10,0)))</f>
        <v>0</v>
      </c>
      <c r="AD827" s="37">
        <f>IF(AND(AD537&lt;=$I252,AD537&gt;$J252),Tarification!$D$8,IF(AND(AD537&lt;=$J252,AD537&gt;$K252),Tarification!$D$9,IF(AND(AD537&lt;=$K252,AD537&gt;0),Tarification!$D$10,0)))</f>
        <v>50000</v>
      </c>
      <c r="AE827" s="37">
        <f>IF(AND(AE537&lt;=$I252,AE537&gt;$J252),Tarification!$D$8,IF(AND(AE537&lt;=$J252,AE537&gt;$K252),Tarification!$D$9,IF(AND(AE537&lt;=$K252,AE537&gt;0),Tarification!$D$10,0)))</f>
        <v>125000</v>
      </c>
      <c r="AF827" s="37">
        <f>IF(AND(AF537&lt;=$I252,AF537&gt;$J252),Tarification!$D$8,IF(AND(AF537&lt;=$J252,AF537&gt;$K252),Tarification!$D$9,IF(AND(AF537&lt;=$K252,AF537&gt;0),Tarification!$D$10,0)))</f>
        <v>50000</v>
      </c>
      <c r="AG827" s="37">
        <f>IF(AND(AG537&lt;=$I252,AG537&gt;$J252),Tarification!$D$8,IF(AND(AG537&lt;=$J252,AG537&gt;$K252),Tarification!$D$9,IF(AND(AG537&lt;=$K252,AG537&gt;0),Tarification!$D$10,0)))</f>
        <v>0</v>
      </c>
      <c r="AH827" s="37">
        <f>IF(AND(AH537&lt;=$I252,AH537&gt;$J252),Tarification!$D$8,IF(AND(AH537&lt;=$J252,AH537&gt;$K252),Tarification!$D$9,IF(AND(AH537&lt;=$K252,AH537&gt;0),Tarification!$D$10,0)))</f>
        <v>0</v>
      </c>
      <c r="AI827" s="37">
        <f>IF(AND(AI537&lt;=$I252,AI537&gt;$J252),Tarification!$D$8,IF(AND(AI537&lt;=$J252,AI537&gt;$K252),Tarification!$D$9,IF(AND(AI537&lt;=$K252,AI537&gt;0),Tarification!$D$10,0)))</f>
        <v>0</v>
      </c>
      <c r="AJ827" s="37">
        <f>IF(AND(AJ537&lt;=$I252,AJ537&gt;$J252),Tarification!$D$8,IF(AND(AJ537&lt;=$J252,AJ537&gt;$K252),Tarification!$D$9,IF(AND(AJ537&lt;=$K252,AJ537&gt;0),Tarification!$D$10,0)))</f>
        <v>0</v>
      </c>
      <c r="AK827" s="37">
        <f>IF(AND(AK537&lt;=$I252,AK537&gt;$J252),Tarification!$D$8,IF(AND(AK537&lt;=$J252,AK537&gt;$K252),Tarification!$D$9,IF(AND(AK537&lt;=$K252,AK537&gt;0),Tarification!$D$10,0)))</f>
        <v>0</v>
      </c>
      <c r="AL827" s="37">
        <f>IF(AND(AL537&lt;=$I252,AL537&gt;$J252),Tarification!$D$8,IF(AND(AL537&lt;=$J252,AL537&gt;$K252),Tarification!$D$9,IF(AND(AL537&lt;=$K252,AL537&gt;0),Tarification!$D$10,0)))</f>
        <v>0</v>
      </c>
      <c r="AM827" s="37">
        <f>IF(AND(AM537&lt;=$I252,AM537&gt;$J252),Tarification!$D$8,IF(AND(AM537&lt;=$J252,AM537&gt;$K252),Tarification!$D$9,IF(AND(AM537&lt;=$K252,AM537&gt;0),Tarification!$D$10,0)))</f>
        <v>0</v>
      </c>
      <c r="AN827" s="37">
        <f>IF(AND(AN537&lt;=$I252,AN537&gt;$J252),Tarification!$D$8,IF(AND(AN537&lt;=$J252,AN537&gt;$K252),Tarification!$D$9,IF(AND(AN537&lt;=$K252,AN537&gt;0),Tarification!$D$10,0)))</f>
        <v>0</v>
      </c>
      <c r="AQ827" s="101">
        <f t="shared" si="151"/>
        <v>21052.63157894737</v>
      </c>
    </row>
    <row r="828" spans="14:43" ht="15.6">
      <c r="N828" s="39" t="s">
        <v>27</v>
      </c>
      <c r="O828" s="39" t="s">
        <v>517</v>
      </c>
      <c r="P828" t="s">
        <v>845</v>
      </c>
      <c r="Q828" s="39"/>
      <c r="V828" s="37">
        <f>IF(AND(V538&lt;=$I253,V538&gt;$J253),Tarification!$D$8,IF(AND(V538&lt;=$J253,V538&gt;$K253),Tarification!$D$9,IF(AND(V538&lt;=$K253,V538&gt;0),Tarification!$D$10,0)))</f>
        <v>0</v>
      </c>
      <c r="W828" s="37">
        <f>IF(AND(W538&lt;=$I253,W538&gt;$J253),Tarification!$D$8,IF(AND(W538&lt;=$J253,W538&gt;$K253),Tarification!$D$9,IF(AND(W538&lt;=$K253,W538&gt;0),Tarification!$D$10,0)))</f>
        <v>0</v>
      </c>
      <c r="X828" s="37">
        <f>IF(AND(X538&lt;=$I253,X538&gt;$J253),Tarification!$D$8,IF(AND(X538&lt;=$J253,X538&gt;$K253),Tarification!$D$9,IF(AND(X538&lt;=$K253,X538&gt;0),Tarification!$D$10,0)))</f>
        <v>0</v>
      </c>
      <c r="Y828" s="37">
        <f>IF(AND(Y538&lt;=$I253,Y538&gt;$J253),Tarification!$D$8,IF(AND(Y538&lt;=$J253,Y538&gt;$K253),Tarification!$D$9,IF(AND(Y538&lt;=$K253,Y538&gt;0),Tarification!$D$10,0)))</f>
        <v>0</v>
      </c>
      <c r="Z828" s="37">
        <f>IF(AND(Z538&lt;=$I253,Z538&gt;$J253),Tarification!$D$8,IF(AND(Z538&lt;=$J253,Z538&gt;$K253),Tarification!$D$9,IF(AND(Z538&lt;=$K253,Z538&gt;0),Tarification!$D$10,0)))</f>
        <v>0</v>
      </c>
      <c r="AA828" s="37">
        <f>IF(AND(AA538&lt;=$I253,AA538&gt;$J253),Tarification!$D$8,IF(AND(AA538&lt;=$J253,AA538&gt;$K253),Tarification!$D$9,IF(AND(AA538&lt;=$K253,AA538&gt;0),Tarification!$D$10,0)))</f>
        <v>0</v>
      </c>
      <c r="AB828" s="37">
        <f>IF(AND(AB538&lt;=$I253,AB538&gt;$J253),Tarification!$D$8,IF(AND(AB538&lt;=$J253,AB538&gt;$K253),Tarification!$D$9,IF(AND(AB538&lt;=$K253,AB538&gt;0),Tarification!$D$10,0)))</f>
        <v>0</v>
      </c>
      <c r="AC828" s="37">
        <f>IF(AND(AC538&lt;=$I253,AC538&gt;$J253),Tarification!$D$8,IF(AND(AC538&lt;=$J253,AC538&gt;$K253),Tarification!$D$9,IF(AND(AC538&lt;=$K253,AC538&gt;0),Tarification!$D$10,0)))</f>
        <v>125000</v>
      </c>
      <c r="AD828" s="37">
        <f>IF(AND(AD538&lt;=$I253,AD538&gt;$J253),Tarification!$D$8,IF(AND(AD538&lt;=$J253,AD538&gt;$K253),Tarification!$D$9,IF(AND(AD538&lt;=$K253,AD538&gt;0),Tarification!$D$10,0)))</f>
        <v>125000</v>
      </c>
      <c r="AE828" s="37">
        <f>IF(AND(AE538&lt;=$I253,AE538&gt;$J253),Tarification!$D$8,IF(AND(AE538&lt;=$J253,AE538&gt;$K253),Tarification!$D$9,IF(AND(AE538&lt;=$K253,AE538&gt;0),Tarification!$D$10,0)))</f>
        <v>125000</v>
      </c>
      <c r="AF828" s="37">
        <f>IF(AND(AF538&lt;=$I253,AF538&gt;$J253),Tarification!$D$8,IF(AND(AF538&lt;=$J253,AF538&gt;$K253),Tarification!$D$9,IF(AND(AF538&lt;=$K253,AF538&gt;0),Tarification!$D$10,0)))</f>
        <v>50000</v>
      </c>
      <c r="AG828" s="37">
        <f>IF(AND(AG538&lt;=$I253,AG538&gt;$J253),Tarification!$D$8,IF(AND(AG538&lt;=$J253,AG538&gt;$K253),Tarification!$D$9,IF(AND(AG538&lt;=$K253,AG538&gt;0),Tarification!$D$10,0)))</f>
        <v>0</v>
      </c>
      <c r="AH828" s="37">
        <f>IF(AND(AH538&lt;=$I253,AH538&gt;$J253),Tarification!$D$8,IF(AND(AH538&lt;=$J253,AH538&gt;$K253),Tarification!$D$9,IF(AND(AH538&lt;=$K253,AH538&gt;0),Tarification!$D$10,0)))</f>
        <v>0</v>
      </c>
      <c r="AI828" s="37">
        <f>IF(AND(AI538&lt;=$I253,AI538&gt;$J253),Tarification!$D$8,IF(AND(AI538&lt;=$J253,AI538&gt;$K253),Tarification!$D$9,IF(AND(AI538&lt;=$K253,AI538&gt;0),Tarification!$D$10,0)))</f>
        <v>0</v>
      </c>
      <c r="AJ828" s="37">
        <f>IF(AND(AJ538&lt;=$I253,AJ538&gt;$J253),Tarification!$D$8,IF(AND(AJ538&lt;=$J253,AJ538&gt;$K253),Tarification!$D$9,IF(AND(AJ538&lt;=$K253,AJ538&gt;0),Tarification!$D$10,0)))</f>
        <v>125000</v>
      </c>
      <c r="AK828" s="37">
        <f>IF(AND(AK538&lt;=$I253,AK538&gt;$J253),Tarification!$D$8,IF(AND(AK538&lt;=$J253,AK538&gt;$K253),Tarification!$D$9,IF(AND(AK538&lt;=$K253,AK538&gt;0),Tarification!$D$10,0)))</f>
        <v>0</v>
      </c>
      <c r="AL828" s="37">
        <f>IF(AND(AL538&lt;=$I253,AL538&gt;$J253),Tarification!$D$8,IF(AND(AL538&lt;=$J253,AL538&gt;$K253),Tarification!$D$9,IF(AND(AL538&lt;=$K253,AL538&gt;0),Tarification!$D$10,0)))</f>
        <v>0</v>
      </c>
      <c r="AM828" s="37">
        <f>IF(AND(AM538&lt;=$I253,AM538&gt;$J253),Tarification!$D$8,IF(AND(AM538&lt;=$J253,AM538&gt;$K253),Tarification!$D$9,IF(AND(AM538&lt;=$K253,AM538&gt;0),Tarification!$D$10,0)))</f>
        <v>0</v>
      </c>
      <c r="AN828" s="37">
        <f>IF(AND(AN538&lt;=$I253,AN538&gt;$J253),Tarification!$D$8,IF(AND(AN538&lt;=$J253,AN538&gt;$K253),Tarification!$D$9,IF(AND(AN538&lt;=$K253,AN538&gt;0),Tarification!$D$10,0)))</f>
        <v>50000</v>
      </c>
      <c r="AQ828" s="101">
        <f t="shared" si="151"/>
        <v>31578.947368421053</v>
      </c>
    </row>
    <row r="829" spans="14:43" ht="15.6">
      <c r="N829" s="39" t="s">
        <v>27</v>
      </c>
      <c r="O829" s="39" t="s">
        <v>517</v>
      </c>
      <c r="P829" t="s">
        <v>846</v>
      </c>
      <c r="Q829" s="39"/>
      <c r="V829" s="37">
        <f>IF(AND(V539&lt;=$I254,V539&gt;$J254),Tarification!$D$8,IF(AND(V539&lt;=$J254,V539&gt;$K254),Tarification!$D$9,IF(AND(V539&lt;=$K254,V539&gt;0),Tarification!$D$10,0)))</f>
        <v>0</v>
      </c>
      <c r="W829" s="37">
        <f>IF(AND(W539&lt;=$I254,W539&gt;$J254),Tarification!$D$8,IF(AND(W539&lt;=$J254,W539&gt;$K254),Tarification!$D$9,IF(AND(W539&lt;=$K254,W539&gt;0),Tarification!$D$10,0)))</f>
        <v>0</v>
      </c>
      <c r="X829" s="37">
        <f>IF(AND(X539&lt;=$I254,X539&gt;$J254),Tarification!$D$8,IF(AND(X539&lt;=$J254,X539&gt;$K254),Tarification!$D$9,IF(AND(X539&lt;=$K254,X539&gt;0),Tarification!$D$10,0)))</f>
        <v>0</v>
      </c>
      <c r="Y829" s="37">
        <f>IF(AND(Y539&lt;=$I254,Y539&gt;$J254),Tarification!$D$8,IF(AND(Y539&lt;=$J254,Y539&gt;$K254),Tarification!$D$9,IF(AND(Y539&lt;=$K254,Y539&gt;0),Tarification!$D$10,0)))</f>
        <v>0</v>
      </c>
      <c r="Z829" s="37">
        <f>IF(AND(Z539&lt;=$I254,Z539&gt;$J254),Tarification!$D$8,IF(AND(Z539&lt;=$J254,Z539&gt;$K254),Tarification!$D$9,IF(AND(Z539&lt;=$K254,Z539&gt;0),Tarification!$D$10,0)))</f>
        <v>0</v>
      </c>
      <c r="AA829" s="37">
        <f>IF(AND(AA539&lt;=$I254,AA539&gt;$J254),Tarification!$D$8,IF(AND(AA539&lt;=$J254,AA539&gt;$K254),Tarification!$D$9,IF(AND(AA539&lt;=$K254,AA539&gt;0),Tarification!$D$10,0)))</f>
        <v>0</v>
      </c>
      <c r="AB829" s="37">
        <f>IF(AND(AB539&lt;=$I254,AB539&gt;$J254),Tarification!$D$8,IF(AND(AB539&lt;=$J254,AB539&gt;$K254),Tarification!$D$9,IF(AND(AB539&lt;=$K254,AB539&gt;0),Tarification!$D$10,0)))</f>
        <v>0</v>
      </c>
      <c r="AC829" s="37">
        <f>IF(AND(AC539&lt;=$I254,AC539&gt;$J254),Tarification!$D$8,IF(AND(AC539&lt;=$J254,AC539&gt;$K254),Tarification!$D$9,IF(AND(AC539&lt;=$K254,AC539&gt;0),Tarification!$D$10,0)))</f>
        <v>125000</v>
      </c>
      <c r="AD829" s="37">
        <f>IF(AND(AD539&lt;=$I254,AD539&gt;$J254),Tarification!$D$8,IF(AND(AD539&lt;=$J254,AD539&gt;$K254),Tarification!$D$9,IF(AND(AD539&lt;=$K254,AD539&gt;0),Tarification!$D$10,0)))</f>
        <v>125000</v>
      </c>
      <c r="AE829" s="37">
        <f>IF(AND(AE539&lt;=$I254,AE539&gt;$J254),Tarification!$D$8,IF(AND(AE539&lt;=$J254,AE539&gt;$K254),Tarification!$D$9,IF(AND(AE539&lt;=$K254,AE539&gt;0),Tarification!$D$10,0)))</f>
        <v>125000</v>
      </c>
      <c r="AF829" s="37">
        <f>IF(AND(AF539&lt;=$I254,AF539&gt;$J254),Tarification!$D$8,IF(AND(AF539&lt;=$J254,AF539&gt;$K254),Tarification!$D$9,IF(AND(AF539&lt;=$K254,AF539&gt;0),Tarification!$D$10,0)))</f>
        <v>50000</v>
      </c>
      <c r="AG829" s="37">
        <f>IF(AND(AG539&lt;=$I254,AG539&gt;$J254),Tarification!$D$8,IF(AND(AG539&lt;=$J254,AG539&gt;$K254),Tarification!$D$9,IF(AND(AG539&lt;=$K254,AG539&gt;0),Tarification!$D$10,0)))</f>
        <v>0</v>
      </c>
      <c r="AH829" s="37">
        <f>IF(AND(AH539&lt;=$I254,AH539&gt;$J254),Tarification!$D$8,IF(AND(AH539&lt;=$J254,AH539&gt;$K254),Tarification!$D$9,IF(AND(AH539&lt;=$K254,AH539&gt;0),Tarification!$D$10,0)))</f>
        <v>0</v>
      </c>
      <c r="AI829" s="37">
        <f>IF(AND(AI539&lt;=$I254,AI539&gt;$J254),Tarification!$D$8,IF(AND(AI539&lt;=$J254,AI539&gt;$K254),Tarification!$D$9,IF(AND(AI539&lt;=$K254,AI539&gt;0),Tarification!$D$10,0)))</f>
        <v>0</v>
      </c>
      <c r="AJ829" s="37">
        <f>IF(AND(AJ539&lt;=$I254,AJ539&gt;$J254),Tarification!$D$8,IF(AND(AJ539&lt;=$J254,AJ539&gt;$K254),Tarification!$D$9,IF(AND(AJ539&lt;=$K254,AJ539&gt;0),Tarification!$D$10,0)))</f>
        <v>125000</v>
      </c>
      <c r="AK829" s="37">
        <f>IF(AND(AK539&lt;=$I254,AK539&gt;$J254),Tarification!$D$8,IF(AND(AK539&lt;=$J254,AK539&gt;$K254),Tarification!$D$9,IF(AND(AK539&lt;=$K254,AK539&gt;0),Tarification!$D$10,0)))</f>
        <v>0</v>
      </c>
      <c r="AL829" s="37">
        <f>IF(AND(AL539&lt;=$I254,AL539&gt;$J254),Tarification!$D$8,IF(AND(AL539&lt;=$J254,AL539&gt;$K254),Tarification!$D$9,IF(AND(AL539&lt;=$K254,AL539&gt;0),Tarification!$D$10,0)))</f>
        <v>0</v>
      </c>
      <c r="AM829" s="37">
        <f>IF(AND(AM539&lt;=$I254,AM539&gt;$J254),Tarification!$D$8,IF(AND(AM539&lt;=$J254,AM539&gt;$K254),Tarification!$D$9,IF(AND(AM539&lt;=$K254,AM539&gt;0),Tarification!$D$10,0)))</f>
        <v>0</v>
      </c>
      <c r="AN829" s="37">
        <f>IF(AND(AN539&lt;=$I254,AN539&gt;$J254),Tarification!$D$8,IF(AND(AN539&lt;=$J254,AN539&gt;$K254),Tarification!$D$9,IF(AND(AN539&lt;=$K254,AN539&gt;0),Tarification!$D$10,0)))</f>
        <v>50000</v>
      </c>
      <c r="AQ829" s="101">
        <f t="shared" si="151"/>
        <v>31578.947368421053</v>
      </c>
    </row>
    <row r="830" spans="14:43" ht="15.6">
      <c r="N830" s="39" t="s">
        <v>27</v>
      </c>
      <c r="O830" s="39" t="s">
        <v>166</v>
      </c>
      <c r="P830" t="s">
        <v>847</v>
      </c>
      <c r="Q830" s="39"/>
      <c r="V830" s="37">
        <f>IF(AND(V540&lt;=$I255,V540&gt;$J255),Tarification!$D$8,IF(AND(V540&lt;=$J255,V540&gt;$K255),Tarification!$D$9,IF(AND(V540&lt;=$K255,V540&gt;0),Tarification!$D$10,0)))</f>
        <v>0</v>
      </c>
      <c r="W830" s="37">
        <f>IF(AND(W540&lt;=$I255,W540&gt;$J255),Tarification!$D$8,IF(AND(W540&lt;=$J255,W540&gt;$K255),Tarification!$D$9,IF(AND(W540&lt;=$K255,W540&gt;0),Tarification!$D$10,0)))</f>
        <v>0</v>
      </c>
      <c r="X830" s="37">
        <f>IF(AND(X540&lt;=$I255,X540&gt;$J255),Tarification!$D$8,IF(AND(X540&lt;=$J255,X540&gt;$K255),Tarification!$D$9,IF(AND(X540&lt;=$K255,X540&gt;0),Tarification!$D$10,0)))</f>
        <v>0</v>
      </c>
      <c r="Y830" s="37">
        <f>IF(AND(Y540&lt;=$I255,Y540&gt;$J255),Tarification!$D$8,IF(AND(Y540&lt;=$J255,Y540&gt;$K255),Tarification!$D$9,IF(AND(Y540&lt;=$K255,Y540&gt;0),Tarification!$D$10,0)))</f>
        <v>0</v>
      </c>
      <c r="Z830" s="37">
        <f>IF(AND(Z540&lt;=$I255,Z540&gt;$J255),Tarification!$D$8,IF(AND(Z540&lt;=$J255,Z540&gt;$K255),Tarification!$D$9,IF(AND(Z540&lt;=$K255,Z540&gt;0),Tarification!$D$10,0)))</f>
        <v>0</v>
      </c>
      <c r="AA830" s="37">
        <f>IF(AND(AA540&lt;=$I255,AA540&gt;$J255),Tarification!$D$8,IF(AND(AA540&lt;=$J255,AA540&gt;$K255),Tarification!$D$9,IF(AND(AA540&lt;=$K255,AA540&gt;0),Tarification!$D$10,0)))</f>
        <v>0</v>
      </c>
      <c r="AB830" s="37">
        <f>IF(AND(AB540&lt;=$I255,AB540&gt;$J255),Tarification!$D$8,IF(AND(AB540&lt;=$J255,AB540&gt;$K255),Tarification!$D$9,IF(AND(AB540&lt;=$K255,AB540&gt;0),Tarification!$D$10,0)))</f>
        <v>0</v>
      </c>
      <c r="AC830" s="37">
        <f>IF(AND(AC540&lt;=$I255,AC540&gt;$J255),Tarification!$D$8,IF(AND(AC540&lt;=$J255,AC540&gt;$K255),Tarification!$D$9,IF(AND(AC540&lt;=$K255,AC540&gt;0),Tarification!$D$10,0)))</f>
        <v>0</v>
      </c>
      <c r="AD830" s="37">
        <f>IF(AND(AD540&lt;=$I255,AD540&gt;$J255),Tarification!$D$8,IF(AND(AD540&lt;=$J255,AD540&gt;$K255),Tarification!$D$9,IF(AND(AD540&lt;=$K255,AD540&gt;0),Tarification!$D$10,0)))</f>
        <v>0</v>
      </c>
      <c r="AE830" s="37">
        <f>IF(AND(AE540&lt;=$I255,AE540&gt;$J255),Tarification!$D$8,IF(AND(AE540&lt;=$J255,AE540&gt;$K255),Tarification!$D$9,IF(AND(AE540&lt;=$K255,AE540&gt;0),Tarification!$D$10,0)))</f>
        <v>0</v>
      </c>
      <c r="AF830" s="37">
        <f>IF(AND(AF540&lt;=$I255,AF540&gt;$J255),Tarification!$D$8,IF(AND(AF540&lt;=$J255,AF540&gt;$K255),Tarification!$D$9,IF(AND(AF540&lt;=$K255,AF540&gt;0),Tarification!$D$10,0)))</f>
        <v>0</v>
      </c>
      <c r="AG830" s="37">
        <f>IF(AND(AG540&lt;=$I255,AG540&gt;$J255),Tarification!$D$8,IF(AND(AG540&lt;=$J255,AG540&gt;$K255),Tarification!$D$9,IF(AND(AG540&lt;=$K255,AG540&gt;0),Tarification!$D$10,0)))</f>
        <v>0</v>
      </c>
      <c r="AH830" s="37">
        <f>IF(AND(AH540&lt;=$I255,AH540&gt;$J255),Tarification!$D$8,IF(AND(AH540&lt;=$J255,AH540&gt;$K255),Tarification!$D$9,IF(AND(AH540&lt;=$K255,AH540&gt;0),Tarification!$D$10,0)))</f>
        <v>0</v>
      </c>
      <c r="AI830" s="37">
        <f>IF(AND(AI540&lt;=$I255,AI540&gt;$J255),Tarification!$D$8,IF(AND(AI540&lt;=$J255,AI540&gt;$K255),Tarification!$D$9,IF(AND(AI540&lt;=$K255,AI540&gt;0),Tarification!$D$10,0)))</f>
        <v>0</v>
      </c>
      <c r="AJ830" s="37">
        <f>IF(AND(AJ540&lt;=$I255,AJ540&gt;$J255),Tarification!$D$8,IF(AND(AJ540&lt;=$J255,AJ540&gt;$K255),Tarification!$D$9,IF(AND(AJ540&lt;=$K255,AJ540&gt;0),Tarification!$D$10,0)))</f>
        <v>0</v>
      </c>
      <c r="AK830" s="37">
        <f>IF(AND(AK540&lt;=$I255,AK540&gt;$J255),Tarification!$D$8,IF(AND(AK540&lt;=$J255,AK540&gt;$K255),Tarification!$D$9,IF(AND(AK540&lt;=$K255,AK540&gt;0),Tarification!$D$10,0)))</f>
        <v>0</v>
      </c>
      <c r="AL830" s="37">
        <f>IF(AND(AL540&lt;=$I255,AL540&gt;$J255),Tarification!$D$8,IF(AND(AL540&lt;=$J255,AL540&gt;$K255),Tarification!$D$9,IF(AND(AL540&lt;=$K255,AL540&gt;0),Tarification!$D$10,0)))</f>
        <v>0</v>
      </c>
      <c r="AM830" s="37">
        <f>IF(AND(AM540&lt;=$I255,AM540&gt;$J255),Tarification!$D$8,IF(AND(AM540&lt;=$J255,AM540&gt;$K255),Tarification!$D$9,IF(AND(AM540&lt;=$K255,AM540&gt;0),Tarification!$D$10,0)))</f>
        <v>0</v>
      </c>
      <c r="AN830" s="37">
        <f>IF(AND(AN540&lt;=$I255,AN540&gt;$J255),Tarification!$D$8,IF(AND(AN540&lt;=$J255,AN540&gt;$K255),Tarification!$D$9,IF(AND(AN540&lt;=$K255,AN540&gt;0),Tarification!$D$10,0)))</f>
        <v>0</v>
      </c>
      <c r="AQ830" s="101">
        <f t="shared" si="151"/>
        <v>0</v>
      </c>
    </row>
    <row r="831" spans="14:43" ht="15.6">
      <c r="N831" s="39" t="s">
        <v>27</v>
      </c>
      <c r="O831" s="39" t="s">
        <v>489</v>
      </c>
      <c r="P831" t="s">
        <v>848</v>
      </c>
      <c r="Q831" s="39"/>
      <c r="V831" s="37">
        <f>IF(AND(V541&lt;=$I256,V541&gt;$J256),Tarification!$D$8,IF(AND(V541&lt;=$J256,V541&gt;$K256),Tarification!$D$9,IF(AND(V541&lt;=$K256,V541&gt;0),Tarification!$D$10,0)))</f>
        <v>0</v>
      </c>
      <c r="W831" s="37">
        <f>IF(AND(W541&lt;=$I256,W541&gt;$J256),Tarification!$D$8,IF(AND(W541&lt;=$J256,W541&gt;$K256),Tarification!$D$9,IF(AND(W541&lt;=$K256,W541&gt;0),Tarification!$D$10,0)))</f>
        <v>0</v>
      </c>
      <c r="X831" s="37">
        <f>IF(AND(X541&lt;=$I256,X541&gt;$J256),Tarification!$D$8,IF(AND(X541&lt;=$J256,X541&gt;$K256),Tarification!$D$9,IF(AND(X541&lt;=$K256,X541&gt;0),Tarification!$D$10,0)))</f>
        <v>0</v>
      </c>
      <c r="Y831" s="37">
        <f>IF(AND(Y541&lt;=$I256,Y541&gt;$J256),Tarification!$D$8,IF(AND(Y541&lt;=$J256,Y541&gt;$K256),Tarification!$D$9,IF(AND(Y541&lt;=$K256,Y541&gt;0),Tarification!$D$10,0)))</f>
        <v>0</v>
      </c>
      <c r="Z831" s="37">
        <f>IF(AND(Z541&lt;=$I256,Z541&gt;$J256),Tarification!$D$8,IF(AND(Z541&lt;=$J256,Z541&gt;$K256),Tarification!$D$9,IF(AND(Z541&lt;=$K256,Z541&gt;0),Tarification!$D$10,0)))</f>
        <v>0</v>
      </c>
      <c r="AA831" s="37">
        <f>IF(AND(AA541&lt;=$I256,AA541&gt;$J256),Tarification!$D$8,IF(AND(AA541&lt;=$J256,AA541&gt;$K256),Tarification!$D$9,IF(AND(AA541&lt;=$K256,AA541&gt;0),Tarification!$D$10,0)))</f>
        <v>0</v>
      </c>
      <c r="AB831" s="37">
        <f>IF(AND(AB541&lt;=$I256,AB541&gt;$J256),Tarification!$D$8,IF(AND(AB541&lt;=$J256,AB541&gt;$K256),Tarification!$D$9,IF(AND(AB541&lt;=$K256,AB541&gt;0),Tarification!$D$10,0)))</f>
        <v>0</v>
      </c>
      <c r="AC831" s="37">
        <f>IF(AND(AC541&lt;=$I256,AC541&gt;$J256),Tarification!$D$8,IF(AND(AC541&lt;=$J256,AC541&gt;$K256),Tarification!$D$9,IF(AND(AC541&lt;=$K256,AC541&gt;0),Tarification!$D$10,0)))</f>
        <v>0</v>
      </c>
      <c r="AD831" s="37">
        <f>IF(AND(AD541&lt;=$I256,AD541&gt;$J256),Tarification!$D$8,IF(AND(AD541&lt;=$J256,AD541&gt;$K256),Tarification!$D$9,IF(AND(AD541&lt;=$K256,AD541&gt;0),Tarification!$D$10,0)))</f>
        <v>0</v>
      </c>
      <c r="AE831" s="37">
        <f>IF(AND(AE541&lt;=$I256,AE541&gt;$J256),Tarification!$D$8,IF(AND(AE541&lt;=$J256,AE541&gt;$K256),Tarification!$D$9,IF(AND(AE541&lt;=$K256,AE541&gt;0),Tarification!$D$10,0)))</f>
        <v>0</v>
      </c>
      <c r="AF831" s="37">
        <f>IF(AND(AF541&lt;=$I256,AF541&gt;$J256),Tarification!$D$8,IF(AND(AF541&lt;=$J256,AF541&gt;$K256),Tarification!$D$9,IF(AND(AF541&lt;=$K256,AF541&gt;0),Tarification!$D$10,0)))</f>
        <v>0</v>
      </c>
      <c r="AG831" s="37">
        <f>IF(AND(AG541&lt;=$I256,AG541&gt;$J256),Tarification!$D$8,IF(AND(AG541&lt;=$J256,AG541&gt;$K256),Tarification!$D$9,IF(AND(AG541&lt;=$K256,AG541&gt;0),Tarification!$D$10,0)))</f>
        <v>0</v>
      </c>
      <c r="AH831" s="37">
        <f>IF(AND(AH541&lt;=$I256,AH541&gt;$J256),Tarification!$D$8,IF(AND(AH541&lt;=$J256,AH541&gt;$K256),Tarification!$D$9,IF(AND(AH541&lt;=$K256,AH541&gt;0),Tarification!$D$10,0)))</f>
        <v>0</v>
      </c>
      <c r="AI831" s="37">
        <f>IF(AND(AI541&lt;=$I256,AI541&gt;$J256),Tarification!$D$8,IF(AND(AI541&lt;=$J256,AI541&gt;$K256),Tarification!$D$9,IF(AND(AI541&lt;=$K256,AI541&gt;0),Tarification!$D$10,0)))</f>
        <v>0</v>
      </c>
      <c r="AJ831" s="37">
        <f>IF(AND(AJ541&lt;=$I256,AJ541&gt;$J256),Tarification!$D$8,IF(AND(AJ541&lt;=$J256,AJ541&gt;$K256),Tarification!$D$9,IF(AND(AJ541&lt;=$K256,AJ541&gt;0),Tarification!$D$10,0)))</f>
        <v>0</v>
      </c>
      <c r="AK831" s="37">
        <f>IF(AND(AK541&lt;=$I256,AK541&gt;$J256),Tarification!$D$8,IF(AND(AK541&lt;=$J256,AK541&gt;$K256),Tarification!$D$9,IF(AND(AK541&lt;=$K256,AK541&gt;0),Tarification!$D$10,0)))</f>
        <v>0</v>
      </c>
      <c r="AL831" s="37">
        <f>IF(AND(AL541&lt;=$I256,AL541&gt;$J256),Tarification!$D$8,IF(AND(AL541&lt;=$J256,AL541&gt;$K256),Tarification!$D$9,IF(AND(AL541&lt;=$K256,AL541&gt;0),Tarification!$D$10,0)))</f>
        <v>0</v>
      </c>
      <c r="AM831" s="37">
        <f>IF(AND(AM541&lt;=$I256,AM541&gt;$J256),Tarification!$D$8,IF(AND(AM541&lt;=$J256,AM541&gt;$K256),Tarification!$D$9,IF(AND(AM541&lt;=$K256,AM541&gt;0),Tarification!$D$10,0)))</f>
        <v>0</v>
      </c>
      <c r="AN831" s="37">
        <f>IF(AND(AN541&lt;=$I256,AN541&gt;$J256),Tarification!$D$8,IF(AND(AN541&lt;=$J256,AN541&gt;$K256),Tarification!$D$9,IF(AND(AN541&lt;=$K256,AN541&gt;0),Tarification!$D$10,0)))</f>
        <v>0</v>
      </c>
      <c r="AQ831" s="101">
        <f t="shared" si="151"/>
        <v>0</v>
      </c>
    </row>
    <row r="832" spans="14:43" ht="15.6">
      <c r="N832" s="39" t="s">
        <v>27</v>
      </c>
      <c r="O832" s="39" t="s">
        <v>484</v>
      </c>
      <c r="P832" t="s">
        <v>849</v>
      </c>
      <c r="Q832" s="39"/>
      <c r="V832" s="37">
        <f>IF(AND(V542&lt;=$I257,V542&gt;$J257),Tarification!$D$8,IF(AND(V542&lt;=$J257,V542&gt;$K257),Tarification!$D$9,IF(AND(V542&lt;=$K257,V542&gt;0),Tarification!$D$10,0)))</f>
        <v>0</v>
      </c>
      <c r="W832" s="37">
        <f>IF(AND(W542&lt;=$I257,W542&gt;$J257),Tarification!$D$8,IF(AND(W542&lt;=$J257,W542&gt;$K257),Tarification!$D$9,IF(AND(W542&lt;=$K257,W542&gt;0),Tarification!$D$10,0)))</f>
        <v>0</v>
      </c>
      <c r="X832" s="37">
        <f>IF(AND(X542&lt;=$I257,X542&gt;$J257),Tarification!$D$8,IF(AND(X542&lt;=$J257,X542&gt;$K257),Tarification!$D$9,IF(AND(X542&lt;=$K257,X542&gt;0),Tarification!$D$10,0)))</f>
        <v>0</v>
      </c>
      <c r="Y832" s="37">
        <f>IF(AND(Y542&lt;=$I257,Y542&gt;$J257),Tarification!$D$8,IF(AND(Y542&lt;=$J257,Y542&gt;$K257),Tarification!$D$9,IF(AND(Y542&lt;=$K257,Y542&gt;0),Tarification!$D$10,0)))</f>
        <v>0</v>
      </c>
      <c r="Z832" s="37">
        <f>IF(AND(Z542&lt;=$I257,Z542&gt;$J257),Tarification!$D$8,IF(AND(Z542&lt;=$J257,Z542&gt;$K257),Tarification!$D$9,IF(AND(Z542&lt;=$K257,Z542&gt;0),Tarification!$D$10,0)))</f>
        <v>0</v>
      </c>
      <c r="AA832" s="37">
        <f>IF(AND(AA542&lt;=$I257,AA542&gt;$J257),Tarification!$D$8,IF(AND(AA542&lt;=$J257,AA542&gt;$K257),Tarification!$D$9,IF(AND(AA542&lt;=$K257,AA542&gt;0),Tarification!$D$10,0)))</f>
        <v>0</v>
      </c>
      <c r="AB832" s="37">
        <f>IF(AND(AB542&lt;=$I257,AB542&gt;$J257),Tarification!$D$8,IF(AND(AB542&lt;=$J257,AB542&gt;$K257),Tarification!$D$9,IF(AND(AB542&lt;=$K257,AB542&gt;0),Tarification!$D$10,0)))</f>
        <v>0</v>
      </c>
      <c r="AC832" s="37">
        <f>IF(AND(AC542&lt;=$I257,AC542&gt;$J257),Tarification!$D$8,IF(AND(AC542&lt;=$J257,AC542&gt;$K257),Tarification!$D$9,IF(AND(AC542&lt;=$K257,AC542&gt;0),Tarification!$D$10,0)))</f>
        <v>0</v>
      </c>
      <c r="AD832" s="37">
        <f>IF(AND(AD542&lt;=$I257,AD542&gt;$J257),Tarification!$D$8,IF(AND(AD542&lt;=$J257,AD542&gt;$K257),Tarification!$D$9,IF(AND(AD542&lt;=$K257,AD542&gt;0),Tarification!$D$10,0)))</f>
        <v>0</v>
      </c>
      <c r="AE832" s="37">
        <f>IF(AND(AE542&lt;=$I257,AE542&gt;$J257),Tarification!$D$8,IF(AND(AE542&lt;=$J257,AE542&gt;$K257),Tarification!$D$9,IF(AND(AE542&lt;=$K257,AE542&gt;0),Tarification!$D$10,0)))</f>
        <v>0</v>
      </c>
      <c r="AF832" s="37">
        <f>IF(AND(AF542&lt;=$I257,AF542&gt;$J257),Tarification!$D$8,IF(AND(AF542&lt;=$J257,AF542&gt;$K257),Tarification!$D$9,IF(AND(AF542&lt;=$K257,AF542&gt;0),Tarification!$D$10,0)))</f>
        <v>0</v>
      </c>
      <c r="AG832" s="37">
        <f>IF(AND(AG542&lt;=$I257,AG542&gt;$J257),Tarification!$D$8,IF(AND(AG542&lt;=$J257,AG542&gt;$K257),Tarification!$D$9,IF(AND(AG542&lt;=$K257,AG542&gt;0),Tarification!$D$10,0)))</f>
        <v>0</v>
      </c>
      <c r="AH832" s="37">
        <f>IF(AND(AH542&lt;=$I257,AH542&gt;$J257),Tarification!$D$8,IF(AND(AH542&lt;=$J257,AH542&gt;$K257),Tarification!$D$9,IF(AND(AH542&lt;=$K257,AH542&gt;0),Tarification!$D$10,0)))</f>
        <v>0</v>
      </c>
      <c r="AI832" s="37">
        <f>IF(AND(AI542&lt;=$I257,AI542&gt;$J257),Tarification!$D$8,IF(AND(AI542&lt;=$J257,AI542&gt;$K257),Tarification!$D$9,IF(AND(AI542&lt;=$K257,AI542&gt;0),Tarification!$D$10,0)))</f>
        <v>0</v>
      </c>
      <c r="AJ832" s="37">
        <f>IF(AND(AJ542&lt;=$I257,AJ542&gt;$J257),Tarification!$D$8,IF(AND(AJ542&lt;=$J257,AJ542&gt;$K257),Tarification!$D$9,IF(AND(AJ542&lt;=$K257,AJ542&gt;0),Tarification!$D$10,0)))</f>
        <v>0</v>
      </c>
      <c r="AK832" s="37">
        <f>IF(AND(AK542&lt;=$I257,AK542&gt;$J257),Tarification!$D$8,IF(AND(AK542&lt;=$J257,AK542&gt;$K257),Tarification!$D$9,IF(AND(AK542&lt;=$K257,AK542&gt;0),Tarification!$D$10,0)))</f>
        <v>0</v>
      </c>
      <c r="AL832" s="37">
        <f>IF(AND(AL542&lt;=$I257,AL542&gt;$J257),Tarification!$D$8,IF(AND(AL542&lt;=$J257,AL542&gt;$K257),Tarification!$D$9,IF(AND(AL542&lt;=$K257,AL542&gt;0),Tarification!$D$10,0)))</f>
        <v>0</v>
      </c>
      <c r="AM832" s="37">
        <f>IF(AND(AM542&lt;=$I257,AM542&gt;$J257),Tarification!$D$8,IF(AND(AM542&lt;=$J257,AM542&gt;$K257),Tarification!$D$9,IF(AND(AM542&lt;=$K257,AM542&gt;0),Tarification!$D$10,0)))</f>
        <v>0</v>
      </c>
      <c r="AN832" s="37">
        <f>IF(AND(AN542&lt;=$I257,AN542&gt;$J257),Tarification!$D$8,IF(AND(AN542&lt;=$J257,AN542&gt;$K257),Tarification!$D$9,IF(AND(AN542&lt;=$K257,AN542&gt;0),Tarification!$D$10,0)))</f>
        <v>0</v>
      </c>
      <c r="AQ832" s="101">
        <f t="shared" si="151"/>
        <v>0</v>
      </c>
    </row>
    <row r="833" spans="14:43" ht="15.6">
      <c r="N833" s="39" t="s">
        <v>27</v>
      </c>
      <c r="O833" s="39" t="s">
        <v>542</v>
      </c>
      <c r="P833" t="s">
        <v>850</v>
      </c>
      <c r="Q833" s="39"/>
      <c r="V833" s="37">
        <f>IF(AND(V543&lt;=$I258,V543&gt;$J258),Tarification!$D$8,IF(AND(V543&lt;=$J258,V543&gt;$K258),Tarification!$D$9,IF(AND(V543&lt;=$K258,V543&gt;0),Tarification!$D$10,0)))</f>
        <v>0</v>
      </c>
      <c r="W833" s="37">
        <f>IF(AND(W543&lt;=$I258,W543&gt;$J258),Tarification!$D$8,IF(AND(W543&lt;=$J258,W543&gt;$K258),Tarification!$D$9,IF(AND(W543&lt;=$K258,W543&gt;0),Tarification!$D$10,0)))</f>
        <v>50000</v>
      </c>
      <c r="X833" s="37">
        <f>IF(AND(X543&lt;=$I258,X543&gt;$J258),Tarification!$D$8,IF(AND(X543&lt;=$J258,X543&gt;$K258),Tarification!$D$9,IF(AND(X543&lt;=$K258,X543&gt;0),Tarification!$D$10,0)))</f>
        <v>0</v>
      </c>
      <c r="Y833" s="37">
        <f>IF(AND(Y543&lt;=$I258,Y543&gt;$J258),Tarification!$D$8,IF(AND(Y543&lt;=$J258,Y543&gt;$K258),Tarification!$D$9,IF(AND(Y543&lt;=$K258,Y543&gt;0),Tarification!$D$10,0)))</f>
        <v>0</v>
      </c>
      <c r="Z833" s="37">
        <f>IF(AND(Z543&lt;=$I258,Z543&gt;$J258),Tarification!$D$8,IF(AND(Z543&lt;=$J258,Z543&gt;$K258),Tarification!$D$9,IF(AND(Z543&lt;=$K258,Z543&gt;0),Tarification!$D$10,0)))</f>
        <v>0</v>
      </c>
      <c r="AA833" s="37">
        <f>IF(AND(AA543&lt;=$I258,AA543&gt;$J258),Tarification!$D$8,IF(AND(AA543&lt;=$J258,AA543&gt;$K258),Tarification!$D$9,IF(AND(AA543&lt;=$K258,AA543&gt;0),Tarification!$D$10,0)))</f>
        <v>50000</v>
      </c>
      <c r="AB833" s="37">
        <f>IF(AND(AB543&lt;=$I258,AB543&gt;$J258),Tarification!$D$8,IF(AND(AB543&lt;=$J258,AB543&gt;$K258),Tarification!$D$9,IF(AND(AB543&lt;=$K258,AB543&gt;0),Tarification!$D$10,0)))</f>
        <v>0</v>
      </c>
      <c r="AC833" s="37">
        <f>IF(AND(AC543&lt;=$I258,AC543&gt;$J258),Tarification!$D$8,IF(AND(AC543&lt;=$J258,AC543&gt;$K258),Tarification!$D$9,IF(AND(AC543&lt;=$K258,AC543&gt;0),Tarification!$D$10,0)))</f>
        <v>0</v>
      </c>
      <c r="AD833" s="37">
        <f>IF(AND(AD543&lt;=$I258,AD543&gt;$J258),Tarification!$D$8,IF(AND(AD543&lt;=$J258,AD543&gt;$K258),Tarification!$D$9,IF(AND(AD543&lt;=$K258,AD543&gt;0),Tarification!$D$10,0)))</f>
        <v>50000</v>
      </c>
      <c r="AE833" s="37">
        <f>IF(AND(AE543&lt;=$I258,AE543&gt;$J258),Tarification!$D$8,IF(AND(AE543&lt;=$J258,AE543&gt;$K258),Tarification!$D$9,IF(AND(AE543&lt;=$K258,AE543&gt;0),Tarification!$D$10,0)))</f>
        <v>0</v>
      </c>
      <c r="AF833" s="37">
        <f>IF(AND(AF543&lt;=$I258,AF543&gt;$J258),Tarification!$D$8,IF(AND(AF543&lt;=$J258,AF543&gt;$K258),Tarification!$D$9,IF(AND(AF543&lt;=$K258,AF543&gt;0),Tarification!$D$10,0)))</f>
        <v>50000</v>
      </c>
      <c r="AG833" s="37">
        <f>IF(AND(AG543&lt;=$I258,AG543&gt;$J258),Tarification!$D$8,IF(AND(AG543&lt;=$J258,AG543&gt;$K258),Tarification!$D$9,IF(AND(AG543&lt;=$K258,AG543&gt;0),Tarification!$D$10,0)))</f>
        <v>0</v>
      </c>
      <c r="AH833" s="37">
        <f>IF(AND(AH543&lt;=$I258,AH543&gt;$J258),Tarification!$D$8,IF(AND(AH543&lt;=$J258,AH543&gt;$K258),Tarification!$D$9,IF(AND(AH543&lt;=$K258,AH543&gt;0),Tarification!$D$10,0)))</f>
        <v>0</v>
      </c>
      <c r="AI833" s="37">
        <f>IF(AND(AI543&lt;=$I258,AI543&gt;$J258),Tarification!$D$8,IF(AND(AI543&lt;=$J258,AI543&gt;$K258),Tarification!$D$9,IF(AND(AI543&lt;=$K258,AI543&gt;0),Tarification!$D$10,0)))</f>
        <v>0</v>
      </c>
      <c r="AJ833" s="37">
        <f>IF(AND(AJ543&lt;=$I258,AJ543&gt;$J258),Tarification!$D$8,IF(AND(AJ543&lt;=$J258,AJ543&gt;$K258),Tarification!$D$9,IF(AND(AJ543&lt;=$K258,AJ543&gt;0),Tarification!$D$10,0)))</f>
        <v>0</v>
      </c>
      <c r="AK833" s="37">
        <f>IF(AND(AK543&lt;=$I258,AK543&gt;$J258),Tarification!$D$8,IF(AND(AK543&lt;=$J258,AK543&gt;$K258),Tarification!$D$9,IF(AND(AK543&lt;=$K258,AK543&gt;0),Tarification!$D$10,0)))</f>
        <v>0</v>
      </c>
      <c r="AL833" s="37">
        <f>IF(AND(AL543&lt;=$I258,AL543&gt;$J258),Tarification!$D$8,IF(AND(AL543&lt;=$J258,AL543&gt;$K258),Tarification!$D$9,IF(AND(AL543&lt;=$K258,AL543&gt;0),Tarification!$D$10,0)))</f>
        <v>0</v>
      </c>
      <c r="AM833" s="37">
        <f>IF(AND(AM543&lt;=$I258,AM543&gt;$J258),Tarification!$D$8,IF(AND(AM543&lt;=$J258,AM543&gt;$K258),Tarification!$D$9,IF(AND(AM543&lt;=$K258,AM543&gt;0),Tarification!$D$10,0)))</f>
        <v>0</v>
      </c>
      <c r="AN833" s="37">
        <f>IF(AND(AN543&lt;=$I258,AN543&gt;$J258),Tarification!$D$8,IF(AND(AN543&lt;=$J258,AN543&gt;$K258),Tarification!$D$9,IF(AND(AN543&lt;=$K258,AN543&gt;0),Tarification!$D$10,0)))</f>
        <v>0</v>
      </c>
      <c r="AQ833" s="101">
        <f t="shared" si="151"/>
        <v>10526.315789473685</v>
      </c>
    </row>
    <row r="834" spans="14:43" ht="15.6">
      <c r="N834" s="39" t="s">
        <v>27</v>
      </c>
      <c r="O834" s="39" t="s">
        <v>475</v>
      </c>
      <c r="P834" t="s">
        <v>851</v>
      </c>
      <c r="Q834" s="39"/>
      <c r="V834" s="37">
        <f>IF(AND(V544&lt;=$I259,V544&gt;$J259),Tarification!$D$8,IF(AND(V544&lt;=$J259,V544&gt;$K259),Tarification!$D$9,IF(AND(V544&lt;=$K259,V544&gt;0),Tarification!$D$10,0)))</f>
        <v>0</v>
      </c>
      <c r="W834" s="37">
        <f>IF(AND(W544&lt;=$I259,W544&gt;$J259),Tarification!$D$8,IF(AND(W544&lt;=$J259,W544&gt;$K259),Tarification!$D$9,IF(AND(W544&lt;=$K259,W544&gt;0),Tarification!$D$10,0)))</f>
        <v>0</v>
      </c>
      <c r="X834" s="37">
        <f>IF(AND(X544&lt;=$I259,X544&gt;$J259),Tarification!$D$8,IF(AND(X544&lt;=$J259,X544&gt;$K259),Tarification!$D$9,IF(AND(X544&lt;=$K259,X544&gt;0),Tarification!$D$10,0)))</f>
        <v>0</v>
      </c>
      <c r="Y834" s="37">
        <f>IF(AND(Y544&lt;=$I259,Y544&gt;$J259),Tarification!$D$8,IF(AND(Y544&lt;=$J259,Y544&gt;$K259),Tarification!$D$9,IF(AND(Y544&lt;=$K259,Y544&gt;0),Tarification!$D$10,0)))</f>
        <v>0</v>
      </c>
      <c r="Z834" s="37">
        <f>IF(AND(Z544&lt;=$I259,Z544&gt;$J259),Tarification!$D$8,IF(AND(Z544&lt;=$J259,Z544&gt;$K259),Tarification!$D$9,IF(AND(Z544&lt;=$K259,Z544&gt;0),Tarification!$D$10,0)))</f>
        <v>0</v>
      </c>
      <c r="AA834" s="37">
        <f>IF(AND(AA544&lt;=$I259,AA544&gt;$J259),Tarification!$D$8,IF(AND(AA544&lt;=$J259,AA544&gt;$K259),Tarification!$D$9,IF(AND(AA544&lt;=$K259,AA544&gt;0),Tarification!$D$10,0)))</f>
        <v>0</v>
      </c>
      <c r="AB834" s="37">
        <f>IF(AND(AB544&lt;=$I259,AB544&gt;$J259),Tarification!$D$8,IF(AND(AB544&lt;=$J259,AB544&gt;$K259),Tarification!$D$9,IF(AND(AB544&lt;=$K259,AB544&gt;0),Tarification!$D$10,0)))</f>
        <v>0</v>
      </c>
      <c r="AC834" s="37">
        <f>IF(AND(AC544&lt;=$I259,AC544&gt;$J259),Tarification!$D$8,IF(AND(AC544&lt;=$J259,AC544&gt;$K259),Tarification!$D$9,IF(AND(AC544&lt;=$K259,AC544&gt;0),Tarification!$D$10,0)))</f>
        <v>0</v>
      </c>
      <c r="AD834" s="37">
        <f>IF(AND(AD544&lt;=$I259,AD544&gt;$J259),Tarification!$D$8,IF(AND(AD544&lt;=$J259,AD544&gt;$K259),Tarification!$D$9,IF(AND(AD544&lt;=$K259,AD544&gt;0),Tarification!$D$10,0)))</f>
        <v>50000</v>
      </c>
      <c r="AE834" s="37">
        <f>IF(AND(AE544&lt;=$I259,AE544&gt;$J259),Tarification!$D$8,IF(AND(AE544&lt;=$J259,AE544&gt;$K259),Tarification!$D$9,IF(AND(AE544&lt;=$K259,AE544&gt;0),Tarification!$D$10,0)))</f>
        <v>0</v>
      </c>
      <c r="AF834" s="37">
        <f>IF(AND(AF544&lt;=$I259,AF544&gt;$J259),Tarification!$D$8,IF(AND(AF544&lt;=$J259,AF544&gt;$K259),Tarification!$D$9,IF(AND(AF544&lt;=$K259,AF544&gt;0),Tarification!$D$10,0)))</f>
        <v>0</v>
      </c>
      <c r="AG834" s="37">
        <f>IF(AND(AG544&lt;=$I259,AG544&gt;$J259),Tarification!$D$8,IF(AND(AG544&lt;=$J259,AG544&gt;$K259),Tarification!$D$9,IF(AND(AG544&lt;=$K259,AG544&gt;0),Tarification!$D$10,0)))</f>
        <v>0</v>
      </c>
      <c r="AH834" s="37">
        <f>IF(AND(AH544&lt;=$I259,AH544&gt;$J259),Tarification!$D$8,IF(AND(AH544&lt;=$J259,AH544&gt;$K259),Tarification!$D$9,IF(AND(AH544&lt;=$K259,AH544&gt;0),Tarification!$D$10,0)))</f>
        <v>0</v>
      </c>
      <c r="AI834" s="37">
        <f>IF(AND(AI544&lt;=$I259,AI544&gt;$J259),Tarification!$D$8,IF(AND(AI544&lt;=$J259,AI544&gt;$K259),Tarification!$D$9,IF(AND(AI544&lt;=$K259,AI544&gt;0),Tarification!$D$10,0)))</f>
        <v>0</v>
      </c>
      <c r="AJ834" s="37">
        <f>IF(AND(AJ544&lt;=$I259,AJ544&gt;$J259),Tarification!$D$8,IF(AND(AJ544&lt;=$J259,AJ544&gt;$K259),Tarification!$D$9,IF(AND(AJ544&lt;=$K259,AJ544&gt;0),Tarification!$D$10,0)))</f>
        <v>50000</v>
      </c>
      <c r="AK834" s="37">
        <f>IF(AND(AK544&lt;=$I259,AK544&gt;$J259),Tarification!$D$8,IF(AND(AK544&lt;=$J259,AK544&gt;$K259),Tarification!$D$9,IF(AND(AK544&lt;=$K259,AK544&gt;0),Tarification!$D$10,0)))</f>
        <v>0</v>
      </c>
      <c r="AL834" s="37">
        <f>IF(AND(AL544&lt;=$I259,AL544&gt;$J259),Tarification!$D$8,IF(AND(AL544&lt;=$J259,AL544&gt;$K259),Tarification!$D$9,IF(AND(AL544&lt;=$K259,AL544&gt;0),Tarification!$D$10,0)))</f>
        <v>0</v>
      </c>
      <c r="AM834" s="37">
        <f>IF(AND(AM544&lt;=$I259,AM544&gt;$J259),Tarification!$D$8,IF(AND(AM544&lt;=$J259,AM544&gt;$K259),Tarification!$D$9,IF(AND(AM544&lt;=$K259,AM544&gt;0),Tarification!$D$10,0)))</f>
        <v>0</v>
      </c>
      <c r="AN834" s="37">
        <f>IF(AND(AN544&lt;=$I259,AN544&gt;$J259),Tarification!$D$8,IF(AND(AN544&lt;=$J259,AN544&gt;$K259),Tarification!$D$9,IF(AND(AN544&lt;=$K259,AN544&gt;0),Tarification!$D$10,0)))</f>
        <v>0</v>
      </c>
      <c r="AQ834" s="101">
        <f t="shared" si="151"/>
        <v>5263.1578947368425</v>
      </c>
    </row>
    <row r="835" spans="14:43" ht="15.6">
      <c r="N835" s="39" t="s">
        <v>27</v>
      </c>
      <c r="O835" s="39" t="s">
        <v>468</v>
      </c>
      <c r="P835" t="s">
        <v>852</v>
      </c>
      <c r="Q835" s="39"/>
      <c r="V835" s="37">
        <f>IF(AND(V545&lt;=$I260,V545&gt;$J260),Tarification!$D$8,IF(AND(V545&lt;=$J260,V545&gt;$K260),Tarification!$D$9,IF(AND(V545&lt;=$K260,V545&gt;0),Tarification!$D$10,0)))</f>
        <v>0</v>
      </c>
      <c r="W835" s="37">
        <f>IF(AND(W545&lt;=$I260,W545&gt;$J260),Tarification!$D$8,IF(AND(W545&lt;=$J260,W545&gt;$K260),Tarification!$D$9,IF(AND(W545&lt;=$K260,W545&gt;0),Tarification!$D$10,0)))</f>
        <v>0</v>
      </c>
      <c r="X835" s="37">
        <f>IF(AND(X545&lt;=$I260,X545&gt;$J260),Tarification!$D$8,IF(AND(X545&lt;=$J260,X545&gt;$K260),Tarification!$D$9,IF(AND(X545&lt;=$K260,X545&gt;0),Tarification!$D$10,0)))</f>
        <v>0</v>
      </c>
      <c r="Y835" s="37">
        <f>IF(AND(Y545&lt;=$I260,Y545&gt;$J260),Tarification!$D$8,IF(AND(Y545&lt;=$J260,Y545&gt;$K260),Tarification!$D$9,IF(AND(Y545&lt;=$K260,Y545&gt;0),Tarification!$D$10,0)))</f>
        <v>0</v>
      </c>
      <c r="Z835" s="37">
        <f>IF(AND(Z545&lt;=$I260,Z545&gt;$J260),Tarification!$D$8,IF(AND(Z545&lt;=$J260,Z545&gt;$K260),Tarification!$D$9,IF(AND(Z545&lt;=$K260,Z545&gt;0),Tarification!$D$10,0)))</f>
        <v>0</v>
      </c>
      <c r="AA835" s="37">
        <f>IF(AND(AA545&lt;=$I260,AA545&gt;$J260),Tarification!$D$8,IF(AND(AA545&lt;=$J260,AA545&gt;$K260),Tarification!$D$9,IF(AND(AA545&lt;=$K260,AA545&gt;0),Tarification!$D$10,0)))</f>
        <v>0</v>
      </c>
      <c r="AB835" s="37">
        <f>IF(AND(AB545&lt;=$I260,AB545&gt;$J260),Tarification!$D$8,IF(AND(AB545&lt;=$J260,AB545&gt;$K260),Tarification!$D$9,IF(AND(AB545&lt;=$K260,AB545&gt;0),Tarification!$D$10,0)))</f>
        <v>0</v>
      </c>
      <c r="AC835" s="37">
        <f>IF(AND(AC545&lt;=$I260,AC545&gt;$J260),Tarification!$D$8,IF(AND(AC545&lt;=$J260,AC545&gt;$K260),Tarification!$D$9,IF(AND(AC545&lt;=$K260,AC545&gt;0),Tarification!$D$10,0)))</f>
        <v>0</v>
      </c>
      <c r="AD835" s="37">
        <f>IF(AND(AD545&lt;=$I260,AD545&gt;$J260),Tarification!$D$8,IF(AND(AD545&lt;=$J260,AD545&gt;$K260),Tarification!$D$9,IF(AND(AD545&lt;=$K260,AD545&gt;0),Tarification!$D$10,0)))</f>
        <v>50000</v>
      </c>
      <c r="AE835" s="37">
        <f>IF(AND(AE545&lt;=$I260,AE545&gt;$J260),Tarification!$D$8,IF(AND(AE545&lt;=$J260,AE545&gt;$K260),Tarification!$D$9,IF(AND(AE545&lt;=$K260,AE545&gt;0),Tarification!$D$10,0)))</f>
        <v>0</v>
      </c>
      <c r="AF835" s="37">
        <f>IF(AND(AF545&lt;=$I260,AF545&gt;$J260),Tarification!$D$8,IF(AND(AF545&lt;=$J260,AF545&gt;$K260),Tarification!$D$9,IF(AND(AF545&lt;=$K260,AF545&gt;0),Tarification!$D$10,0)))</f>
        <v>0</v>
      </c>
      <c r="AG835" s="37">
        <f>IF(AND(AG545&lt;=$I260,AG545&gt;$J260),Tarification!$D$8,IF(AND(AG545&lt;=$J260,AG545&gt;$K260),Tarification!$D$9,IF(AND(AG545&lt;=$K260,AG545&gt;0),Tarification!$D$10,0)))</f>
        <v>0</v>
      </c>
      <c r="AH835" s="37">
        <f>IF(AND(AH545&lt;=$I260,AH545&gt;$J260),Tarification!$D$8,IF(AND(AH545&lt;=$J260,AH545&gt;$K260),Tarification!$D$9,IF(AND(AH545&lt;=$K260,AH545&gt;0),Tarification!$D$10,0)))</f>
        <v>0</v>
      </c>
      <c r="AI835" s="37">
        <f>IF(AND(AI545&lt;=$I260,AI545&gt;$J260),Tarification!$D$8,IF(AND(AI545&lt;=$J260,AI545&gt;$K260),Tarification!$D$9,IF(AND(AI545&lt;=$K260,AI545&gt;0),Tarification!$D$10,0)))</f>
        <v>0</v>
      </c>
      <c r="AJ835" s="37">
        <f>IF(AND(AJ545&lt;=$I260,AJ545&gt;$J260),Tarification!$D$8,IF(AND(AJ545&lt;=$J260,AJ545&gt;$K260),Tarification!$D$9,IF(AND(AJ545&lt;=$K260,AJ545&gt;0),Tarification!$D$10,0)))</f>
        <v>50000</v>
      </c>
      <c r="AK835" s="37">
        <f>IF(AND(AK545&lt;=$I260,AK545&gt;$J260),Tarification!$D$8,IF(AND(AK545&lt;=$J260,AK545&gt;$K260),Tarification!$D$9,IF(AND(AK545&lt;=$K260,AK545&gt;0),Tarification!$D$10,0)))</f>
        <v>0</v>
      </c>
      <c r="AL835" s="37">
        <f>IF(AND(AL545&lt;=$I260,AL545&gt;$J260),Tarification!$D$8,IF(AND(AL545&lt;=$J260,AL545&gt;$K260),Tarification!$D$9,IF(AND(AL545&lt;=$K260,AL545&gt;0),Tarification!$D$10,0)))</f>
        <v>0</v>
      </c>
      <c r="AM835" s="37">
        <f>IF(AND(AM545&lt;=$I260,AM545&gt;$J260),Tarification!$D$8,IF(AND(AM545&lt;=$J260,AM545&gt;$K260),Tarification!$D$9,IF(AND(AM545&lt;=$K260,AM545&gt;0),Tarification!$D$10,0)))</f>
        <v>0</v>
      </c>
      <c r="AN835" s="37">
        <f>IF(AND(AN545&lt;=$I260,AN545&gt;$J260),Tarification!$D$8,IF(AND(AN545&lt;=$J260,AN545&gt;$K260),Tarification!$D$9,IF(AND(AN545&lt;=$K260,AN545&gt;0),Tarification!$D$10,0)))</f>
        <v>0</v>
      </c>
      <c r="AQ835" s="101">
        <f t="shared" si="151"/>
        <v>5263.1578947368425</v>
      </c>
    </row>
    <row r="836" spans="14:43" ht="15.6">
      <c r="N836" s="39" t="s">
        <v>27</v>
      </c>
      <c r="O836" s="39" t="s">
        <v>448</v>
      </c>
      <c r="P836" t="s">
        <v>853</v>
      </c>
      <c r="Q836" s="39"/>
      <c r="V836" s="37">
        <f>IF(AND(V546&lt;=$I261,V546&gt;$J261),Tarification!$D$8,IF(AND(V546&lt;=$J261,V546&gt;$K261),Tarification!$D$9,IF(AND(V546&lt;=$K261,V546&gt;0),Tarification!$D$10,0)))</f>
        <v>0</v>
      </c>
      <c r="W836" s="37">
        <f>IF(AND(W546&lt;=$I261,W546&gt;$J261),Tarification!$D$8,IF(AND(W546&lt;=$J261,W546&gt;$K261),Tarification!$D$9,IF(AND(W546&lt;=$K261,W546&gt;0),Tarification!$D$10,0)))</f>
        <v>0</v>
      </c>
      <c r="X836" s="37">
        <f>IF(AND(X546&lt;=$I261,X546&gt;$J261),Tarification!$D$8,IF(AND(X546&lt;=$J261,X546&gt;$K261),Tarification!$D$9,IF(AND(X546&lt;=$K261,X546&gt;0),Tarification!$D$10,0)))</f>
        <v>0</v>
      </c>
      <c r="Y836" s="37">
        <f>IF(AND(Y546&lt;=$I261,Y546&gt;$J261),Tarification!$D$8,IF(AND(Y546&lt;=$J261,Y546&gt;$K261),Tarification!$D$9,IF(AND(Y546&lt;=$K261,Y546&gt;0),Tarification!$D$10,0)))</f>
        <v>0</v>
      </c>
      <c r="Z836" s="37">
        <f>IF(AND(Z546&lt;=$I261,Z546&gt;$J261),Tarification!$D$8,IF(AND(Z546&lt;=$J261,Z546&gt;$K261),Tarification!$D$9,IF(AND(Z546&lt;=$K261,Z546&gt;0),Tarification!$D$10,0)))</f>
        <v>0</v>
      </c>
      <c r="AA836" s="37">
        <f>IF(AND(AA546&lt;=$I261,AA546&gt;$J261),Tarification!$D$8,IF(AND(AA546&lt;=$J261,AA546&gt;$K261),Tarification!$D$9,IF(AND(AA546&lt;=$K261,AA546&gt;0),Tarification!$D$10,0)))</f>
        <v>0</v>
      </c>
      <c r="AB836" s="37">
        <f>IF(AND(AB546&lt;=$I261,AB546&gt;$J261),Tarification!$D$8,IF(AND(AB546&lt;=$J261,AB546&gt;$K261),Tarification!$D$9,IF(AND(AB546&lt;=$K261,AB546&gt;0),Tarification!$D$10,0)))</f>
        <v>0</v>
      </c>
      <c r="AC836" s="37">
        <f>IF(AND(AC546&lt;=$I261,AC546&gt;$J261),Tarification!$D$8,IF(AND(AC546&lt;=$J261,AC546&gt;$K261),Tarification!$D$9,IF(AND(AC546&lt;=$K261,AC546&gt;0),Tarification!$D$10,0)))</f>
        <v>0</v>
      </c>
      <c r="AD836" s="37">
        <f>IF(AND(AD546&lt;=$I261,AD546&gt;$J261),Tarification!$D$8,IF(AND(AD546&lt;=$J261,AD546&gt;$K261),Tarification!$D$9,IF(AND(AD546&lt;=$K261,AD546&gt;0),Tarification!$D$10,0)))</f>
        <v>0</v>
      </c>
      <c r="AE836" s="37">
        <f>IF(AND(AE546&lt;=$I261,AE546&gt;$J261),Tarification!$D$8,IF(AND(AE546&lt;=$J261,AE546&gt;$K261),Tarification!$D$9,IF(AND(AE546&lt;=$K261,AE546&gt;0),Tarification!$D$10,0)))</f>
        <v>0</v>
      </c>
      <c r="AF836" s="37">
        <f>IF(AND(AF546&lt;=$I261,AF546&gt;$J261),Tarification!$D$8,IF(AND(AF546&lt;=$J261,AF546&gt;$K261),Tarification!$D$9,IF(AND(AF546&lt;=$K261,AF546&gt;0),Tarification!$D$10,0)))</f>
        <v>0</v>
      </c>
      <c r="AG836" s="37">
        <f>IF(AND(AG546&lt;=$I261,AG546&gt;$J261),Tarification!$D$8,IF(AND(AG546&lt;=$J261,AG546&gt;$K261),Tarification!$D$9,IF(AND(AG546&lt;=$K261,AG546&gt;0),Tarification!$D$10,0)))</f>
        <v>0</v>
      </c>
      <c r="AH836" s="37">
        <f>IF(AND(AH546&lt;=$I261,AH546&gt;$J261),Tarification!$D$8,IF(AND(AH546&lt;=$J261,AH546&gt;$K261),Tarification!$D$9,IF(AND(AH546&lt;=$K261,AH546&gt;0),Tarification!$D$10,0)))</f>
        <v>0</v>
      </c>
      <c r="AI836" s="37">
        <f>IF(AND(AI546&lt;=$I261,AI546&gt;$J261),Tarification!$D$8,IF(AND(AI546&lt;=$J261,AI546&gt;$K261),Tarification!$D$9,IF(AND(AI546&lt;=$K261,AI546&gt;0),Tarification!$D$10,0)))</f>
        <v>0</v>
      </c>
      <c r="AJ836" s="37">
        <f>IF(AND(AJ546&lt;=$I261,AJ546&gt;$J261),Tarification!$D$8,IF(AND(AJ546&lt;=$J261,AJ546&gt;$K261),Tarification!$D$9,IF(AND(AJ546&lt;=$K261,AJ546&gt;0),Tarification!$D$10,0)))</f>
        <v>0</v>
      </c>
      <c r="AK836" s="37">
        <f>IF(AND(AK546&lt;=$I261,AK546&gt;$J261),Tarification!$D$8,IF(AND(AK546&lt;=$J261,AK546&gt;$K261),Tarification!$D$9,IF(AND(AK546&lt;=$K261,AK546&gt;0),Tarification!$D$10,0)))</f>
        <v>0</v>
      </c>
      <c r="AL836" s="37">
        <f>IF(AND(AL546&lt;=$I261,AL546&gt;$J261),Tarification!$D$8,IF(AND(AL546&lt;=$J261,AL546&gt;$K261),Tarification!$D$9,IF(AND(AL546&lt;=$K261,AL546&gt;0),Tarification!$D$10,0)))</f>
        <v>0</v>
      </c>
      <c r="AM836" s="37">
        <f>IF(AND(AM546&lt;=$I261,AM546&gt;$J261),Tarification!$D$8,IF(AND(AM546&lt;=$J261,AM546&gt;$K261),Tarification!$D$9,IF(AND(AM546&lt;=$K261,AM546&gt;0),Tarification!$D$10,0)))</f>
        <v>0</v>
      </c>
      <c r="AN836" s="37">
        <f>IF(AND(AN546&lt;=$I261,AN546&gt;$J261),Tarification!$D$8,IF(AND(AN546&lt;=$J261,AN546&gt;$K261),Tarification!$D$9,IF(AND(AN546&lt;=$K261,AN546&gt;0),Tarification!$D$10,0)))</f>
        <v>0</v>
      </c>
      <c r="AQ836" s="101">
        <f t="shared" si="151"/>
        <v>0</v>
      </c>
    </row>
    <row r="837" spans="14:43" ht="15.6">
      <c r="N837" s="39" t="s">
        <v>27</v>
      </c>
      <c r="O837" s="39" t="s">
        <v>448</v>
      </c>
      <c r="P837" t="s">
        <v>854</v>
      </c>
      <c r="Q837" s="39"/>
      <c r="V837" s="37">
        <f>IF(AND(V547&lt;=$I262,V547&gt;$J262),Tarification!$D$8,IF(AND(V547&lt;=$J262,V547&gt;$K262),Tarification!$D$9,IF(AND(V547&lt;=$K262,V547&gt;0),Tarification!$D$10,0)))</f>
        <v>0</v>
      </c>
      <c r="W837" s="37">
        <f>IF(AND(W547&lt;=$I262,W547&gt;$J262),Tarification!$D$8,IF(AND(W547&lt;=$J262,W547&gt;$K262),Tarification!$D$9,IF(AND(W547&lt;=$K262,W547&gt;0),Tarification!$D$10,0)))</f>
        <v>0</v>
      </c>
      <c r="X837" s="37">
        <f>IF(AND(X547&lt;=$I262,X547&gt;$J262),Tarification!$D$8,IF(AND(X547&lt;=$J262,X547&gt;$K262),Tarification!$D$9,IF(AND(X547&lt;=$K262,X547&gt;0),Tarification!$D$10,0)))</f>
        <v>0</v>
      </c>
      <c r="Y837" s="37">
        <f>IF(AND(Y547&lt;=$I262,Y547&gt;$J262),Tarification!$D$8,IF(AND(Y547&lt;=$J262,Y547&gt;$K262),Tarification!$D$9,IF(AND(Y547&lt;=$K262,Y547&gt;0),Tarification!$D$10,0)))</f>
        <v>0</v>
      </c>
      <c r="Z837" s="37">
        <f>IF(AND(Z547&lt;=$I262,Z547&gt;$J262),Tarification!$D$8,IF(AND(Z547&lt;=$J262,Z547&gt;$K262),Tarification!$D$9,IF(AND(Z547&lt;=$K262,Z547&gt;0),Tarification!$D$10,0)))</f>
        <v>0</v>
      </c>
      <c r="AA837" s="37">
        <f>IF(AND(AA547&lt;=$I262,AA547&gt;$J262),Tarification!$D$8,IF(AND(AA547&lt;=$J262,AA547&gt;$K262),Tarification!$D$9,IF(AND(AA547&lt;=$K262,AA547&gt;0),Tarification!$D$10,0)))</f>
        <v>0</v>
      </c>
      <c r="AB837" s="37">
        <f>IF(AND(AB547&lt;=$I262,AB547&gt;$J262),Tarification!$D$8,IF(AND(AB547&lt;=$J262,AB547&gt;$K262),Tarification!$D$9,IF(AND(AB547&lt;=$K262,AB547&gt;0),Tarification!$D$10,0)))</f>
        <v>0</v>
      </c>
      <c r="AC837" s="37">
        <f>IF(AND(AC547&lt;=$I262,AC547&gt;$J262),Tarification!$D$8,IF(AND(AC547&lt;=$J262,AC547&gt;$K262),Tarification!$D$9,IF(AND(AC547&lt;=$K262,AC547&gt;0),Tarification!$D$10,0)))</f>
        <v>0</v>
      </c>
      <c r="AD837" s="37">
        <f>IF(AND(AD547&lt;=$I262,AD547&gt;$J262),Tarification!$D$8,IF(AND(AD547&lt;=$J262,AD547&gt;$K262),Tarification!$D$9,IF(AND(AD547&lt;=$K262,AD547&gt;0),Tarification!$D$10,0)))</f>
        <v>50000</v>
      </c>
      <c r="AE837" s="37">
        <f>IF(AND(AE547&lt;=$I262,AE547&gt;$J262),Tarification!$D$8,IF(AND(AE547&lt;=$J262,AE547&gt;$K262),Tarification!$D$9,IF(AND(AE547&lt;=$K262,AE547&gt;0),Tarification!$D$10,0)))</f>
        <v>0</v>
      </c>
      <c r="AF837" s="37">
        <f>IF(AND(AF547&lt;=$I262,AF547&gt;$J262),Tarification!$D$8,IF(AND(AF547&lt;=$J262,AF547&gt;$K262),Tarification!$D$9,IF(AND(AF547&lt;=$K262,AF547&gt;0),Tarification!$D$10,0)))</f>
        <v>0</v>
      </c>
      <c r="AG837" s="37">
        <f>IF(AND(AG547&lt;=$I262,AG547&gt;$J262),Tarification!$D$8,IF(AND(AG547&lt;=$J262,AG547&gt;$K262),Tarification!$D$9,IF(AND(AG547&lt;=$K262,AG547&gt;0),Tarification!$D$10,0)))</f>
        <v>0</v>
      </c>
      <c r="AH837" s="37">
        <f>IF(AND(AH547&lt;=$I262,AH547&gt;$J262),Tarification!$D$8,IF(AND(AH547&lt;=$J262,AH547&gt;$K262),Tarification!$D$9,IF(AND(AH547&lt;=$K262,AH547&gt;0),Tarification!$D$10,0)))</f>
        <v>0</v>
      </c>
      <c r="AI837" s="37">
        <f>IF(AND(AI547&lt;=$I262,AI547&gt;$J262),Tarification!$D$8,IF(AND(AI547&lt;=$J262,AI547&gt;$K262),Tarification!$D$9,IF(AND(AI547&lt;=$K262,AI547&gt;0),Tarification!$D$10,0)))</f>
        <v>0</v>
      </c>
      <c r="AJ837" s="37">
        <f>IF(AND(AJ547&lt;=$I262,AJ547&gt;$J262),Tarification!$D$8,IF(AND(AJ547&lt;=$J262,AJ547&gt;$K262),Tarification!$D$9,IF(AND(AJ547&lt;=$K262,AJ547&gt;0),Tarification!$D$10,0)))</f>
        <v>50000</v>
      </c>
      <c r="AK837" s="37">
        <f>IF(AND(AK547&lt;=$I262,AK547&gt;$J262),Tarification!$D$8,IF(AND(AK547&lt;=$J262,AK547&gt;$K262),Tarification!$D$9,IF(AND(AK547&lt;=$K262,AK547&gt;0),Tarification!$D$10,0)))</f>
        <v>0</v>
      </c>
      <c r="AL837" s="37">
        <f>IF(AND(AL547&lt;=$I262,AL547&gt;$J262),Tarification!$D$8,IF(AND(AL547&lt;=$J262,AL547&gt;$K262),Tarification!$D$9,IF(AND(AL547&lt;=$K262,AL547&gt;0),Tarification!$D$10,0)))</f>
        <v>0</v>
      </c>
      <c r="AM837" s="37">
        <f>IF(AND(AM547&lt;=$I262,AM547&gt;$J262),Tarification!$D$8,IF(AND(AM547&lt;=$J262,AM547&gt;$K262),Tarification!$D$9,IF(AND(AM547&lt;=$K262,AM547&gt;0),Tarification!$D$10,0)))</f>
        <v>0</v>
      </c>
      <c r="AN837" s="37">
        <f>IF(AND(AN547&lt;=$I262,AN547&gt;$J262),Tarification!$D$8,IF(AND(AN547&lt;=$J262,AN547&gt;$K262),Tarification!$D$9,IF(AND(AN547&lt;=$K262,AN547&gt;0),Tarification!$D$10,0)))</f>
        <v>0</v>
      </c>
      <c r="AQ837" s="101">
        <f t="shared" si="151"/>
        <v>5263.1578947368425</v>
      </c>
    </row>
    <row r="838" spans="14:43" ht="15.6">
      <c r="N838" s="39" t="s">
        <v>27</v>
      </c>
      <c r="O838" s="39" t="s">
        <v>517</v>
      </c>
      <c r="P838" t="s">
        <v>855</v>
      </c>
      <c r="Q838" s="39"/>
      <c r="V838" s="37">
        <f>IF(AND(V548&lt;=$I263,V548&gt;$J263),Tarification!$D$8,IF(AND(V548&lt;=$J263,V548&gt;$K263),Tarification!$D$9,IF(AND(V548&lt;=$K263,V548&gt;0),Tarification!$D$10,0)))</f>
        <v>0</v>
      </c>
      <c r="W838" s="37">
        <f>IF(AND(W548&lt;=$I263,W548&gt;$J263),Tarification!$D$8,IF(AND(W548&lt;=$J263,W548&gt;$K263),Tarification!$D$9,IF(AND(W548&lt;=$K263,W548&gt;0),Tarification!$D$10,0)))</f>
        <v>0</v>
      </c>
      <c r="X838" s="37">
        <f>IF(AND(X548&lt;=$I263,X548&gt;$J263),Tarification!$D$8,IF(AND(X548&lt;=$J263,X548&gt;$K263),Tarification!$D$9,IF(AND(X548&lt;=$K263,X548&gt;0),Tarification!$D$10,0)))</f>
        <v>0</v>
      </c>
      <c r="Y838" s="37">
        <f>IF(AND(Y548&lt;=$I263,Y548&gt;$J263),Tarification!$D$8,IF(AND(Y548&lt;=$J263,Y548&gt;$K263),Tarification!$D$9,IF(AND(Y548&lt;=$K263,Y548&gt;0),Tarification!$D$10,0)))</f>
        <v>0</v>
      </c>
      <c r="Z838" s="37">
        <f>IF(AND(Z548&lt;=$I263,Z548&gt;$J263),Tarification!$D$8,IF(AND(Z548&lt;=$J263,Z548&gt;$K263),Tarification!$D$9,IF(AND(Z548&lt;=$K263,Z548&gt;0),Tarification!$D$10,0)))</f>
        <v>0</v>
      </c>
      <c r="AA838" s="37">
        <f>IF(AND(AA548&lt;=$I263,AA548&gt;$J263),Tarification!$D$8,IF(AND(AA548&lt;=$J263,AA548&gt;$K263),Tarification!$D$9,IF(AND(AA548&lt;=$K263,AA548&gt;0),Tarification!$D$10,0)))</f>
        <v>0</v>
      </c>
      <c r="AB838" s="37">
        <f>IF(AND(AB548&lt;=$I263,AB548&gt;$J263),Tarification!$D$8,IF(AND(AB548&lt;=$J263,AB548&gt;$K263),Tarification!$D$9,IF(AND(AB548&lt;=$K263,AB548&gt;0),Tarification!$D$10,0)))</f>
        <v>0</v>
      </c>
      <c r="AC838" s="37">
        <f>IF(AND(AC548&lt;=$I263,AC548&gt;$J263),Tarification!$D$8,IF(AND(AC548&lt;=$J263,AC548&gt;$K263),Tarification!$D$9,IF(AND(AC548&lt;=$K263,AC548&gt;0),Tarification!$D$10,0)))</f>
        <v>125000</v>
      </c>
      <c r="AD838" s="37">
        <f>IF(AND(AD548&lt;=$I263,AD548&gt;$J263),Tarification!$D$8,IF(AND(AD548&lt;=$J263,AD548&gt;$K263),Tarification!$D$9,IF(AND(AD548&lt;=$K263,AD548&gt;0),Tarification!$D$10,0)))</f>
        <v>125000</v>
      </c>
      <c r="AE838" s="37">
        <f>IF(AND(AE548&lt;=$I263,AE548&gt;$J263),Tarification!$D$8,IF(AND(AE548&lt;=$J263,AE548&gt;$K263),Tarification!$D$9,IF(AND(AE548&lt;=$K263,AE548&gt;0),Tarification!$D$10,0)))</f>
        <v>50000</v>
      </c>
      <c r="AF838" s="37">
        <f>IF(AND(AF548&lt;=$I263,AF548&gt;$J263),Tarification!$D$8,IF(AND(AF548&lt;=$J263,AF548&gt;$K263),Tarification!$D$9,IF(AND(AF548&lt;=$K263,AF548&gt;0),Tarification!$D$10,0)))</f>
        <v>125000</v>
      </c>
      <c r="AG838" s="37">
        <f>IF(AND(AG548&lt;=$I263,AG548&gt;$J263),Tarification!$D$8,IF(AND(AG548&lt;=$J263,AG548&gt;$K263),Tarification!$D$9,IF(AND(AG548&lt;=$K263,AG548&gt;0),Tarification!$D$10,0)))</f>
        <v>0</v>
      </c>
      <c r="AH838" s="37">
        <f>IF(AND(AH548&lt;=$I263,AH548&gt;$J263),Tarification!$D$8,IF(AND(AH548&lt;=$J263,AH548&gt;$K263),Tarification!$D$9,IF(AND(AH548&lt;=$K263,AH548&gt;0),Tarification!$D$10,0)))</f>
        <v>0</v>
      </c>
      <c r="AI838" s="37">
        <f>IF(AND(AI548&lt;=$I263,AI548&gt;$J263),Tarification!$D$8,IF(AND(AI548&lt;=$J263,AI548&gt;$K263),Tarification!$D$9,IF(AND(AI548&lt;=$K263,AI548&gt;0),Tarification!$D$10,0)))</f>
        <v>0</v>
      </c>
      <c r="AJ838" s="37">
        <f>IF(AND(AJ548&lt;=$I263,AJ548&gt;$J263),Tarification!$D$8,IF(AND(AJ548&lt;=$J263,AJ548&gt;$K263),Tarification!$D$9,IF(AND(AJ548&lt;=$K263,AJ548&gt;0),Tarification!$D$10,0)))</f>
        <v>50000</v>
      </c>
      <c r="AK838" s="37">
        <f>IF(AND(AK548&lt;=$I263,AK548&gt;$J263),Tarification!$D$8,IF(AND(AK548&lt;=$J263,AK548&gt;$K263),Tarification!$D$9,IF(AND(AK548&lt;=$K263,AK548&gt;0),Tarification!$D$10,0)))</f>
        <v>0</v>
      </c>
      <c r="AL838" s="37">
        <f>IF(AND(AL548&lt;=$I263,AL548&gt;$J263),Tarification!$D$8,IF(AND(AL548&lt;=$J263,AL548&gt;$K263),Tarification!$D$9,IF(AND(AL548&lt;=$K263,AL548&gt;0),Tarification!$D$10,0)))</f>
        <v>0</v>
      </c>
      <c r="AM838" s="37">
        <f>IF(AND(AM548&lt;=$I263,AM548&gt;$J263),Tarification!$D$8,IF(AND(AM548&lt;=$J263,AM548&gt;$K263),Tarification!$D$9,IF(AND(AM548&lt;=$K263,AM548&gt;0),Tarification!$D$10,0)))</f>
        <v>0</v>
      </c>
      <c r="AN838" s="37">
        <f>IF(AND(AN548&lt;=$I263,AN548&gt;$J263),Tarification!$D$8,IF(AND(AN548&lt;=$J263,AN548&gt;$K263),Tarification!$D$9,IF(AND(AN548&lt;=$K263,AN548&gt;0),Tarification!$D$10,0)))</f>
        <v>125000</v>
      </c>
      <c r="AQ838" s="101">
        <f t="shared" si="151"/>
        <v>31578.947368421053</v>
      </c>
    </row>
    <row r="839" spans="14:43" ht="15.6">
      <c r="N839" s="39" t="s">
        <v>27</v>
      </c>
      <c r="O839" s="39" t="s">
        <v>184</v>
      </c>
      <c r="P839" t="s">
        <v>856</v>
      </c>
      <c r="Q839" s="39"/>
      <c r="V839" s="37">
        <f>IF(AND(V549&lt;=$I264,V549&gt;$J264),Tarification!$D$8,IF(AND(V549&lt;=$J264,V549&gt;$K264),Tarification!$D$9,IF(AND(V549&lt;=$K264,V549&gt;0),Tarification!$D$10,0)))</f>
        <v>0</v>
      </c>
      <c r="W839" s="37">
        <f>IF(AND(W549&lt;=$I264,W549&gt;$J264),Tarification!$D$8,IF(AND(W549&lt;=$J264,W549&gt;$K264),Tarification!$D$9,IF(AND(W549&lt;=$K264,W549&gt;0),Tarification!$D$10,0)))</f>
        <v>0</v>
      </c>
      <c r="X839" s="37">
        <f>IF(AND(X549&lt;=$I264,X549&gt;$J264),Tarification!$D$8,IF(AND(X549&lt;=$J264,X549&gt;$K264),Tarification!$D$9,IF(AND(X549&lt;=$K264,X549&gt;0),Tarification!$D$10,0)))</f>
        <v>0</v>
      </c>
      <c r="Y839" s="37">
        <f>IF(AND(Y549&lt;=$I264,Y549&gt;$J264),Tarification!$D$8,IF(AND(Y549&lt;=$J264,Y549&gt;$K264),Tarification!$D$9,IF(AND(Y549&lt;=$K264,Y549&gt;0),Tarification!$D$10,0)))</f>
        <v>0</v>
      </c>
      <c r="Z839" s="37">
        <f>IF(AND(Z549&lt;=$I264,Z549&gt;$J264),Tarification!$D$8,IF(AND(Z549&lt;=$J264,Z549&gt;$K264),Tarification!$D$9,IF(AND(Z549&lt;=$K264,Z549&gt;0),Tarification!$D$10,0)))</f>
        <v>0</v>
      </c>
      <c r="AA839" s="37">
        <f>IF(AND(AA549&lt;=$I264,AA549&gt;$J264),Tarification!$D$8,IF(AND(AA549&lt;=$J264,AA549&gt;$K264),Tarification!$D$9,IF(AND(AA549&lt;=$K264,AA549&gt;0),Tarification!$D$10,0)))</f>
        <v>0</v>
      </c>
      <c r="AB839" s="37">
        <f>IF(AND(AB549&lt;=$I264,AB549&gt;$J264),Tarification!$D$8,IF(AND(AB549&lt;=$J264,AB549&gt;$K264),Tarification!$D$9,IF(AND(AB549&lt;=$K264,AB549&gt;0),Tarification!$D$10,0)))</f>
        <v>0</v>
      </c>
      <c r="AC839" s="37">
        <f>IF(AND(AC549&lt;=$I264,AC549&gt;$J264),Tarification!$D$8,IF(AND(AC549&lt;=$J264,AC549&gt;$K264),Tarification!$D$9,IF(AND(AC549&lt;=$K264,AC549&gt;0),Tarification!$D$10,0)))</f>
        <v>0</v>
      </c>
      <c r="AD839" s="37">
        <f>IF(AND(AD549&lt;=$I264,AD549&gt;$J264),Tarification!$D$8,IF(AND(AD549&lt;=$J264,AD549&gt;$K264),Tarification!$D$9,IF(AND(AD549&lt;=$K264,AD549&gt;0),Tarification!$D$10,0)))</f>
        <v>0</v>
      </c>
      <c r="AE839" s="37">
        <f>IF(AND(AE549&lt;=$I264,AE549&gt;$J264),Tarification!$D$8,IF(AND(AE549&lt;=$J264,AE549&gt;$K264),Tarification!$D$9,IF(AND(AE549&lt;=$K264,AE549&gt;0),Tarification!$D$10,0)))</f>
        <v>0</v>
      </c>
      <c r="AF839" s="37">
        <f>IF(AND(AF549&lt;=$I264,AF549&gt;$J264),Tarification!$D$8,IF(AND(AF549&lt;=$J264,AF549&gt;$K264),Tarification!$D$9,IF(AND(AF549&lt;=$K264,AF549&gt;0),Tarification!$D$10,0)))</f>
        <v>0</v>
      </c>
      <c r="AG839" s="37">
        <f>IF(AND(AG549&lt;=$I264,AG549&gt;$J264),Tarification!$D$8,IF(AND(AG549&lt;=$J264,AG549&gt;$K264),Tarification!$D$9,IF(AND(AG549&lt;=$K264,AG549&gt;0),Tarification!$D$10,0)))</f>
        <v>0</v>
      </c>
      <c r="AH839" s="37">
        <f>IF(AND(AH549&lt;=$I264,AH549&gt;$J264),Tarification!$D$8,IF(AND(AH549&lt;=$J264,AH549&gt;$K264),Tarification!$D$9,IF(AND(AH549&lt;=$K264,AH549&gt;0),Tarification!$D$10,0)))</f>
        <v>0</v>
      </c>
      <c r="AI839" s="37">
        <f>IF(AND(AI549&lt;=$I264,AI549&gt;$J264),Tarification!$D$8,IF(AND(AI549&lt;=$J264,AI549&gt;$K264),Tarification!$D$9,IF(AND(AI549&lt;=$K264,AI549&gt;0),Tarification!$D$10,0)))</f>
        <v>0</v>
      </c>
      <c r="AJ839" s="37">
        <f>IF(AND(AJ549&lt;=$I264,AJ549&gt;$J264),Tarification!$D$8,IF(AND(AJ549&lt;=$J264,AJ549&gt;$K264),Tarification!$D$9,IF(AND(AJ549&lt;=$K264,AJ549&gt;0),Tarification!$D$10,0)))</f>
        <v>0</v>
      </c>
      <c r="AK839" s="37">
        <f>IF(AND(AK549&lt;=$I264,AK549&gt;$J264),Tarification!$D$8,IF(AND(AK549&lt;=$J264,AK549&gt;$K264),Tarification!$D$9,IF(AND(AK549&lt;=$K264,AK549&gt;0),Tarification!$D$10,0)))</f>
        <v>0</v>
      </c>
      <c r="AL839" s="37">
        <f>IF(AND(AL549&lt;=$I264,AL549&gt;$J264),Tarification!$D$8,IF(AND(AL549&lt;=$J264,AL549&gt;$K264),Tarification!$D$9,IF(AND(AL549&lt;=$K264,AL549&gt;0),Tarification!$D$10,0)))</f>
        <v>0</v>
      </c>
      <c r="AM839" s="37">
        <f>IF(AND(AM549&lt;=$I264,AM549&gt;$J264),Tarification!$D$8,IF(AND(AM549&lt;=$J264,AM549&gt;$K264),Tarification!$D$9,IF(AND(AM549&lt;=$K264,AM549&gt;0),Tarification!$D$10,0)))</f>
        <v>0</v>
      </c>
      <c r="AN839" s="37">
        <f>IF(AND(AN549&lt;=$I264,AN549&gt;$J264),Tarification!$D$8,IF(AND(AN549&lt;=$J264,AN549&gt;$K264),Tarification!$D$9,IF(AND(AN549&lt;=$K264,AN549&gt;0),Tarification!$D$10,0)))</f>
        <v>0</v>
      </c>
      <c r="AQ839" s="101">
        <f t="shared" si="151"/>
        <v>0</v>
      </c>
    </row>
    <row r="840" spans="14:43" ht="15.6">
      <c r="N840" s="39" t="s">
        <v>27</v>
      </c>
      <c r="O840" s="39" t="s">
        <v>613</v>
      </c>
      <c r="P840" t="s">
        <v>857</v>
      </c>
      <c r="Q840" s="39"/>
      <c r="V840" s="37">
        <f>IF(AND(V550&lt;=$I265,V550&gt;$J265),Tarification!$D$8,IF(AND(V550&lt;=$J265,V550&gt;$K265),Tarification!$D$9,IF(AND(V550&lt;=$K265,V550&gt;0),Tarification!$D$10,0)))</f>
        <v>0</v>
      </c>
      <c r="W840" s="37">
        <f>IF(AND(W550&lt;=$I265,W550&gt;$J265),Tarification!$D$8,IF(AND(W550&lt;=$J265,W550&gt;$K265),Tarification!$D$9,IF(AND(W550&lt;=$K265,W550&gt;0),Tarification!$D$10,0)))</f>
        <v>50000</v>
      </c>
      <c r="X840" s="37">
        <f>IF(AND(X550&lt;=$I265,X550&gt;$J265),Tarification!$D$8,IF(AND(X550&lt;=$J265,X550&gt;$K265),Tarification!$D$9,IF(AND(X550&lt;=$K265,X550&gt;0),Tarification!$D$10,0)))</f>
        <v>0</v>
      </c>
      <c r="Y840" s="37">
        <f>IF(AND(Y550&lt;=$I265,Y550&gt;$J265),Tarification!$D$8,IF(AND(Y550&lt;=$J265,Y550&gt;$K265),Tarification!$D$9,IF(AND(Y550&lt;=$K265,Y550&gt;0),Tarification!$D$10,0)))</f>
        <v>0</v>
      </c>
      <c r="Z840" s="37">
        <f>IF(AND(Z550&lt;=$I265,Z550&gt;$J265),Tarification!$D$8,IF(AND(Z550&lt;=$J265,Z550&gt;$K265),Tarification!$D$9,IF(AND(Z550&lt;=$K265,Z550&gt;0),Tarification!$D$10,0)))</f>
        <v>0</v>
      </c>
      <c r="AA840" s="37">
        <f>IF(AND(AA550&lt;=$I265,AA550&gt;$J265),Tarification!$D$8,IF(AND(AA550&lt;=$J265,AA550&gt;$K265),Tarification!$D$9,IF(AND(AA550&lt;=$K265,AA550&gt;0),Tarification!$D$10,0)))</f>
        <v>0</v>
      </c>
      <c r="AB840" s="37">
        <f>IF(AND(AB550&lt;=$I265,AB550&gt;$J265),Tarification!$D$8,IF(AND(AB550&lt;=$J265,AB550&gt;$K265),Tarification!$D$9,IF(AND(AB550&lt;=$K265,AB550&gt;0),Tarification!$D$10,0)))</f>
        <v>0</v>
      </c>
      <c r="AC840" s="37">
        <f>IF(AND(AC550&lt;=$I265,AC550&gt;$J265),Tarification!$D$8,IF(AND(AC550&lt;=$J265,AC550&gt;$K265),Tarification!$D$9,IF(AND(AC550&lt;=$K265,AC550&gt;0),Tarification!$D$10,0)))</f>
        <v>125000</v>
      </c>
      <c r="AD840" s="37">
        <f>IF(AND(AD550&lt;=$I265,AD550&gt;$J265),Tarification!$D$8,IF(AND(AD550&lt;=$J265,AD550&gt;$K265),Tarification!$D$9,IF(AND(AD550&lt;=$K265,AD550&gt;0),Tarification!$D$10,0)))</f>
        <v>125000</v>
      </c>
      <c r="AE840" s="37">
        <f>IF(AND(AE550&lt;=$I265,AE550&gt;$J265),Tarification!$D$8,IF(AND(AE550&lt;=$J265,AE550&gt;$K265),Tarification!$D$9,IF(AND(AE550&lt;=$K265,AE550&gt;0),Tarification!$D$10,0)))</f>
        <v>250000</v>
      </c>
      <c r="AF840" s="37">
        <f>IF(AND(AF550&lt;=$I265,AF550&gt;$J265),Tarification!$D$8,IF(AND(AF550&lt;=$J265,AF550&gt;$K265),Tarification!$D$9,IF(AND(AF550&lt;=$K265,AF550&gt;0),Tarification!$D$10,0)))</f>
        <v>50000</v>
      </c>
      <c r="AG840" s="37">
        <f>IF(AND(AG550&lt;=$I265,AG550&gt;$J265),Tarification!$D$8,IF(AND(AG550&lt;=$J265,AG550&gt;$K265),Tarification!$D$9,IF(AND(AG550&lt;=$K265,AG550&gt;0),Tarification!$D$10,0)))</f>
        <v>0</v>
      </c>
      <c r="AH840" s="37">
        <f>IF(AND(AH550&lt;=$I265,AH550&gt;$J265),Tarification!$D$8,IF(AND(AH550&lt;=$J265,AH550&gt;$K265),Tarification!$D$9,IF(AND(AH550&lt;=$K265,AH550&gt;0),Tarification!$D$10,0)))</f>
        <v>0</v>
      </c>
      <c r="AI840" s="37">
        <f>IF(AND(AI550&lt;=$I265,AI550&gt;$J265),Tarification!$D$8,IF(AND(AI550&lt;=$J265,AI550&gt;$K265),Tarification!$D$9,IF(AND(AI550&lt;=$K265,AI550&gt;0),Tarification!$D$10,0)))</f>
        <v>0</v>
      </c>
      <c r="AJ840" s="37">
        <f>IF(AND(AJ550&lt;=$I265,AJ550&gt;$J265),Tarification!$D$8,IF(AND(AJ550&lt;=$J265,AJ550&gt;$K265),Tarification!$D$9,IF(AND(AJ550&lt;=$K265,AJ550&gt;0),Tarification!$D$10,0)))</f>
        <v>0</v>
      </c>
      <c r="AK840" s="37">
        <f>IF(AND(AK550&lt;=$I265,AK550&gt;$J265),Tarification!$D$8,IF(AND(AK550&lt;=$J265,AK550&gt;$K265),Tarification!$D$9,IF(AND(AK550&lt;=$K265,AK550&gt;0),Tarification!$D$10,0)))</f>
        <v>0</v>
      </c>
      <c r="AL840" s="37">
        <f>IF(AND(AL550&lt;=$I265,AL550&gt;$J265),Tarification!$D$8,IF(AND(AL550&lt;=$J265,AL550&gt;$K265),Tarification!$D$9,IF(AND(AL550&lt;=$K265,AL550&gt;0),Tarification!$D$10,0)))</f>
        <v>0</v>
      </c>
      <c r="AM840" s="37">
        <f>IF(AND(AM550&lt;=$I265,AM550&gt;$J265),Tarification!$D$8,IF(AND(AM550&lt;=$J265,AM550&gt;$K265),Tarification!$D$9,IF(AND(AM550&lt;=$K265,AM550&gt;0),Tarification!$D$10,0)))</f>
        <v>0</v>
      </c>
      <c r="AN840" s="37">
        <f>IF(AND(AN550&lt;=$I265,AN550&gt;$J265),Tarification!$D$8,IF(AND(AN550&lt;=$J265,AN550&gt;$K265),Tarification!$D$9,IF(AND(AN550&lt;=$K265,AN550&gt;0),Tarification!$D$10,0)))</f>
        <v>250000</v>
      </c>
      <c r="AQ840" s="101">
        <f t="shared" ref="AQ840:AQ859" si="152">AVERAGE(V840:AN840)</f>
        <v>44736.84210526316</v>
      </c>
    </row>
    <row r="841" spans="14:43" ht="15.6">
      <c r="N841" s="39" t="s">
        <v>27</v>
      </c>
      <c r="O841" s="39" t="s">
        <v>618</v>
      </c>
      <c r="P841" t="s">
        <v>858</v>
      </c>
      <c r="Q841" s="39"/>
      <c r="V841" s="37">
        <f>IF(AND(V551&lt;=$I266,V551&gt;$J266),Tarification!$D$8,IF(AND(V551&lt;=$J266,V551&gt;$K266),Tarification!$D$9,IF(AND(V551&lt;=$K266,V551&gt;0),Tarification!$D$10,0)))</f>
        <v>0</v>
      </c>
      <c r="W841" s="37">
        <f>IF(AND(W551&lt;=$I266,W551&gt;$J266),Tarification!$D$8,IF(AND(W551&lt;=$J266,W551&gt;$K266),Tarification!$D$9,IF(AND(W551&lt;=$K266,W551&gt;0),Tarification!$D$10,0)))</f>
        <v>50000</v>
      </c>
      <c r="X841" s="37">
        <f>IF(AND(X551&lt;=$I266,X551&gt;$J266),Tarification!$D$8,IF(AND(X551&lt;=$J266,X551&gt;$K266),Tarification!$D$9,IF(AND(X551&lt;=$K266,X551&gt;0),Tarification!$D$10,0)))</f>
        <v>0</v>
      </c>
      <c r="Y841" s="37">
        <f>IF(AND(Y551&lt;=$I266,Y551&gt;$J266),Tarification!$D$8,IF(AND(Y551&lt;=$J266,Y551&gt;$K266),Tarification!$D$9,IF(AND(Y551&lt;=$K266,Y551&gt;0),Tarification!$D$10,0)))</f>
        <v>0</v>
      </c>
      <c r="Z841" s="37">
        <f>IF(AND(Z551&lt;=$I266,Z551&gt;$J266),Tarification!$D$8,IF(AND(Z551&lt;=$J266,Z551&gt;$K266),Tarification!$D$9,IF(AND(Z551&lt;=$K266,Z551&gt;0),Tarification!$D$10,0)))</f>
        <v>50000</v>
      </c>
      <c r="AA841" s="37">
        <f>IF(AND(AA551&lt;=$I266,AA551&gt;$J266),Tarification!$D$8,IF(AND(AA551&lt;=$J266,AA551&gt;$K266),Tarification!$D$9,IF(AND(AA551&lt;=$K266,AA551&gt;0),Tarification!$D$10,0)))</f>
        <v>0</v>
      </c>
      <c r="AB841" s="37">
        <f>IF(AND(AB551&lt;=$I266,AB551&gt;$J266),Tarification!$D$8,IF(AND(AB551&lt;=$J266,AB551&gt;$K266),Tarification!$D$9,IF(AND(AB551&lt;=$K266,AB551&gt;0),Tarification!$D$10,0)))</f>
        <v>0</v>
      </c>
      <c r="AC841" s="37">
        <f>IF(AND(AC551&lt;=$I266,AC551&gt;$J266),Tarification!$D$8,IF(AND(AC551&lt;=$J266,AC551&gt;$K266),Tarification!$D$9,IF(AND(AC551&lt;=$K266,AC551&gt;0),Tarification!$D$10,0)))</f>
        <v>0</v>
      </c>
      <c r="AD841" s="37">
        <f>IF(AND(AD551&lt;=$I266,AD551&gt;$J266),Tarification!$D$8,IF(AND(AD551&lt;=$J266,AD551&gt;$K266),Tarification!$D$9,IF(AND(AD551&lt;=$K266,AD551&gt;0),Tarification!$D$10,0)))</f>
        <v>125000</v>
      </c>
      <c r="AE841" s="37">
        <f>IF(AND(AE551&lt;=$I266,AE551&gt;$J266),Tarification!$D$8,IF(AND(AE551&lt;=$J266,AE551&gt;$K266),Tarification!$D$9,IF(AND(AE551&lt;=$K266,AE551&gt;0),Tarification!$D$10,0)))</f>
        <v>0</v>
      </c>
      <c r="AF841" s="37">
        <f>IF(AND(AF551&lt;=$I266,AF551&gt;$J266),Tarification!$D$8,IF(AND(AF551&lt;=$J266,AF551&gt;$K266),Tarification!$D$9,IF(AND(AF551&lt;=$K266,AF551&gt;0),Tarification!$D$10,0)))</f>
        <v>0</v>
      </c>
      <c r="AG841" s="37">
        <f>IF(AND(AG551&lt;=$I266,AG551&gt;$J266),Tarification!$D$8,IF(AND(AG551&lt;=$J266,AG551&gt;$K266),Tarification!$D$9,IF(AND(AG551&lt;=$K266,AG551&gt;0),Tarification!$D$10,0)))</f>
        <v>50000</v>
      </c>
      <c r="AH841" s="37">
        <f>IF(AND(AH551&lt;=$I266,AH551&gt;$J266),Tarification!$D$8,IF(AND(AH551&lt;=$J266,AH551&gt;$K266),Tarification!$D$9,IF(AND(AH551&lt;=$K266,AH551&gt;0),Tarification!$D$10,0)))</f>
        <v>0</v>
      </c>
      <c r="AI841" s="37">
        <f>IF(AND(AI551&lt;=$I266,AI551&gt;$J266),Tarification!$D$8,IF(AND(AI551&lt;=$J266,AI551&gt;$K266),Tarification!$D$9,IF(AND(AI551&lt;=$K266,AI551&gt;0),Tarification!$D$10,0)))</f>
        <v>0</v>
      </c>
      <c r="AJ841" s="37">
        <f>IF(AND(AJ551&lt;=$I266,AJ551&gt;$J266),Tarification!$D$8,IF(AND(AJ551&lt;=$J266,AJ551&gt;$K266),Tarification!$D$9,IF(AND(AJ551&lt;=$K266,AJ551&gt;0),Tarification!$D$10,0)))</f>
        <v>0</v>
      </c>
      <c r="AK841" s="37">
        <f>IF(AND(AK551&lt;=$I266,AK551&gt;$J266),Tarification!$D$8,IF(AND(AK551&lt;=$J266,AK551&gt;$K266),Tarification!$D$9,IF(AND(AK551&lt;=$K266,AK551&gt;0),Tarification!$D$10,0)))</f>
        <v>0</v>
      </c>
      <c r="AL841" s="37">
        <f>IF(AND(AL551&lt;=$I266,AL551&gt;$J266),Tarification!$D$8,IF(AND(AL551&lt;=$J266,AL551&gt;$K266),Tarification!$D$9,IF(AND(AL551&lt;=$K266,AL551&gt;0),Tarification!$D$10,0)))</f>
        <v>0</v>
      </c>
      <c r="AM841" s="37">
        <f>IF(AND(AM551&lt;=$I266,AM551&gt;$J266),Tarification!$D$8,IF(AND(AM551&lt;=$J266,AM551&gt;$K266),Tarification!$D$9,IF(AND(AM551&lt;=$K266,AM551&gt;0),Tarification!$D$10,0)))</f>
        <v>0</v>
      </c>
      <c r="AN841" s="37">
        <f>IF(AND(AN551&lt;=$I266,AN551&gt;$J266),Tarification!$D$8,IF(AND(AN551&lt;=$J266,AN551&gt;$K266),Tarification!$D$9,IF(AND(AN551&lt;=$K266,AN551&gt;0),Tarification!$D$10,0)))</f>
        <v>50000</v>
      </c>
      <c r="AQ841" s="101">
        <f t="shared" si="152"/>
        <v>17105.263157894737</v>
      </c>
    </row>
    <row r="842" spans="14:43" ht="15.6">
      <c r="N842" s="39" t="s">
        <v>27</v>
      </c>
      <c r="O842" s="39" t="s">
        <v>530</v>
      </c>
      <c r="P842" t="s">
        <v>859</v>
      </c>
      <c r="Q842" s="39"/>
      <c r="V842" s="37">
        <f>IF(AND(V552&lt;=$I267,V552&gt;$J267),Tarification!$D$8,IF(AND(V552&lt;=$J267,V552&gt;$K267),Tarification!$D$9,IF(AND(V552&lt;=$K267,V552&gt;0),Tarification!$D$10,0)))</f>
        <v>0</v>
      </c>
      <c r="W842" s="37">
        <f>IF(AND(W552&lt;=$I267,W552&gt;$J267),Tarification!$D$8,IF(AND(W552&lt;=$J267,W552&gt;$K267),Tarification!$D$9,IF(AND(W552&lt;=$K267,W552&gt;0),Tarification!$D$10,0)))</f>
        <v>50000</v>
      </c>
      <c r="X842" s="37">
        <f>IF(AND(X552&lt;=$I267,X552&gt;$J267),Tarification!$D$8,IF(AND(X552&lt;=$J267,X552&gt;$K267),Tarification!$D$9,IF(AND(X552&lt;=$K267,X552&gt;0),Tarification!$D$10,0)))</f>
        <v>0</v>
      </c>
      <c r="Y842" s="37">
        <f>IF(AND(Y552&lt;=$I267,Y552&gt;$J267),Tarification!$D$8,IF(AND(Y552&lt;=$J267,Y552&gt;$K267),Tarification!$D$9,IF(AND(Y552&lt;=$K267,Y552&gt;0),Tarification!$D$10,0)))</f>
        <v>0</v>
      </c>
      <c r="Z842" s="37">
        <f>IF(AND(Z552&lt;=$I267,Z552&gt;$J267),Tarification!$D$8,IF(AND(Z552&lt;=$J267,Z552&gt;$K267),Tarification!$D$9,IF(AND(Z552&lt;=$K267,Z552&gt;0),Tarification!$D$10,0)))</f>
        <v>50000</v>
      </c>
      <c r="AA842" s="37">
        <f>IF(AND(AA552&lt;=$I267,AA552&gt;$J267),Tarification!$D$8,IF(AND(AA552&lt;=$J267,AA552&gt;$K267),Tarification!$D$9,IF(AND(AA552&lt;=$K267,AA552&gt;0),Tarification!$D$10,0)))</f>
        <v>0</v>
      </c>
      <c r="AB842" s="37">
        <f>IF(AND(AB552&lt;=$I267,AB552&gt;$J267),Tarification!$D$8,IF(AND(AB552&lt;=$J267,AB552&gt;$K267),Tarification!$D$9,IF(AND(AB552&lt;=$K267,AB552&gt;0),Tarification!$D$10,0)))</f>
        <v>0</v>
      </c>
      <c r="AC842" s="37">
        <f>IF(AND(AC552&lt;=$I267,AC552&gt;$J267),Tarification!$D$8,IF(AND(AC552&lt;=$J267,AC552&gt;$K267),Tarification!$D$9,IF(AND(AC552&lt;=$K267,AC552&gt;0),Tarification!$D$10,0)))</f>
        <v>0</v>
      </c>
      <c r="AD842" s="37">
        <f>IF(AND(AD552&lt;=$I267,AD552&gt;$J267),Tarification!$D$8,IF(AND(AD552&lt;=$J267,AD552&gt;$K267),Tarification!$D$9,IF(AND(AD552&lt;=$K267,AD552&gt;0),Tarification!$D$10,0)))</f>
        <v>125000</v>
      </c>
      <c r="AE842" s="37">
        <f>IF(AND(AE552&lt;=$I267,AE552&gt;$J267),Tarification!$D$8,IF(AND(AE552&lt;=$J267,AE552&gt;$K267),Tarification!$D$9,IF(AND(AE552&lt;=$K267,AE552&gt;0),Tarification!$D$10,0)))</f>
        <v>50000</v>
      </c>
      <c r="AF842" s="37">
        <f>IF(AND(AF552&lt;=$I267,AF552&gt;$J267),Tarification!$D$8,IF(AND(AF552&lt;=$J267,AF552&gt;$K267),Tarification!$D$9,IF(AND(AF552&lt;=$K267,AF552&gt;0),Tarification!$D$10,0)))</f>
        <v>50000</v>
      </c>
      <c r="AG842" s="37">
        <f>IF(AND(AG552&lt;=$I267,AG552&gt;$J267),Tarification!$D$8,IF(AND(AG552&lt;=$J267,AG552&gt;$K267),Tarification!$D$9,IF(AND(AG552&lt;=$K267,AG552&gt;0),Tarification!$D$10,0)))</f>
        <v>0</v>
      </c>
      <c r="AH842" s="37">
        <f>IF(AND(AH552&lt;=$I267,AH552&gt;$J267),Tarification!$D$8,IF(AND(AH552&lt;=$J267,AH552&gt;$K267),Tarification!$D$9,IF(AND(AH552&lt;=$K267,AH552&gt;0),Tarification!$D$10,0)))</f>
        <v>0</v>
      </c>
      <c r="AI842" s="37">
        <f>IF(AND(AI552&lt;=$I267,AI552&gt;$J267),Tarification!$D$8,IF(AND(AI552&lt;=$J267,AI552&gt;$K267),Tarification!$D$9,IF(AND(AI552&lt;=$K267,AI552&gt;0),Tarification!$D$10,0)))</f>
        <v>0</v>
      </c>
      <c r="AJ842" s="37">
        <f>IF(AND(AJ552&lt;=$I267,AJ552&gt;$J267),Tarification!$D$8,IF(AND(AJ552&lt;=$J267,AJ552&gt;$K267),Tarification!$D$9,IF(AND(AJ552&lt;=$K267,AJ552&gt;0),Tarification!$D$10,0)))</f>
        <v>0</v>
      </c>
      <c r="AK842" s="37">
        <f>IF(AND(AK552&lt;=$I267,AK552&gt;$J267),Tarification!$D$8,IF(AND(AK552&lt;=$J267,AK552&gt;$K267),Tarification!$D$9,IF(AND(AK552&lt;=$K267,AK552&gt;0),Tarification!$D$10,0)))</f>
        <v>0</v>
      </c>
      <c r="AL842" s="37">
        <f>IF(AND(AL552&lt;=$I267,AL552&gt;$J267),Tarification!$D$8,IF(AND(AL552&lt;=$J267,AL552&gt;$K267),Tarification!$D$9,IF(AND(AL552&lt;=$K267,AL552&gt;0),Tarification!$D$10,0)))</f>
        <v>0</v>
      </c>
      <c r="AM842" s="37">
        <f>IF(AND(AM552&lt;=$I267,AM552&gt;$J267),Tarification!$D$8,IF(AND(AM552&lt;=$J267,AM552&gt;$K267),Tarification!$D$9,IF(AND(AM552&lt;=$K267,AM552&gt;0),Tarification!$D$10,0)))</f>
        <v>0</v>
      </c>
      <c r="AN842" s="37">
        <f>IF(AND(AN552&lt;=$I267,AN552&gt;$J267),Tarification!$D$8,IF(AND(AN552&lt;=$J267,AN552&gt;$K267),Tarification!$D$9,IF(AND(AN552&lt;=$K267,AN552&gt;0),Tarification!$D$10,0)))</f>
        <v>0</v>
      </c>
      <c r="AQ842" s="101">
        <f t="shared" si="152"/>
        <v>17105.263157894737</v>
      </c>
    </row>
    <row r="843" spans="14:43" ht="15.6">
      <c r="N843" s="39" t="s">
        <v>26</v>
      </c>
      <c r="O843" s="39" t="s">
        <v>576</v>
      </c>
      <c r="P843" t="s">
        <v>712</v>
      </c>
      <c r="Q843" s="39"/>
      <c r="V843" s="37">
        <f>IF(AND(V553&lt;=$I268,V553&gt;$J268),Tarification!$D$8,IF(AND(V553&lt;=$J268,V553&gt;$K268),Tarification!$D$9,IF(AND(V553&lt;=$K268,V553&gt;0),Tarification!$D$10,0)))</f>
        <v>0</v>
      </c>
      <c r="W843" s="37">
        <f>IF(AND(W553&lt;=$I268,W553&gt;$J268),Tarification!$D$8,IF(AND(W553&lt;=$J268,W553&gt;$K268),Tarification!$D$9,IF(AND(W553&lt;=$K268,W553&gt;0),Tarification!$D$10,0)))</f>
        <v>0</v>
      </c>
      <c r="X843" s="37">
        <f>IF(AND(X553&lt;=$I268,X553&gt;$J268),Tarification!$D$8,IF(AND(X553&lt;=$J268,X553&gt;$K268),Tarification!$D$9,IF(AND(X553&lt;=$K268,X553&gt;0),Tarification!$D$10,0)))</f>
        <v>0</v>
      </c>
      <c r="Y843" s="37">
        <f>IF(AND(Y553&lt;=$I268,Y553&gt;$J268),Tarification!$D$8,IF(AND(Y553&lt;=$J268,Y553&gt;$K268),Tarification!$D$9,IF(AND(Y553&lt;=$K268,Y553&gt;0),Tarification!$D$10,0)))</f>
        <v>0</v>
      </c>
      <c r="Z843" s="37">
        <f>IF(AND(Z553&lt;=$I268,Z553&gt;$J268),Tarification!$D$8,IF(AND(Z553&lt;=$J268,Z553&gt;$K268),Tarification!$D$9,IF(AND(Z553&lt;=$K268,Z553&gt;0),Tarification!$D$10,0)))</f>
        <v>0</v>
      </c>
      <c r="AA843" s="37">
        <f>IF(AND(AA553&lt;=$I268,AA553&gt;$J268),Tarification!$D$8,IF(AND(AA553&lt;=$J268,AA553&gt;$K268),Tarification!$D$9,IF(AND(AA553&lt;=$K268,AA553&gt;0),Tarification!$D$10,0)))</f>
        <v>0</v>
      </c>
      <c r="AB843" s="37">
        <f>IF(AND(AB553&lt;=$I268,AB553&gt;$J268),Tarification!$D$8,IF(AND(AB553&lt;=$J268,AB553&gt;$K268),Tarification!$D$9,IF(AND(AB553&lt;=$K268,AB553&gt;0),Tarification!$D$10,0)))</f>
        <v>0</v>
      </c>
      <c r="AC843" s="37">
        <f>IF(AND(AC553&lt;=$I268,AC553&gt;$J268),Tarification!$D$8,IF(AND(AC553&lt;=$J268,AC553&gt;$K268),Tarification!$D$9,IF(AND(AC553&lt;=$K268,AC553&gt;0),Tarification!$D$10,0)))</f>
        <v>125000</v>
      </c>
      <c r="AD843" s="37">
        <f>IF(AND(AD553&lt;=$I268,AD553&gt;$J268),Tarification!$D$8,IF(AND(AD553&lt;=$J268,AD553&gt;$K268),Tarification!$D$9,IF(AND(AD553&lt;=$K268,AD553&gt;0),Tarification!$D$10,0)))</f>
        <v>0</v>
      </c>
      <c r="AE843" s="37">
        <f>IF(AND(AE553&lt;=$I268,AE553&gt;$J268),Tarification!$D$8,IF(AND(AE553&lt;=$J268,AE553&gt;$K268),Tarification!$D$9,IF(AND(AE553&lt;=$K268,AE553&gt;0),Tarification!$D$10,0)))</f>
        <v>125000</v>
      </c>
      <c r="AF843" s="37">
        <f>IF(AND(AF553&lt;=$I268,AF553&gt;$J268),Tarification!$D$8,IF(AND(AF553&lt;=$J268,AF553&gt;$K268),Tarification!$D$9,IF(AND(AF553&lt;=$K268,AF553&gt;0),Tarification!$D$10,0)))</f>
        <v>50000</v>
      </c>
      <c r="AG843" s="37">
        <f>IF(AND(AG553&lt;=$I268,AG553&gt;$J268),Tarification!$D$8,IF(AND(AG553&lt;=$J268,AG553&gt;$K268),Tarification!$D$9,IF(AND(AG553&lt;=$K268,AG553&gt;0),Tarification!$D$10,0)))</f>
        <v>0</v>
      </c>
      <c r="AH843" s="37">
        <f>IF(AND(AH553&lt;=$I268,AH553&gt;$J268),Tarification!$D$8,IF(AND(AH553&lt;=$J268,AH553&gt;$K268),Tarification!$D$9,IF(AND(AH553&lt;=$K268,AH553&gt;0),Tarification!$D$10,0)))</f>
        <v>50000</v>
      </c>
      <c r="AI843" s="37">
        <f>IF(AND(AI553&lt;=$I268,AI553&gt;$J268),Tarification!$D$8,IF(AND(AI553&lt;=$J268,AI553&gt;$K268),Tarification!$D$9,IF(AND(AI553&lt;=$K268,AI553&gt;0),Tarification!$D$10,0)))</f>
        <v>0</v>
      </c>
      <c r="AJ843" s="37">
        <f>IF(AND(AJ553&lt;=$I268,AJ553&gt;$J268),Tarification!$D$8,IF(AND(AJ553&lt;=$J268,AJ553&gt;$K268),Tarification!$D$9,IF(AND(AJ553&lt;=$K268,AJ553&gt;0),Tarification!$D$10,0)))</f>
        <v>0</v>
      </c>
      <c r="AK843" s="37">
        <f>IF(AND(AK553&lt;=$I268,AK553&gt;$J268),Tarification!$D$8,IF(AND(AK553&lt;=$J268,AK553&gt;$K268),Tarification!$D$9,IF(AND(AK553&lt;=$K268,AK553&gt;0),Tarification!$D$10,0)))</f>
        <v>0</v>
      </c>
      <c r="AL843" s="37">
        <f>IF(AND(AL553&lt;=$I268,AL553&gt;$J268),Tarification!$D$8,IF(AND(AL553&lt;=$J268,AL553&gt;$K268),Tarification!$D$9,IF(AND(AL553&lt;=$K268,AL553&gt;0),Tarification!$D$10,0)))</f>
        <v>0</v>
      </c>
      <c r="AM843" s="37">
        <f>IF(AND(AM553&lt;=$I268,AM553&gt;$J268),Tarification!$D$8,IF(AND(AM553&lt;=$J268,AM553&gt;$K268),Tarification!$D$9,IF(AND(AM553&lt;=$K268,AM553&gt;0),Tarification!$D$10,0)))</f>
        <v>0</v>
      </c>
      <c r="AN843" s="37">
        <f>IF(AND(AN553&lt;=$I268,AN553&gt;$J268),Tarification!$D$8,IF(AND(AN553&lt;=$J268,AN553&gt;$K268),Tarification!$D$9,IF(AND(AN553&lt;=$K268,AN553&gt;0),Tarification!$D$10,0)))</f>
        <v>50000</v>
      </c>
      <c r="AQ843" s="101">
        <f t="shared" si="152"/>
        <v>21052.63157894737</v>
      </c>
    </row>
    <row r="844" spans="14:43" ht="15.6">
      <c r="N844" s="39" t="s">
        <v>27</v>
      </c>
      <c r="O844" s="39" t="s">
        <v>517</v>
      </c>
      <c r="P844" t="s">
        <v>860</v>
      </c>
      <c r="Q844" s="39"/>
      <c r="V844" s="37">
        <f>IF(AND(V554&lt;=$I269,V554&gt;$J269),Tarification!$D$8,IF(AND(V554&lt;=$J269,V554&gt;$K269),Tarification!$D$9,IF(AND(V554&lt;=$K269,V554&gt;0),Tarification!$D$10,0)))</f>
        <v>0</v>
      </c>
      <c r="W844" s="37">
        <f>IF(AND(W554&lt;=$I269,W554&gt;$J269),Tarification!$D$8,IF(AND(W554&lt;=$J269,W554&gt;$K269),Tarification!$D$9,IF(AND(W554&lt;=$K269,W554&gt;0),Tarification!$D$10,0)))</f>
        <v>0</v>
      </c>
      <c r="X844" s="37">
        <f>IF(AND(X554&lt;=$I269,X554&gt;$J269),Tarification!$D$8,IF(AND(X554&lt;=$J269,X554&gt;$K269),Tarification!$D$9,IF(AND(X554&lt;=$K269,X554&gt;0),Tarification!$D$10,0)))</f>
        <v>0</v>
      </c>
      <c r="Y844" s="37">
        <f>IF(AND(Y554&lt;=$I269,Y554&gt;$J269),Tarification!$D$8,IF(AND(Y554&lt;=$J269,Y554&gt;$K269),Tarification!$D$9,IF(AND(Y554&lt;=$K269,Y554&gt;0),Tarification!$D$10,0)))</f>
        <v>0</v>
      </c>
      <c r="Z844" s="37">
        <f>IF(AND(Z554&lt;=$I269,Z554&gt;$J269),Tarification!$D$8,IF(AND(Z554&lt;=$J269,Z554&gt;$K269),Tarification!$D$9,IF(AND(Z554&lt;=$K269,Z554&gt;0),Tarification!$D$10,0)))</f>
        <v>0</v>
      </c>
      <c r="AA844" s="37">
        <f>IF(AND(AA554&lt;=$I269,AA554&gt;$J269),Tarification!$D$8,IF(AND(AA554&lt;=$J269,AA554&gt;$K269),Tarification!$D$9,IF(AND(AA554&lt;=$K269,AA554&gt;0),Tarification!$D$10,0)))</f>
        <v>0</v>
      </c>
      <c r="AB844" s="37">
        <f>IF(AND(AB554&lt;=$I269,AB554&gt;$J269),Tarification!$D$8,IF(AND(AB554&lt;=$J269,AB554&gt;$K269),Tarification!$D$9,IF(AND(AB554&lt;=$K269,AB554&gt;0),Tarification!$D$10,0)))</f>
        <v>0</v>
      </c>
      <c r="AC844" s="37">
        <f>IF(AND(AC554&lt;=$I269,AC554&gt;$J269),Tarification!$D$8,IF(AND(AC554&lt;=$J269,AC554&gt;$K269),Tarification!$D$9,IF(AND(AC554&lt;=$K269,AC554&gt;0),Tarification!$D$10,0)))</f>
        <v>125000</v>
      </c>
      <c r="AD844" s="37">
        <f>IF(AND(AD554&lt;=$I269,AD554&gt;$J269),Tarification!$D$8,IF(AND(AD554&lt;=$J269,AD554&gt;$K269),Tarification!$D$9,IF(AND(AD554&lt;=$K269,AD554&gt;0),Tarification!$D$10,0)))</f>
        <v>50000</v>
      </c>
      <c r="AE844" s="37">
        <f>IF(AND(AE554&lt;=$I269,AE554&gt;$J269),Tarification!$D$8,IF(AND(AE554&lt;=$J269,AE554&gt;$K269),Tarification!$D$9,IF(AND(AE554&lt;=$K269,AE554&gt;0),Tarification!$D$10,0)))</f>
        <v>50000</v>
      </c>
      <c r="AF844" s="37">
        <f>IF(AND(AF554&lt;=$I269,AF554&gt;$J269),Tarification!$D$8,IF(AND(AF554&lt;=$J269,AF554&gt;$K269),Tarification!$D$9,IF(AND(AF554&lt;=$K269,AF554&gt;0),Tarification!$D$10,0)))</f>
        <v>50000</v>
      </c>
      <c r="AG844" s="37">
        <f>IF(AND(AG554&lt;=$I269,AG554&gt;$J269),Tarification!$D$8,IF(AND(AG554&lt;=$J269,AG554&gt;$K269),Tarification!$D$9,IF(AND(AG554&lt;=$K269,AG554&gt;0),Tarification!$D$10,0)))</f>
        <v>0</v>
      </c>
      <c r="AH844" s="37">
        <f>IF(AND(AH554&lt;=$I269,AH554&gt;$J269),Tarification!$D$8,IF(AND(AH554&lt;=$J269,AH554&gt;$K269),Tarification!$D$9,IF(AND(AH554&lt;=$K269,AH554&gt;0),Tarification!$D$10,0)))</f>
        <v>0</v>
      </c>
      <c r="AI844" s="37">
        <f>IF(AND(AI554&lt;=$I269,AI554&gt;$J269),Tarification!$D$8,IF(AND(AI554&lt;=$J269,AI554&gt;$K269),Tarification!$D$9,IF(AND(AI554&lt;=$K269,AI554&gt;0),Tarification!$D$10,0)))</f>
        <v>0</v>
      </c>
      <c r="AJ844" s="37">
        <f>IF(AND(AJ554&lt;=$I269,AJ554&gt;$J269),Tarification!$D$8,IF(AND(AJ554&lt;=$J269,AJ554&gt;$K269),Tarification!$D$9,IF(AND(AJ554&lt;=$K269,AJ554&gt;0),Tarification!$D$10,0)))</f>
        <v>50000</v>
      </c>
      <c r="AK844" s="37">
        <f>IF(AND(AK554&lt;=$I269,AK554&gt;$J269),Tarification!$D$8,IF(AND(AK554&lt;=$J269,AK554&gt;$K269),Tarification!$D$9,IF(AND(AK554&lt;=$K269,AK554&gt;0),Tarification!$D$10,0)))</f>
        <v>0</v>
      </c>
      <c r="AL844" s="37">
        <f>IF(AND(AL554&lt;=$I269,AL554&gt;$J269),Tarification!$D$8,IF(AND(AL554&lt;=$J269,AL554&gt;$K269),Tarification!$D$9,IF(AND(AL554&lt;=$K269,AL554&gt;0),Tarification!$D$10,0)))</f>
        <v>0</v>
      </c>
      <c r="AM844" s="37">
        <f>IF(AND(AM554&lt;=$I269,AM554&gt;$J269),Tarification!$D$8,IF(AND(AM554&lt;=$J269,AM554&gt;$K269),Tarification!$D$9,IF(AND(AM554&lt;=$K269,AM554&gt;0),Tarification!$D$10,0)))</f>
        <v>0</v>
      </c>
      <c r="AN844" s="37">
        <f>IF(AND(AN554&lt;=$I269,AN554&gt;$J269),Tarification!$D$8,IF(AND(AN554&lt;=$J269,AN554&gt;$K269),Tarification!$D$9,IF(AND(AN554&lt;=$K269,AN554&gt;0),Tarification!$D$10,0)))</f>
        <v>125000</v>
      </c>
      <c r="AQ844" s="101">
        <f t="shared" si="152"/>
        <v>23684.21052631579</v>
      </c>
    </row>
    <row r="845" spans="14:43" ht="15.6">
      <c r="N845" s="39" t="s">
        <v>27</v>
      </c>
      <c r="O845" s="39" t="s">
        <v>494</v>
      </c>
      <c r="P845" t="s">
        <v>861</v>
      </c>
      <c r="Q845" s="39"/>
      <c r="V845" s="37">
        <f>IF(AND(V555&lt;=$I270,V555&gt;$J270),Tarification!$D$8,IF(AND(V555&lt;=$J270,V555&gt;$K270),Tarification!$D$9,IF(AND(V555&lt;=$K270,V555&gt;0),Tarification!$D$10,0)))</f>
        <v>0</v>
      </c>
      <c r="W845" s="37">
        <f>IF(AND(W555&lt;=$I270,W555&gt;$J270),Tarification!$D$8,IF(AND(W555&lt;=$J270,W555&gt;$K270),Tarification!$D$9,IF(AND(W555&lt;=$K270,W555&gt;0),Tarification!$D$10,0)))</f>
        <v>0</v>
      </c>
      <c r="X845" s="37">
        <f>IF(AND(X555&lt;=$I270,X555&gt;$J270),Tarification!$D$8,IF(AND(X555&lt;=$J270,X555&gt;$K270),Tarification!$D$9,IF(AND(X555&lt;=$K270,X555&gt;0),Tarification!$D$10,0)))</f>
        <v>0</v>
      </c>
      <c r="Y845" s="37">
        <f>IF(AND(Y555&lt;=$I270,Y555&gt;$J270),Tarification!$D$8,IF(AND(Y555&lt;=$J270,Y555&gt;$K270),Tarification!$D$9,IF(AND(Y555&lt;=$K270,Y555&gt;0),Tarification!$D$10,0)))</f>
        <v>0</v>
      </c>
      <c r="Z845" s="37">
        <f>IF(AND(Z555&lt;=$I270,Z555&gt;$J270),Tarification!$D$8,IF(AND(Z555&lt;=$J270,Z555&gt;$K270),Tarification!$D$9,IF(AND(Z555&lt;=$K270,Z555&gt;0),Tarification!$D$10,0)))</f>
        <v>0</v>
      </c>
      <c r="AA845" s="37">
        <f>IF(AND(AA555&lt;=$I270,AA555&gt;$J270),Tarification!$D$8,IF(AND(AA555&lt;=$J270,AA555&gt;$K270),Tarification!$D$9,IF(AND(AA555&lt;=$K270,AA555&gt;0),Tarification!$D$10,0)))</f>
        <v>0</v>
      </c>
      <c r="AB845" s="37">
        <f>IF(AND(AB555&lt;=$I270,AB555&gt;$J270),Tarification!$D$8,IF(AND(AB555&lt;=$J270,AB555&gt;$K270),Tarification!$D$9,IF(AND(AB555&lt;=$K270,AB555&gt;0),Tarification!$D$10,0)))</f>
        <v>0</v>
      </c>
      <c r="AC845" s="37">
        <f>IF(AND(AC555&lt;=$I270,AC555&gt;$J270),Tarification!$D$8,IF(AND(AC555&lt;=$J270,AC555&gt;$K270),Tarification!$D$9,IF(AND(AC555&lt;=$K270,AC555&gt;0),Tarification!$D$10,0)))</f>
        <v>0</v>
      </c>
      <c r="AD845" s="37">
        <f>IF(AND(AD555&lt;=$I270,AD555&gt;$J270),Tarification!$D$8,IF(AND(AD555&lt;=$J270,AD555&gt;$K270),Tarification!$D$9,IF(AND(AD555&lt;=$K270,AD555&gt;0),Tarification!$D$10,0)))</f>
        <v>0</v>
      </c>
      <c r="AE845" s="37">
        <f>IF(AND(AE555&lt;=$I270,AE555&gt;$J270),Tarification!$D$8,IF(AND(AE555&lt;=$J270,AE555&gt;$K270),Tarification!$D$9,IF(AND(AE555&lt;=$K270,AE555&gt;0),Tarification!$D$10,0)))</f>
        <v>0</v>
      </c>
      <c r="AF845" s="37">
        <f>IF(AND(AF555&lt;=$I270,AF555&gt;$J270),Tarification!$D$8,IF(AND(AF555&lt;=$J270,AF555&gt;$K270),Tarification!$D$9,IF(AND(AF555&lt;=$K270,AF555&gt;0),Tarification!$D$10,0)))</f>
        <v>0</v>
      </c>
      <c r="AG845" s="37">
        <f>IF(AND(AG555&lt;=$I270,AG555&gt;$J270),Tarification!$D$8,IF(AND(AG555&lt;=$J270,AG555&gt;$K270),Tarification!$D$9,IF(AND(AG555&lt;=$K270,AG555&gt;0),Tarification!$D$10,0)))</f>
        <v>0</v>
      </c>
      <c r="AH845" s="37">
        <f>IF(AND(AH555&lt;=$I270,AH555&gt;$J270),Tarification!$D$8,IF(AND(AH555&lt;=$J270,AH555&gt;$K270),Tarification!$D$9,IF(AND(AH555&lt;=$K270,AH555&gt;0),Tarification!$D$10,0)))</f>
        <v>0</v>
      </c>
      <c r="AI845" s="37">
        <f>IF(AND(AI555&lt;=$I270,AI555&gt;$J270),Tarification!$D$8,IF(AND(AI555&lt;=$J270,AI555&gt;$K270),Tarification!$D$9,IF(AND(AI555&lt;=$K270,AI555&gt;0),Tarification!$D$10,0)))</f>
        <v>0</v>
      </c>
      <c r="AJ845" s="37">
        <f>IF(AND(AJ555&lt;=$I270,AJ555&gt;$J270),Tarification!$D$8,IF(AND(AJ555&lt;=$J270,AJ555&gt;$K270),Tarification!$D$9,IF(AND(AJ555&lt;=$K270,AJ555&gt;0),Tarification!$D$10,0)))</f>
        <v>0</v>
      </c>
      <c r="AK845" s="37">
        <f>IF(AND(AK555&lt;=$I270,AK555&gt;$J270),Tarification!$D$8,IF(AND(AK555&lt;=$J270,AK555&gt;$K270),Tarification!$D$9,IF(AND(AK555&lt;=$K270,AK555&gt;0),Tarification!$D$10,0)))</f>
        <v>0</v>
      </c>
      <c r="AL845" s="37">
        <f>IF(AND(AL555&lt;=$I270,AL555&gt;$J270),Tarification!$D$8,IF(AND(AL555&lt;=$J270,AL555&gt;$K270),Tarification!$D$9,IF(AND(AL555&lt;=$K270,AL555&gt;0),Tarification!$D$10,0)))</f>
        <v>0</v>
      </c>
      <c r="AM845" s="37">
        <f>IF(AND(AM555&lt;=$I270,AM555&gt;$J270),Tarification!$D$8,IF(AND(AM555&lt;=$J270,AM555&gt;$K270),Tarification!$D$9,IF(AND(AM555&lt;=$K270,AM555&gt;0),Tarification!$D$10,0)))</f>
        <v>0</v>
      </c>
      <c r="AN845" s="37">
        <f>IF(AND(AN555&lt;=$I270,AN555&gt;$J270),Tarification!$D$8,IF(AND(AN555&lt;=$J270,AN555&gt;$K270),Tarification!$D$9,IF(AND(AN555&lt;=$K270,AN555&gt;0),Tarification!$D$10,0)))</f>
        <v>0</v>
      </c>
      <c r="AQ845" s="101">
        <f t="shared" si="152"/>
        <v>0</v>
      </c>
    </row>
    <row r="846" spans="14:43" ht="15.6">
      <c r="N846" s="39" t="s">
        <v>27</v>
      </c>
      <c r="O846" s="39" t="s">
        <v>172</v>
      </c>
      <c r="P846" t="s">
        <v>862</v>
      </c>
      <c r="Q846" s="39"/>
      <c r="V846" s="37">
        <f>IF(AND(V556&lt;=$I271,V556&gt;$J271),Tarification!$D$8,IF(AND(V556&lt;=$J271,V556&gt;$K271),Tarification!$D$9,IF(AND(V556&lt;=$K271,V556&gt;0),Tarification!$D$10,0)))</f>
        <v>0</v>
      </c>
      <c r="W846" s="37">
        <f>IF(AND(W556&lt;=$I271,W556&gt;$J271),Tarification!$D$8,IF(AND(W556&lt;=$J271,W556&gt;$K271),Tarification!$D$9,IF(AND(W556&lt;=$K271,W556&gt;0),Tarification!$D$10,0)))</f>
        <v>0</v>
      </c>
      <c r="X846" s="37">
        <f>IF(AND(X556&lt;=$I271,X556&gt;$J271),Tarification!$D$8,IF(AND(X556&lt;=$J271,X556&gt;$K271),Tarification!$D$9,IF(AND(X556&lt;=$K271,X556&gt;0),Tarification!$D$10,0)))</f>
        <v>0</v>
      </c>
      <c r="Y846" s="37">
        <f>IF(AND(Y556&lt;=$I271,Y556&gt;$J271),Tarification!$D$8,IF(AND(Y556&lt;=$J271,Y556&gt;$K271),Tarification!$D$9,IF(AND(Y556&lt;=$K271,Y556&gt;0),Tarification!$D$10,0)))</f>
        <v>0</v>
      </c>
      <c r="Z846" s="37">
        <f>IF(AND(Z556&lt;=$I271,Z556&gt;$J271),Tarification!$D$8,IF(AND(Z556&lt;=$J271,Z556&gt;$K271),Tarification!$D$9,IF(AND(Z556&lt;=$K271,Z556&gt;0),Tarification!$D$10,0)))</f>
        <v>0</v>
      </c>
      <c r="AA846" s="37">
        <f>IF(AND(AA556&lt;=$I271,AA556&gt;$J271),Tarification!$D$8,IF(AND(AA556&lt;=$J271,AA556&gt;$K271),Tarification!$D$9,IF(AND(AA556&lt;=$K271,AA556&gt;0),Tarification!$D$10,0)))</f>
        <v>0</v>
      </c>
      <c r="AB846" s="37">
        <f>IF(AND(AB556&lt;=$I271,AB556&gt;$J271),Tarification!$D$8,IF(AND(AB556&lt;=$J271,AB556&gt;$K271),Tarification!$D$9,IF(AND(AB556&lt;=$K271,AB556&gt;0),Tarification!$D$10,0)))</f>
        <v>0</v>
      </c>
      <c r="AC846" s="37">
        <f>IF(AND(AC556&lt;=$I271,AC556&gt;$J271),Tarification!$D$8,IF(AND(AC556&lt;=$J271,AC556&gt;$K271),Tarification!$D$9,IF(AND(AC556&lt;=$K271,AC556&gt;0),Tarification!$D$10,0)))</f>
        <v>0</v>
      </c>
      <c r="AD846" s="37">
        <f>IF(AND(AD556&lt;=$I271,AD556&gt;$J271),Tarification!$D$8,IF(AND(AD556&lt;=$J271,AD556&gt;$K271),Tarification!$D$9,IF(AND(AD556&lt;=$K271,AD556&gt;0),Tarification!$D$10,0)))</f>
        <v>0</v>
      </c>
      <c r="AE846" s="37">
        <f>IF(AND(AE556&lt;=$I271,AE556&gt;$J271),Tarification!$D$8,IF(AND(AE556&lt;=$J271,AE556&gt;$K271),Tarification!$D$9,IF(AND(AE556&lt;=$K271,AE556&gt;0),Tarification!$D$10,0)))</f>
        <v>0</v>
      </c>
      <c r="AF846" s="37">
        <f>IF(AND(AF556&lt;=$I271,AF556&gt;$J271),Tarification!$D$8,IF(AND(AF556&lt;=$J271,AF556&gt;$K271),Tarification!$D$9,IF(AND(AF556&lt;=$K271,AF556&gt;0),Tarification!$D$10,0)))</f>
        <v>0</v>
      </c>
      <c r="AG846" s="37">
        <f>IF(AND(AG556&lt;=$I271,AG556&gt;$J271),Tarification!$D$8,IF(AND(AG556&lt;=$J271,AG556&gt;$K271),Tarification!$D$9,IF(AND(AG556&lt;=$K271,AG556&gt;0),Tarification!$D$10,0)))</f>
        <v>0</v>
      </c>
      <c r="AH846" s="37">
        <f>IF(AND(AH556&lt;=$I271,AH556&gt;$J271),Tarification!$D$8,IF(AND(AH556&lt;=$J271,AH556&gt;$K271),Tarification!$D$9,IF(AND(AH556&lt;=$K271,AH556&gt;0),Tarification!$D$10,0)))</f>
        <v>0</v>
      </c>
      <c r="AI846" s="37">
        <f>IF(AND(AI556&lt;=$I271,AI556&gt;$J271),Tarification!$D$8,IF(AND(AI556&lt;=$J271,AI556&gt;$K271),Tarification!$D$9,IF(AND(AI556&lt;=$K271,AI556&gt;0),Tarification!$D$10,0)))</f>
        <v>0</v>
      </c>
      <c r="AJ846" s="37">
        <f>IF(AND(AJ556&lt;=$I271,AJ556&gt;$J271),Tarification!$D$8,IF(AND(AJ556&lt;=$J271,AJ556&gt;$K271),Tarification!$D$9,IF(AND(AJ556&lt;=$K271,AJ556&gt;0),Tarification!$D$10,0)))</f>
        <v>0</v>
      </c>
      <c r="AK846" s="37">
        <f>IF(AND(AK556&lt;=$I271,AK556&gt;$J271),Tarification!$D$8,IF(AND(AK556&lt;=$J271,AK556&gt;$K271),Tarification!$D$9,IF(AND(AK556&lt;=$K271,AK556&gt;0),Tarification!$D$10,0)))</f>
        <v>0</v>
      </c>
      <c r="AL846" s="37">
        <f>IF(AND(AL556&lt;=$I271,AL556&gt;$J271),Tarification!$D$8,IF(AND(AL556&lt;=$J271,AL556&gt;$K271),Tarification!$D$9,IF(AND(AL556&lt;=$K271,AL556&gt;0),Tarification!$D$10,0)))</f>
        <v>0</v>
      </c>
      <c r="AM846" s="37">
        <f>IF(AND(AM556&lt;=$I271,AM556&gt;$J271),Tarification!$D$8,IF(AND(AM556&lt;=$J271,AM556&gt;$K271),Tarification!$D$9,IF(AND(AM556&lt;=$K271,AM556&gt;0),Tarification!$D$10,0)))</f>
        <v>0</v>
      </c>
      <c r="AN846" s="37">
        <f>IF(AND(AN556&lt;=$I271,AN556&gt;$J271),Tarification!$D$8,IF(AND(AN556&lt;=$J271,AN556&gt;$K271),Tarification!$D$9,IF(AND(AN556&lt;=$K271,AN556&gt;0),Tarification!$D$10,0)))</f>
        <v>0</v>
      </c>
      <c r="AQ846" s="101">
        <f t="shared" si="152"/>
        <v>0</v>
      </c>
    </row>
    <row r="847" spans="14:43" ht="15.6">
      <c r="N847" s="39" t="s">
        <v>27</v>
      </c>
      <c r="O847" s="39" t="s">
        <v>555</v>
      </c>
      <c r="P847" t="s">
        <v>863</v>
      </c>
      <c r="Q847" s="39"/>
      <c r="V847" s="37">
        <f>IF(AND(V557&lt;=$I272,V557&gt;$J272),Tarification!$D$8,IF(AND(V557&lt;=$J272,V557&gt;$K272),Tarification!$D$9,IF(AND(V557&lt;=$K272,V557&gt;0),Tarification!$D$10,0)))</f>
        <v>0</v>
      </c>
      <c r="W847" s="37">
        <f>IF(AND(W557&lt;=$I272,W557&gt;$J272),Tarification!$D$8,IF(AND(W557&lt;=$J272,W557&gt;$K272),Tarification!$D$9,IF(AND(W557&lt;=$K272,W557&gt;0),Tarification!$D$10,0)))</f>
        <v>50000</v>
      </c>
      <c r="X847" s="37">
        <f>IF(AND(X557&lt;=$I272,X557&gt;$J272),Tarification!$D$8,IF(AND(X557&lt;=$J272,X557&gt;$K272),Tarification!$D$9,IF(AND(X557&lt;=$K272,X557&gt;0),Tarification!$D$10,0)))</f>
        <v>0</v>
      </c>
      <c r="Y847" s="37">
        <f>IF(AND(Y557&lt;=$I272,Y557&gt;$J272),Tarification!$D$8,IF(AND(Y557&lt;=$J272,Y557&gt;$K272),Tarification!$D$9,IF(AND(Y557&lt;=$K272,Y557&gt;0),Tarification!$D$10,0)))</f>
        <v>0</v>
      </c>
      <c r="Z847" s="37">
        <f>IF(AND(Z557&lt;=$I272,Z557&gt;$J272),Tarification!$D$8,IF(AND(Z557&lt;=$J272,Z557&gt;$K272),Tarification!$D$9,IF(AND(Z557&lt;=$K272,Z557&gt;0),Tarification!$D$10,0)))</f>
        <v>50000</v>
      </c>
      <c r="AA847" s="37">
        <f>IF(AND(AA557&lt;=$I272,AA557&gt;$J272),Tarification!$D$8,IF(AND(AA557&lt;=$J272,AA557&gt;$K272),Tarification!$D$9,IF(AND(AA557&lt;=$K272,AA557&gt;0),Tarification!$D$10,0)))</f>
        <v>0</v>
      </c>
      <c r="AB847" s="37">
        <f>IF(AND(AB557&lt;=$I272,AB557&gt;$J272),Tarification!$D$8,IF(AND(AB557&lt;=$J272,AB557&gt;$K272),Tarification!$D$9,IF(AND(AB557&lt;=$K272,AB557&gt;0),Tarification!$D$10,0)))</f>
        <v>0</v>
      </c>
      <c r="AC847" s="37">
        <f>IF(AND(AC557&lt;=$I272,AC557&gt;$J272),Tarification!$D$8,IF(AND(AC557&lt;=$J272,AC557&gt;$K272),Tarification!$D$9,IF(AND(AC557&lt;=$K272,AC557&gt;0),Tarification!$D$10,0)))</f>
        <v>0</v>
      </c>
      <c r="AD847" s="37">
        <f>IF(AND(AD557&lt;=$I272,AD557&gt;$J272),Tarification!$D$8,IF(AND(AD557&lt;=$J272,AD557&gt;$K272),Tarification!$D$9,IF(AND(AD557&lt;=$K272,AD557&gt;0),Tarification!$D$10,0)))</f>
        <v>50000</v>
      </c>
      <c r="AE847" s="37">
        <f>IF(AND(AE557&lt;=$I272,AE557&gt;$J272),Tarification!$D$8,IF(AND(AE557&lt;=$J272,AE557&gt;$K272),Tarification!$D$9,IF(AND(AE557&lt;=$K272,AE557&gt;0),Tarification!$D$10,0)))</f>
        <v>50000</v>
      </c>
      <c r="AF847" s="37">
        <f>IF(AND(AF557&lt;=$I272,AF557&gt;$J272),Tarification!$D$8,IF(AND(AF557&lt;=$J272,AF557&gt;$K272),Tarification!$D$9,IF(AND(AF557&lt;=$K272,AF557&gt;0),Tarification!$D$10,0)))</f>
        <v>50000</v>
      </c>
      <c r="AG847" s="37">
        <f>IF(AND(AG557&lt;=$I272,AG557&gt;$J272),Tarification!$D$8,IF(AND(AG557&lt;=$J272,AG557&gt;$K272),Tarification!$D$9,IF(AND(AG557&lt;=$K272,AG557&gt;0),Tarification!$D$10,0)))</f>
        <v>0</v>
      </c>
      <c r="AH847" s="37">
        <f>IF(AND(AH557&lt;=$I272,AH557&gt;$J272),Tarification!$D$8,IF(AND(AH557&lt;=$J272,AH557&gt;$K272),Tarification!$D$9,IF(AND(AH557&lt;=$K272,AH557&gt;0),Tarification!$D$10,0)))</f>
        <v>0</v>
      </c>
      <c r="AI847" s="37">
        <f>IF(AND(AI557&lt;=$I272,AI557&gt;$J272),Tarification!$D$8,IF(AND(AI557&lt;=$J272,AI557&gt;$K272),Tarification!$D$9,IF(AND(AI557&lt;=$K272,AI557&gt;0),Tarification!$D$10,0)))</f>
        <v>0</v>
      </c>
      <c r="AJ847" s="37">
        <f>IF(AND(AJ557&lt;=$I272,AJ557&gt;$J272),Tarification!$D$8,IF(AND(AJ557&lt;=$J272,AJ557&gt;$K272),Tarification!$D$9,IF(AND(AJ557&lt;=$K272,AJ557&gt;0),Tarification!$D$10,0)))</f>
        <v>0</v>
      </c>
      <c r="AK847" s="37">
        <f>IF(AND(AK557&lt;=$I272,AK557&gt;$J272),Tarification!$D$8,IF(AND(AK557&lt;=$J272,AK557&gt;$K272),Tarification!$D$9,IF(AND(AK557&lt;=$K272,AK557&gt;0),Tarification!$D$10,0)))</f>
        <v>0</v>
      </c>
      <c r="AL847" s="37">
        <f>IF(AND(AL557&lt;=$I272,AL557&gt;$J272),Tarification!$D$8,IF(AND(AL557&lt;=$J272,AL557&gt;$K272),Tarification!$D$9,IF(AND(AL557&lt;=$K272,AL557&gt;0),Tarification!$D$10,0)))</f>
        <v>0</v>
      </c>
      <c r="AM847" s="37">
        <f>IF(AND(AM557&lt;=$I272,AM557&gt;$J272),Tarification!$D$8,IF(AND(AM557&lt;=$J272,AM557&gt;$K272),Tarification!$D$9,IF(AND(AM557&lt;=$K272,AM557&gt;0),Tarification!$D$10,0)))</f>
        <v>0</v>
      </c>
      <c r="AN847" s="37">
        <f>IF(AND(AN557&lt;=$I272,AN557&gt;$J272),Tarification!$D$8,IF(AND(AN557&lt;=$J272,AN557&gt;$K272),Tarification!$D$9,IF(AND(AN557&lt;=$K272,AN557&gt;0),Tarification!$D$10,0)))</f>
        <v>50000</v>
      </c>
      <c r="AQ847" s="101">
        <f t="shared" si="152"/>
        <v>15789.473684210527</v>
      </c>
    </row>
    <row r="848" spans="14:43" ht="15.6">
      <c r="N848" s="39" t="s">
        <v>27</v>
      </c>
      <c r="O848" s="39" t="s">
        <v>184</v>
      </c>
      <c r="P848" t="s">
        <v>864</v>
      </c>
      <c r="Q848" s="39"/>
      <c r="V848" s="37">
        <f>IF(AND(V558&lt;=$I273,V558&gt;$J273),Tarification!$D$8,IF(AND(V558&lt;=$J273,V558&gt;$K273),Tarification!$D$9,IF(AND(V558&lt;=$K273,V558&gt;0),Tarification!$D$10,0)))</f>
        <v>0</v>
      </c>
      <c r="W848" s="37">
        <f>IF(AND(W558&lt;=$I273,W558&gt;$J273),Tarification!$D$8,IF(AND(W558&lt;=$J273,W558&gt;$K273),Tarification!$D$9,IF(AND(W558&lt;=$K273,W558&gt;0),Tarification!$D$10,0)))</f>
        <v>0</v>
      </c>
      <c r="X848" s="37">
        <f>IF(AND(X558&lt;=$I273,X558&gt;$J273),Tarification!$D$8,IF(AND(X558&lt;=$J273,X558&gt;$K273),Tarification!$D$9,IF(AND(X558&lt;=$K273,X558&gt;0),Tarification!$D$10,0)))</f>
        <v>0</v>
      </c>
      <c r="Y848" s="37">
        <f>IF(AND(Y558&lt;=$I273,Y558&gt;$J273),Tarification!$D$8,IF(AND(Y558&lt;=$J273,Y558&gt;$K273),Tarification!$D$9,IF(AND(Y558&lt;=$K273,Y558&gt;0),Tarification!$D$10,0)))</f>
        <v>0</v>
      </c>
      <c r="Z848" s="37">
        <f>IF(AND(Z558&lt;=$I273,Z558&gt;$J273),Tarification!$D$8,IF(AND(Z558&lt;=$J273,Z558&gt;$K273),Tarification!$D$9,IF(AND(Z558&lt;=$K273,Z558&gt;0),Tarification!$D$10,0)))</f>
        <v>0</v>
      </c>
      <c r="AA848" s="37">
        <f>IF(AND(AA558&lt;=$I273,AA558&gt;$J273),Tarification!$D$8,IF(AND(AA558&lt;=$J273,AA558&gt;$K273),Tarification!$D$9,IF(AND(AA558&lt;=$K273,AA558&gt;0),Tarification!$D$10,0)))</f>
        <v>0</v>
      </c>
      <c r="AB848" s="37">
        <f>IF(AND(AB558&lt;=$I273,AB558&gt;$J273),Tarification!$D$8,IF(AND(AB558&lt;=$J273,AB558&gt;$K273),Tarification!$D$9,IF(AND(AB558&lt;=$K273,AB558&gt;0),Tarification!$D$10,0)))</f>
        <v>0</v>
      </c>
      <c r="AC848" s="37">
        <f>IF(AND(AC558&lt;=$I273,AC558&gt;$J273),Tarification!$D$8,IF(AND(AC558&lt;=$J273,AC558&gt;$K273),Tarification!$D$9,IF(AND(AC558&lt;=$K273,AC558&gt;0),Tarification!$D$10,0)))</f>
        <v>0</v>
      </c>
      <c r="AD848" s="37">
        <f>IF(AND(AD558&lt;=$I273,AD558&gt;$J273),Tarification!$D$8,IF(AND(AD558&lt;=$J273,AD558&gt;$K273),Tarification!$D$9,IF(AND(AD558&lt;=$K273,AD558&gt;0),Tarification!$D$10,0)))</f>
        <v>0</v>
      </c>
      <c r="AE848" s="37">
        <f>IF(AND(AE558&lt;=$I273,AE558&gt;$J273),Tarification!$D$8,IF(AND(AE558&lt;=$J273,AE558&gt;$K273),Tarification!$D$9,IF(AND(AE558&lt;=$K273,AE558&gt;0),Tarification!$D$10,0)))</f>
        <v>0</v>
      </c>
      <c r="AF848" s="37">
        <f>IF(AND(AF558&lt;=$I273,AF558&gt;$J273),Tarification!$D$8,IF(AND(AF558&lt;=$J273,AF558&gt;$K273),Tarification!$D$9,IF(AND(AF558&lt;=$K273,AF558&gt;0),Tarification!$D$10,0)))</f>
        <v>0</v>
      </c>
      <c r="AG848" s="37">
        <f>IF(AND(AG558&lt;=$I273,AG558&gt;$J273),Tarification!$D$8,IF(AND(AG558&lt;=$J273,AG558&gt;$K273),Tarification!$D$9,IF(AND(AG558&lt;=$K273,AG558&gt;0),Tarification!$D$10,0)))</f>
        <v>0</v>
      </c>
      <c r="AH848" s="37">
        <f>IF(AND(AH558&lt;=$I273,AH558&gt;$J273),Tarification!$D$8,IF(AND(AH558&lt;=$J273,AH558&gt;$K273),Tarification!$D$9,IF(AND(AH558&lt;=$K273,AH558&gt;0),Tarification!$D$10,0)))</f>
        <v>0</v>
      </c>
      <c r="AI848" s="37">
        <f>IF(AND(AI558&lt;=$I273,AI558&gt;$J273),Tarification!$D$8,IF(AND(AI558&lt;=$J273,AI558&gt;$K273),Tarification!$D$9,IF(AND(AI558&lt;=$K273,AI558&gt;0),Tarification!$D$10,0)))</f>
        <v>0</v>
      </c>
      <c r="AJ848" s="37">
        <f>IF(AND(AJ558&lt;=$I273,AJ558&gt;$J273),Tarification!$D$8,IF(AND(AJ558&lt;=$J273,AJ558&gt;$K273),Tarification!$D$9,IF(AND(AJ558&lt;=$K273,AJ558&gt;0),Tarification!$D$10,0)))</f>
        <v>0</v>
      </c>
      <c r="AK848" s="37">
        <f>IF(AND(AK558&lt;=$I273,AK558&gt;$J273),Tarification!$D$8,IF(AND(AK558&lt;=$J273,AK558&gt;$K273),Tarification!$D$9,IF(AND(AK558&lt;=$K273,AK558&gt;0),Tarification!$D$10,0)))</f>
        <v>0</v>
      </c>
      <c r="AL848" s="37">
        <f>IF(AND(AL558&lt;=$I273,AL558&gt;$J273),Tarification!$D$8,IF(AND(AL558&lt;=$J273,AL558&gt;$K273),Tarification!$D$9,IF(AND(AL558&lt;=$K273,AL558&gt;0),Tarification!$D$10,0)))</f>
        <v>0</v>
      </c>
      <c r="AM848" s="37">
        <f>IF(AND(AM558&lt;=$I273,AM558&gt;$J273),Tarification!$D$8,IF(AND(AM558&lt;=$J273,AM558&gt;$K273),Tarification!$D$9,IF(AND(AM558&lt;=$K273,AM558&gt;0),Tarification!$D$10,0)))</f>
        <v>0</v>
      </c>
      <c r="AN848" s="37">
        <f>IF(AND(AN558&lt;=$I273,AN558&gt;$J273),Tarification!$D$8,IF(AND(AN558&lt;=$J273,AN558&gt;$K273),Tarification!$D$9,IF(AND(AN558&lt;=$K273,AN558&gt;0),Tarification!$D$10,0)))</f>
        <v>0</v>
      </c>
      <c r="AQ848" s="101">
        <f t="shared" si="152"/>
        <v>0</v>
      </c>
    </row>
    <row r="849" spans="14:43" ht="15.6">
      <c r="N849" s="39" t="s">
        <v>26</v>
      </c>
      <c r="O849" s="39" t="s">
        <v>527</v>
      </c>
      <c r="P849" t="s">
        <v>721</v>
      </c>
      <c r="Q849" s="39"/>
      <c r="V849" s="37">
        <f>IF(AND(V559&lt;=$I274,V559&gt;$J274),Tarification!$D$8,IF(AND(V559&lt;=$J274,V559&gt;$K274),Tarification!$D$9,IF(AND(V559&lt;=$K274,V559&gt;0),Tarification!$D$10,0)))</f>
        <v>0</v>
      </c>
      <c r="W849" s="37">
        <f>IF(AND(W559&lt;=$I274,W559&gt;$J274),Tarification!$D$8,IF(AND(W559&lt;=$J274,W559&gt;$K274),Tarification!$D$9,IF(AND(W559&lt;=$K274,W559&gt;0),Tarification!$D$10,0)))</f>
        <v>0</v>
      </c>
      <c r="X849" s="37">
        <f>IF(AND(X559&lt;=$I274,X559&gt;$J274),Tarification!$D$8,IF(AND(X559&lt;=$J274,X559&gt;$K274),Tarification!$D$9,IF(AND(X559&lt;=$K274,X559&gt;0),Tarification!$D$10,0)))</f>
        <v>0</v>
      </c>
      <c r="Y849" s="37">
        <f>IF(AND(Y559&lt;=$I274,Y559&gt;$J274),Tarification!$D$8,IF(AND(Y559&lt;=$J274,Y559&gt;$K274),Tarification!$D$9,IF(AND(Y559&lt;=$K274,Y559&gt;0),Tarification!$D$10,0)))</f>
        <v>0</v>
      </c>
      <c r="Z849" s="37">
        <f>IF(AND(Z559&lt;=$I274,Z559&gt;$J274),Tarification!$D$8,IF(AND(Z559&lt;=$J274,Z559&gt;$K274),Tarification!$D$9,IF(AND(Z559&lt;=$K274,Z559&gt;0),Tarification!$D$10,0)))</f>
        <v>0</v>
      </c>
      <c r="AA849" s="37">
        <f>IF(AND(AA559&lt;=$I274,AA559&gt;$J274),Tarification!$D$8,IF(AND(AA559&lt;=$J274,AA559&gt;$K274),Tarification!$D$9,IF(AND(AA559&lt;=$K274,AA559&gt;0),Tarification!$D$10,0)))</f>
        <v>0</v>
      </c>
      <c r="AB849" s="37">
        <f>IF(AND(AB559&lt;=$I274,AB559&gt;$J274),Tarification!$D$8,IF(AND(AB559&lt;=$J274,AB559&gt;$K274),Tarification!$D$9,IF(AND(AB559&lt;=$K274,AB559&gt;0),Tarification!$D$10,0)))</f>
        <v>0</v>
      </c>
      <c r="AC849" s="37">
        <f>IF(AND(AC559&lt;=$I274,AC559&gt;$J274),Tarification!$D$8,IF(AND(AC559&lt;=$J274,AC559&gt;$K274),Tarification!$D$9,IF(AND(AC559&lt;=$K274,AC559&gt;0),Tarification!$D$10,0)))</f>
        <v>125000</v>
      </c>
      <c r="AD849" s="37">
        <f>IF(AND(AD559&lt;=$I274,AD559&gt;$J274),Tarification!$D$8,IF(AND(AD559&lt;=$J274,AD559&gt;$K274),Tarification!$D$9,IF(AND(AD559&lt;=$K274,AD559&gt;0),Tarification!$D$10,0)))</f>
        <v>125000</v>
      </c>
      <c r="AE849" s="37">
        <f>IF(AND(AE559&lt;=$I274,AE559&gt;$J274),Tarification!$D$8,IF(AND(AE559&lt;=$J274,AE559&gt;$K274),Tarification!$D$9,IF(AND(AE559&lt;=$K274,AE559&gt;0),Tarification!$D$10,0)))</f>
        <v>125000</v>
      </c>
      <c r="AF849" s="37">
        <f>IF(AND(AF559&lt;=$I274,AF559&gt;$J274),Tarification!$D$8,IF(AND(AF559&lt;=$J274,AF559&gt;$K274),Tarification!$D$9,IF(AND(AF559&lt;=$K274,AF559&gt;0),Tarification!$D$10,0)))</f>
        <v>125000</v>
      </c>
      <c r="AG849" s="37">
        <f>IF(AND(AG559&lt;=$I274,AG559&gt;$J274),Tarification!$D$8,IF(AND(AG559&lt;=$J274,AG559&gt;$K274),Tarification!$D$9,IF(AND(AG559&lt;=$K274,AG559&gt;0),Tarification!$D$10,0)))</f>
        <v>0</v>
      </c>
      <c r="AH849" s="37">
        <f>IF(AND(AH559&lt;=$I274,AH559&gt;$J274),Tarification!$D$8,IF(AND(AH559&lt;=$J274,AH559&gt;$K274),Tarification!$D$9,IF(AND(AH559&lt;=$K274,AH559&gt;0),Tarification!$D$10,0)))</f>
        <v>0</v>
      </c>
      <c r="AI849" s="37">
        <f>IF(AND(AI559&lt;=$I274,AI559&gt;$J274),Tarification!$D$8,IF(AND(AI559&lt;=$J274,AI559&gt;$K274),Tarification!$D$9,IF(AND(AI559&lt;=$K274,AI559&gt;0),Tarification!$D$10,0)))</f>
        <v>0</v>
      </c>
      <c r="AJ849" s="37">
        <f>IF(AND(AJ559&lt;=$I274,AJ559&gt;$J274),Tarification!$D$8,IF(AND(AJ559&lt;=$J274,AJ559&gt;$K274),Tarification!$D$9,IF(AND(AJ559&lt;=$K274,AJ559&gt;0),Tarification!$D$10,0)))</f>
        <v>50000</v>
      </c>
      <c r="AK849" s="37">
        <f>IF(AND(AK559&lt;=$I274,AK559&gt;$J274),Tarification!$D$8,IF(AND(AK559&lt;=$J274,AK559&gt;$K274),Tarification!$D$9,IF(AND(AK559&lt;=$K274,AK559&gt;0),Tarification!$D$10,0)))</f>
        <v>0</v>
      </c>
      <c r="AL849" s="37">
        <f>IF(AND(AL559&lt;=$I274,AL559&gt;$J274),Tarification!$D$8,IF(AND(AL559&lt;=$J274,AL559&gt;$K274),Tarification!$D$9,IF(AND(AL559&lt;=$K274,AL559&gt;0),Tarification!$D$10,0)))</f>
        <v>0</v>
      </c>
      <c r="AM849" s="37">
        <f>IF(AND(AM559&lt;=$I274,AM559&gt;$J274),Tarification!$D$8,IF(AND(AM559&lt;=$J274,AM559&gt;$K274),Tarification!$D$9,IF(AND(AM559&lt;=$K274,AM559&gt;0),Tarification!$D$10,0)))</f>
        <v>0</v>
      </c>
      <c r="AN849" s="37">
        <f>IF(AND(AN559&lt;=$I274,AN559&gt;$J274),Tarification!$D$8,IF(AND(AN559&lt;=$J274,AN559&gt;$K274),Tarification!$D$9,IF(AND(AN559&lt;=$K274,AN559&gt;0),Tarification!$D$10,0)))</f>
        <v>125000</v>
      </c>
      <c r="AQ849" s="101">
        <f t="shared" si="152"/>
        <v>35526.315789473687</v>
      </c>
    </row>
    <row r="850" spans="14:43" ht="15.6">
      <c r="N850" s="39" t="s">
        <v>27</v>
      </c>
      <c r="O850" s="39" t="s">
        <v>448</v>
      </c>
      <c r="P850" t="s">
        <v>865</v>
      </c>
      <c r="Q850" s="39"/>
      <c r="V850" s="37">
        <f>IF(AND(V560&lt;=$I275,V560&gt;$J275),Tarification!$D$8,IF(AND(V560&lt;=$J275,V560&gt;$K275),Tarification!$D$9,IF(AND(V560&lt;=$K275,V560&gt;0),Tarification!$D$10,0)))</f>
        <v>0</v>
      </c>
      <c r="W850" s="37">
        <f>IF(AND(W560&lt;=$I275,W560&gt;$J275),Tarification!$D$8,IF(AND(W560&lt;=$J275,W560&gt;$K275),Tarification!$D$9,IF(AND(W560&lt;=$K275,W560&gt;0),Tarification!$D$10,0)))</f>
        <v>0</v>
      </c>
      <c r="X850" s="37">
        <f>IF(AND(X560&lt;=$I275,X560&gt;$J275),Tarification!$D$8,IF(AND(X560&lt;=$J275,X560&gt;$K275),Tarification!$D$9,IF(AND(X560&lt;=$K275,X560&gt;0),Tarification!$D$10,0)))</f>
        <v>0</v>
      </c>
      <c r="Y850" s="37">
        <f>IF(AND(Y560&lt;=$I275,Y560&gt;$J275),Tarification!$D$8,IF(AND(Y560&lt;=$J275,Y560&gt;$K275),Tarification!$D$9,IF(AND(Y560&lt;=$K275,Y560&gt;0),Tarification!$D$10,0)))</f>
        <v>0</v>
      </c>
      <c r="Z850" s="37">
        <f>IF(AND(Z560&lt;=$I275,Z560&gt;$J275),Tarification!$D$8,IF(AND(Z560&lt;=$J275,Z560&gt;$K275),Tarification!$D$9,IF(AND(Z560&lt;=$K275,Z560&gt;0),Tarification!$D$10,0)))</f>
        <v>0</v>
      </c>
      <c r="AA850" s="37">
        <f>IF(AND(AA560&lt;=$I275,AA560&gt;$J275),Tarification!$D$8,IF(AND(AA560&lt;=$J275,AA560&gt;$K275),Tarification!$D$9,IF(AND(AA560&lt;=$K275,AA560&gt;0),Tarification!$D$10,0)))</f>
        <v>0</v>
      </c>
      <c r="AB850" s="37">
        <f>IF(AND(AB560&lt;=$I275,AB560&gt;$J275),Tarification!$D$8,IF(AND(AB560&lt;=$J275,AB560&gt;$K275),Tarification!$D$9,IF(AND(AB560&lt;=$K275,AB560&gt;0),Tarification!$D$10,0)))</f>
        <v>0</v>
      </c>
      <c r="AC850" s="37">
        <f>IF(AND(AC560&lt;=$I275,AC560&gt;$J275),Tarification!$D$8,IF(AND(AC560&lt;=$J275,AC560&gt;$K275),Tarification!$D$9,IF(AND(AC560&lt;=$K275,AC560&gt;0),Tarification!$D$10,0)))</f>
        <v>0</v>
      </c>
      <c r="AD850" s="37">
        <f>IF(AND(AD560&lt;=$I275,AD560&gt;$J275),Tarification!$D$8,IF(AND(AD560&lt;=$J275,AD560&gt;$K275),Tarification!$D$9,IF(AND(AD560&lt;=$K275,AD560&gt;0),Tarification!$D$10,0)))</f>
        <v>0</v>
      </c>
      <c r="AE850" s="37">
        <f>IF(AND(AE560&lt;=$I275,AE560&gt;$J275),Tarification!$D$8,IF(AND(AE560&lt;=$J275,AE560&gt;$K275),Tarification!$D$9,IF(AND(AE560&lt;=$K275,AE560&gt;0),Tarification!$D$10,0)))</f>
        <v>0</v>
      </c>
      <c r="AF850" s="37">
        <f>IF(AND(AF560&lt;=$I275,AF560&gt;$J275),Tarification!$D$8,IF(AND(AF560&lt;=$J275,AF560&gt;$K275),Tarification!$D$9,IF(AND(AF560&lt;=$K275,AF560&gt;0),Tarification!$D$10,0)))</f>
        <v>0</v>
      </c>
      <c r="AG850" s="37">
        <f>IF(AND(AG560&lt;=$I275,AG560&gt;$J275),Tarification!$D$8,IF(AND(AG560&lt;=$J275,AG560&gt;$K275),Tarification!$D$9,IF(AND(AG560&lt;=$K275,AG560&gt;0),Tarification!$D$10,0)))</f>
        <v>0</v>
      </c>
      <c r="AH850" s="37">
        <f>IF(AND(AH560&lt;=$I275,AH560&gt;$J275),Tarification!$D$8,IF(AND(AH560&lt;=$J275,AH560&gt;$K275),Tarification!$D$9,IF(AND(AH560&lt;=$K275,AH560&gt;0),Tarification!$D$10,0)))</f>
        <v>0</v>
      </c>
      <c r="AI850" s="37">
        <f>IF(AND(AI560&lt;=$I275,AI560&gt;$J275),Tarification!$D$8,IF(AND(AI560&lt;=$J275,AI560&gt;$K275),Tarification!$D$9,IF(AND(AI560&lt;=$K275,AI560&gt;0),Tarification!$D$10,0)))</f>
        <v>0</v>
      </c>
      <c r="AJ850" s="37">
        <f>IF(AND(AJ560&lt;=$I275,AJ560&gt;$J275),Tarification!$D$8,IF(AND(AJ560&lt;=$J275,AJ560&gt;$K275),Tarification!$D$9,IF(AND(AJ560&lt;=$K275,AJ560&gt;0),Tarification!$D$10,0)))</f>
        <v>0</v>
      </c>
      <c r="AK850" s="37">
        <f>IF(AND(AK560&lt;=$I275,AK560&gt;$J275),Tarification!$D$8,IF(AND(AK560&lt;=$J275,AK560&gt;$K275),Tarification!$D$9,IF(AND(AK560&lt;=$K275,AK560&gt;0),Tarification!$D$10,0)))</f>
        <v>0</v>
      </c>
      <c r="AL850" s="37">
        <f>IF(AND(AL560&lt;=$I275,AL560&gt;$J275),Tarification!$D$8,IF(AND(AL560&lt;=$J275,AL560&gt;$K275),Tarification!$D$9,IF(AND(AL560&lt;=$K275,AL560&gt;0),Tarification!$D$10,0)))</f>
        <v>0</v>
      </c>
      <c r="AM850" s="37">
        <f>IF(AND(AM560&lt;=$I275,AM560&gt;$J275),Tarification!$D$8,IF(AND(AM560&lt;=$J275,AM560&gt;$K275),Tarification!$D$9,IF(AND(AM560&lt;=$K275,AM560&gt;0),Tarification!$D$10,0)))</f>
        <v>0</v>
      </c>
      <c r="AN850" s="37">
        <f>IF(AND(AN560&lt;=$I275,AN560&gt;$J275),Tarification!$D$8,IF(AND(AN560&lt;=$J275,AN560&gt;$K275),Tarification!$D$9,IF(AND(AN560&lt;=$K275,AN560&gt;0),Tarification!$D$10,0)))</f>
        <v>0</v>
      </c>
      <c r="AQ850" s="101">
        <f t="shared" si="152"/>
        <v>0</v>
      </c>
    </row>
    <row r="851" spans="14:43" ht="15.6">
      <c r="N851" s="39" t="s">
        <v>27</v>
      </c>
      <c r="O851" s="39" t="s">
        <v>472</v>
      </c>
      <c r="P851" t="s">
        <v>866</v>
      </c>
      <c r="Q851" s="39"/>
      <c r="V851" s="37">
        <f>IF(AND(V561&lt;=$I276,V561&gt;$J276),Tarification!$D$8,IF(AND(V561&lt;=$J276,V561&gt;$K276),Tarification!$D$9,IF(AND(V561&lt;=$K276,V561&gt;0),Tarification!$D$10,0)))</f>
        <v>0</v>
      </c>
      <c r="W851" s="37">
        <f>IF(AND(W561&lt;=$I276,W561&gt;$J276),Tarification!$D$8,IF(AND(W561&lt;=$J276,W561&gt;$K276),Tarification!$D$9,IF(AND(W561&lt;=$K276,W561&gt;0),Tarification!$D$10,0)))</f>
        <v>0</v>
      </c>
      <c r="X851" s="37">
        <f>IF(AND(X561&lt;=$I276,X561&gt;$J276),Tarification!$D$8,IF(AND(X561&lt;=$J276,X561&gt;$K276),Tarification!$D$9,IF(AND(X561&lt;=$K276,X561&gt;0),Tarification!$D$10,0)))</f>
        <v>0</v>
      </c>
      <c r="Y851" s="37">
        <f>IF(AND(Y561&lt;=$I276,Y561&gt;$J276),Tarification!$D$8,IF(AND(Y561&lt;=$J276,Y561&gt;$K276),Tarification!$D$9,IF(AND(Y561&lt;=$K276,Y561&gt;0),Tarification!$D$10,0)))</f>
        <v>0</v>
      </c>
      <c r="Z851" s="37">
        <f>IF(AND(Z561&lt;=$I276,Z561&gt;$J276),Tarification!$D$8,IF(AND(Z561&lt;=$J276,Z561&gt;$K276),Tarification!$D$9,IF(AND(Z561&lt;=$K276,Z561&gt;0),Tarification!$D$10,0)))</f>
        <v>0</v>
      </c>
      <c r="AA851" s="37">
        <f>IF(AND(AA561&lt;=$I276,AA561&gt;$J276),Tarification!$D$8,IF(AND(AA561&lt;=$J276,AA561&gt;$K276),Tarification!$D$9,IF(AND(AA561&lt;=$K276,AA561&gt;0),Tarification!$D$10,0)))</f>
        <v>0</v>
      </c>
      <c r="AB851" s="37">
        <f>IF(AND(AB561&lt;=$I276,AB561&gt;$J276),Tarification!$D$8,IF(AND(AB561&lt;=$J276,AB561&gt;$K276),Tarification!$D$9,IF(AND(AB561&lt;=$K276,AB561&gt;0),Tarification!$D$10,0)))</f>
        <v>0</v>
      </c>
      <c r="AC851" s="37">
        <f>IF(AND(AC561&lt;=$I276,AC561&gt;$J276),Tarification!$D$8,IF(AND(AC561&lt;=$J276,AC561&gt;$K276),Tarification!$D$9,IF(AND(AC561&lt;=$K276,AC561&gt;0),Tarification!$D$10,0)))</f>
        <v>0</v>
      </c>
      <c r="AD851" s="37">
        <f>IF(AND(AD561&lt;=$I276,AD561&gt;$J276),Tarification!$D$8,IF(AND(AD561&lt;=$J276,AD561&gt;$K276),Tarification!$D$9,IF(AND(AD561&lt;=$K276,AD561&gt;0),Tarification!$D$10,0)))</f>
        <v>50000</v>
      </c>
      <c r="AE851" s="37">
        <f>IF(AND(AE561&lt;=$I276,AE561&gt;$J276),Tarification!$D$8,IF(AND(AE561&lt;=$J276,AE561&gt;$K276),Tarification!$D$9,IF(AND(AE561&lt;=$K276,AE561&gt;0),Tarification!$D$10,0)))</f>
        <v>0</v>
      </c>
      <c r="AF851" s="37">
        <f>IF(AND(AF561&lt;=$I276,AF561&gt;$J276),Tarification!$D$8,IF(AND(AF561&lt;=$J276,AF561&gt;$K276),Tarification!$D$9,IF(AND(AF561&lt;=$K276,AF561&gt;0),Tarification!$D$10,0)))</f>
        <v>0</v>
      </c>
      <c r="AG851" s="37">
        <f>IF(AND(AG561&lt;=$I276,AG561&gt;$J276),Tarification!$D$8,IF(AND(AG561&lt;=$J276,AG561&gt;$K276),Tarification!$D$9,IF(AND(AG561&lt;=$K276,AG561&gt;0),Tarification!$D$10,0)))</f>
        <v>0</v>
      </c>
      <c r="AH851" s="37">
        <f>IF(AND(AH561&lt;=$I276,AH561&gt;$J276),Tarification!$D$8,IF(AND(AH561&lt;=$J276,AH561&gt;$K276),Tarification!$D$9,IF(AND(AH561&lt;=$K276,AH561&gt;0),Tarification!$D$10,0)))</f>
        <v>0</v>
      </c>
      <c r="AI851" s="37">
        <f>IF(AND(AI561&lt;=$I276,AI561&gt;$J276),Tarification!$D$8,IF(AND(AI561&lt;=$J276,AI561&gt;$K276),Tarification!$D$9,IF(AND(AI561&lt;=$K276,AI561&gt;0),Tarification!$D$10,0)))</f>
        <v>0</v>
      </c>
      <c r="AJ851" s="37">
        <f>IF(AND(AJ561&lt;=$I276,AJ561&gt;$J276),Tarification!$D$8,IF(AND(AJ561&lt;=$J276,AJ561&gt;$K276),Tarification!$D$9,IF(AND(AJ561&lt;=$K276,AJ561&gt;0),Tarification!$D$10,0)))</f>
        <v>50000</v>
      </c>
      <c r="AK851" s="37">
        <f>IF(AND(AK561&lt;=$I276,AK561&gt;$J276),Tarification!$D$8,IF(AND(AK561&lt;=$J276,AK561&gt;$K276),Tarification!$D$9,IF(AND(AK561&lt;=$K276,AK561&gt;0),Tarification!$D$10,0)))</f>
        <v>0</v>
      </c>
      <c r="AL851" s="37">
        <f>IF(AND(AL561&lt;=$I276,AL561&gt;$J276),Tarification!$D$8,IF(AND(AL561&lt;=$J276,AL561&gt;$K276),Tarification!$D$9,IF(AND(AL561&lt;=$K276,AL561&gt;0),Tarification!$D$10,0)))</f>
        <v>0</v>
      </c>
      <c r="AM851" s="37">
        <f>IF(AND(AM561&lt;=$I276,AM561&gt;$J276),Tarification!$D$8,IF(AND(AM561&lt;=$J276,AM561&gt;$K276),Tarification!$D$9,IF(AND(AM561&lt;=$K276,AM561&gt;0),Tarification!$D$10,0)))</f>
        <v>0</v>
      </c>
      <c r="AN851" s="37">
        <f>IF(AND(AN561&lt;=$I276,AN561&gt;$J276),Tarification!$D$8,IF(AND(AN561&lt;=$J276,AN561&gt;$K276),Tarification!$D$9,IF(AND(AN561&lt;=$K276,AN561&gt;0),Tarification!$D$10,0)))</f>
        <v>0</v>
      </c>
      <c r="AQ851" s="101">
        <f t="shared" si="152"/>
        <v>5263.1578947368425</v>
      </c>
    </row>
    <row r="852" spans="14:43" ht="15.6">
      <c r="N852" s="39" t="s">
        <v>27</v>
      </c>
      <c r="O852" s="39" t="s">
        <v>530</v>
      </c>
      <c r="P852" t="s">
        <v>867</v>
      </c>
      <c r="Q852" s="39"/>
      <c r="V852" s="37">
        <f>IF(AND(V562&lt;=$I277,V562&gt;$J277),Tarification!$D$8,IF(AND(V562&lt;=$J277,V562&gt;$K277),Tarification!$D$9,IF(AND(V562&lt;=$K277,V562&gt;0),Tarification!$D$10,0)))</f>
        <v>0</v>
      </c>
      <c r="W852" s="37">
        <f>IF(AND(W562&lt;=$I277,W562&gt;$J277),Tarification!$D$8,IF(AND(W562&lt;=$J277,W562&gt;$K277),Tarification!$D$9,IF(AND(W562&lt;=$K277,W562&gt;0),Tarification!$D$10,0)))</f>
        <v>50000</v>
      </c>
      <c r="X852" s="37">
        <f>IF(AND(X562&lt;=$I277,X562&gt;$J277),Tarification!$D$8,IF(AND(X562&lt;=$J277,X562&gt;$K277),Tarification!$D$9,IF(AND(X562&lt;=$K277,X562&gt;0),Tarification!$D$10,0)))</f>
        <v>0</v>
      </c>
      <c r="Y852" s="37">
        <f>IF(AND(Y562&lt;=$I277,Y562&gt;$J277),Tarification!$D$8,IF(AND(Y562&lt;=$J277,Y562&gt;$K277),Tarification!$D$9,IF(AND(Y562&lt;=$K277,Y562&gt;0),Tarification!$D$10,0)))</f>
        <v>0</v>
      </c>
      <c r="Z852" s="37">
        <f>IF(AND(Z562&lt;=$I277,Z562&gt;$J277),Tarification!$D$8,IF(AND(Z562&lt;=$J277,Z562&gt;$K277),Tarification!$D$9,IF(AND(Z562&lt;=$K277,Z562&gt;0),Tarification!$D$10,0)))</f>
        <v>250000</v>
      </c>
      <c r="AA852" s="37">
        <f>IF(AND(AA562&lt;=$I277,AA562&gt;$J277),Tarification!$D$8,IF(AND(AA562&lt;=$J277,AA562&gt;$K277),Tarification!$D$9,IF(AND(AA562&lt;=$K277,AA562&gt;0),Tarification!$D$10,0)))</f>
        <v>0</v>
      </c>
      <c r="AB852" s="37">
        <f>IF(AND(AB562&lt;=$I277,AB562&gt;$J277),Tarification!$D$8,IF(AND(AB562&lt;=$J277,AB562&gt;$K277),Tarification!$D$9,IF(AND(AB562&lt;=$K277,AB562&gt;0),Tarification!$D$10,0)))</f>
        <v>0</v>
      </c>
      <c r="AC852" s="37">
        <f>IF(AND(AC562&lt;=$I277,AC562&gt;$J277),Tarification!$D$8,IF(AND(AC562&lt;=$J277,AC562&gt;$K277),Tarification!$D$9,IF(AND(AC562&lt;=$K277,AC562&gt;0),Tarification!$D$10,0)))</f>
        <v>0</v>
      </c>
      <c r="AD852" s="37">
        <f>IF(AND(AD562&lt;=$I277,AD562&gt;$J277),Tarification!$D$8,IF(AND(AD562&lt;=$J277,AD562&gt;$K277),Tarification!$D$9,IF(AND(AD562&lt;=$K277,AD562&gt;0),Tarification!$D$10,0)))</f>
        <v>50000</v>
      </c>
      <c r="AE852" s="37">
        <f>IF(AND(AE562&lt;=$I277,AE562&gt;$J277),Tarification!$D$8,IF(AND(AE562&lt;=$J277,AE562&gt;$K277),Tarification!$D$9,IF(AND(AE562&lt;=$K277,AE562&gt;0),Tarification!$D$10,0)))</f>
        <v>50000</v>
      </c>
      <c r="AF852" s="37">
        <f>IF(AND(AF562&lt;=$I277,AF562&gt;$J277),Tarification!$D$8,IF(AND(AF562&lt;=$J277,AF562&gt;$K277),Tarification!$D$9,IF(AND(AF562&lt;=$K277,AF562&gt;0),Tarification!$D$10,0)))</f>
        <v>125000</v>
      </c>
      <c r="AG852" s="37">
        <f>IF(AND(AG562&lt;=$I277,AG562&gt;$J277),Tarification!$D$8,IF(AND(AG562&lt;=$J277,AG562&gt;$K277),Tarification!$D$9,IF(AND(AG562&lt;=$K277,AG562&gt;0),Tarification!$D$10,0)))</f>
        <v>0</v>
      </c>
      <c r="AH852" s="37">
        <f>IF(AND(AH562&lt;=$I277,AH562&gt;$J277),Tarification!$D$8,IF(AND(AH562&lt;=$J277,AH562&gt;$K277),Tarification!$D$9,IF(AND(AH562&lt;=$K277,AH562&gt;0),Tarification!$D$10,0)))</f>
        <v>0</v>
      </c>
      <c r="AI852" s="37">
        <f>IF(AND(AI562&lt;=$I277,AI562&gt;$J277),Tarification!$D$8,IF(AND(AI562&lt;=$J277,AI562&gt;$K277),Tarification!$D$9,IF(AND(AI562&lt;=$K277,AI562&gt;0),Tarification!$D$10,0)))</f>
        <v>0</v>
      </c>
      <c r="AJ852" s="37">
        <f>IF(AND(AJ562&lt;=$I277,AJ562&gt;$J277),Tarification!$D$8,IF(AND(AJ562&lt;=$J277,AJ562&gt;$K277),Tarification!$D$9,IF(AND(AJ562&lt;=$K277,AJ562&gt;0),Tarification!$D$10,0)))</f>
        <v>0</v>
      </c>
      <c r="AK852" s="37">
        <f>IF(AND(AK562&lt;=$I277,AK562&gt;$J277),Tarification!$D$8,IF(AND(AK562&lt;=$J277,AK562&gt;$K277),Tarification!$D$9,IF(AND(AK562&lt;=$K277,AK562&gt;0),Tarification!$D$10,0)))</f>
        <v>0</v>
      </c>
      <c r="AL852" s="37">
        <f>IF(AND(AL562&lt;=$I277,AL562&gt;$J277),Tarification!$D$8,IF(AND(AL562&lt;=$J277,AL562&gt;$K277),Tarification!$D$9,IF(AND(AL562&lt;=$K277,AL562&gt;0),Tarification!$D$10,0)))</f>
        <v>0</v>
      </c>
      <c r="AM852" s="37">
        <f>IF(AND(AM562&lt;=$I277,AM562&gt;$J277),Tarification!$D$8,IF(AND(AM562&lt;=$J277,AM562&gt;$K277),Tarification!$D$9,IF(AND(AM562&lt;=$K277,AM562&gt;0),Tarification!$D$10,0)))</f>
        <v>0</v>
      </c>
      <c r="AN852" s="37">
        <f>IF(AND(AN562&lt;=$I277,AN562&gt;$J277),Tarification!$D$8,IF(AND(AN562&lt;=$J277,AN562&gt;$K277),Tarification!$D$9,IF(AND(AN562&lt;=$K277,AN562&gt;0),Tarification!$D$10,0)))</f>
        <v>50000</v>
      </c>
      <c r="AQ852" s="101">
        <f t="shared" si="152"/>
        <v>30263.157894736843</v>
      </c>
    </row>
    <row r="853" spans="14:43" ht="15.6">
      <c r="N853" s="39" t="s">
        <v>27</v>
      </c>
      <c r="O853" s="39" t="s">
        <v>572</v>
      </c>
      <c r="P853" t="s">
        <v>868</v>
      </c>
      <c r="Q853" s="39"/>
      <c r="V853" s="37">
        <f>IF(AND(V563&lt;=$I278,V563&gt;$J278),Tarification!$D$8,IF(AND(V563&lt;=$J278,V563&gt;$K278),Tarification!$D$9,IF(AND(V563&lt;=$K278,V563&gt;0),Tarification!$D$10,0)))</f>
        <v>0</v>
      </c>
      <c r="W853" s="37">
        <f>IF(AND(W563&lt;=$I278,W563&gt;$J278),Tarification!$D$8,IF(AND(W563&lt;=$J278,W563&gt;$K278),Tarification!$D$9,IF(AND(W563&lt;=$K278,W563&gt;0),Tarification!$D$10,0)))</f>
        <v>0</v>
      </c>
      <c r="X853" s="37">
        <f>IF(AND(X563&lt;=$I278,X563&gt;$J278),Tarification!$D$8,IF(AND(X563&lt;=$J278,X563&gt;$K278),Tarification!$D$9,IF(AND(X563&lt;=$K278,X563&gt;0),Tarification!$D$10,0)))</f>
        <v>0</v>
      </c>
      <c r="Y853" s="37">
        <f>IF(AND(Y563&lt;=$I278,Y563&gt;$J278),Tarification!$D$8,IF(AND(Y563&lt;=$J278,Y563&gt;$K278),Tarification!$D$9,IF(AND(Y563&lt;=$K278,Y563&gt;0),Tarification!$D$10,0)))</f>
        <v>0</v>
      </c>
      <c r="Z853" s="37">
        <f>IF(AND(Z563&lt;=$I278,Z563&gt;$J278),Tarification!$D$8,IF(AND(Z563&lt;=$J278,Z563&gt;$K278),Tarification!$D$9,IF(AND(Z563&lt;=$K278,Z563&gt;0),Tarification!$D$10,0)))</f>
        <v>0</v>
      </c>
      <c r="AA853" s="37">
        <f>IF(AND(AA563&lt;=$I278,AA563&gt;$J278),Tarification!$D$8,IF(AND(AA563&lt;=$J278,AA563&gt;$K278),Tarification!$D$9,IF(AND(AA563&lt;=$K278,AA563&gt;0),Tarification!$D$10,0)))</f>
        <v>0</v>
      </c>
      <c r="AB853" s="37">
        <f>IF(AND(AB563&lt;=$I278,AB563&gt;$J278),Tarification!$D$8,IF(AND(AB563&lt;=$J278,AB563&gt;$K278),Tarification!$D$9,IF(AND(AB563&lt;=$K278,AB563&gt;0),Tarification!$D$10,0)))</f>
        <v>0</v>
      </c>
      <c r="AC853" s="37">
        <f>IF(AND(AC563&lt;=$I278,AC563&gt;$J278),Tarification!$D$8,IF(AND(AC563&lt;=$J278,AC563&gt;$K278),Tarification!$D$9,IF(AND(AC563&lt;=$K278,AC563&gt;0),Tarification!$D$10,0)))</f>
        <v>0</v>
      </c>
      <c r="AD853" s="37">
        <f>IF(AND(AD563&lt;=$I278,AD563&gt;$J278),Tarification!$D$8,IF(AND(AD563&lt;=$J278,AD563&gt;$K278),Tarification!$D$9,IF(AND(AD563&lt;=$K278,AD563&gt;0),Tarification!$D$10,0)))</f>
        <v>0</v>
      </c>
      <c r="AE853" s="37">
        <f>IF(AND(AE563&lt;=$I278,AE563&gt;$J278),Tarification!$D$8,IF(AND(AE563&lt;=$J278,AE563&gt;$K278),Tarification!$D$9,IF(AND(AE563&lt;=$K278,AE563&gt;0),Tarification!$D$10,0)))</f>
        <v>0</v>
      </c>
      <c r="AF853" s="37">
        <f>IF(AND(AF563&lt;=$I278,AF563&gt;$J278),Tarification!$D$8,IF(AND(AF563&lt;=$J278,AF563&gt;$K278),Tarification!$D$9,IF(AND(AF563&lt;=$K278,AF563&gt;0),Tarification!$D$10,0)))</f>
        <v>0</v>
      </c>
      <c r="AG853" s="37">
        <f>IF(AND(AG563&lt;=$I278,AG563&gt;$J278),Tarification!$D$8,IF(AND(AG563&lt;=$J278,AG563&gt;$K278),Tarification!$D$9,IF(AND(AG563&lt;=$K278,AG563&gt;0),Tarification!$D$10,0)))</f>
        <v>0</v>
      </c>
      <c r="AH853" s="37">
        <f>IF(AND(AH563&lt;=$I278,AH563&gt;$J278),Tarification!$D$8,IF(AND(AH563&lt;=$J278,AH563&gt;$K278),Tarification!$D$9,IF(AND(AH563&lt;=$K278,AH563&gt;0),Tarification!$D$10,0)))</f>
        <v>0</v>
      </c>
      <c r="AI853" s="37">
        <f>IF(AND(AI563&lt;=$I278,AI563&gt;$J278),Tarification!$D$8,IF(AND(AI563&lt;=$J278,AI563&gt;$K278),Tarification!$D$9,IF(AND(AI563&lt;=$K278,AI563&gt;0),Tarification!$D$10,0)))</f>
        <v>0</v>
      </c>
      <c r="AJ853" s="37">
        <f>IF(AND(AJ563&lt;=$I278,AJ563&gt;$J278),Tarification!$D$8,IF(AND(AJ563&lt;=$J278,AJ563&gt;$K278),Tarification!$D$9,IF(AND(AJ563&lt;=$K278,AJ563&gt;0),Tarification!$D$10,0)))</f>
        <v>0</v>
      </c>
      <c r="AK853" s="37">
        <f>IF(AND(AK563&lt;=$I278,AK563&gt;$J278),Tarification!$D$8,IF(AND(AK563&lt;=$J278,AK563&gt;$K278),Tarification!$D$9,IF(AND(AK563&lt;=$K278,AK563&gt;0),Tarification!$D$10,0)))</f>
        <v>0</v>
      </c>
      <c r="AL853" s="37">
        <f>IF(AND(AL563&lt;=$I278,AL563&gt;$J278),Tarification!$D$8,IF(AND(AL563&lt;=$J278,AL563&gt;$K278),Tarification!$D$9,IF(AND(AL563&lt;=$K278,AL563&gt;0),Tarification!$D$10,0)))</f>
        <v>0</v>
      </c>
      <c r="AM853" s="37">
        <f>IF(AND(AM563&lt;=$I278,AM563&gt;$J278),Tarification!$D$8,IF(AND(AM563&lt;=$J278,AM563&gt;$K278),Tarification!$D$9,IF(AND(AM563&lt;=$K278,AM563&gt;0),Tarification!$D$10,0)))</f>
        <v>0</v>
      </c>
      <c r="AN853" s="37">
        <f>IF(AND(AN563&lt;=$I278,AN563&gt;$J278),Tarification!$D$8,IF(AND(AN563&lt;=$J278,AN563&gt;$K278),Tarification!$D$9,IF(AND(AN563&lt;=$K278,AN563&gt;0),Tarification!$D$10,0)))</f>
        <v>0</v>
      </c>
      <c r="AQ853" s="101">
        <f t="shared" si="152"/>
        <v>0</v>
      </c>
    </row>
    <row r="854" spans="14:43" ht="15.6">
      <c r="N854" s="39" t="s">
        <v>27</v>
      </c>
      <c r="O854" s="39" t="s">
        <v>618</v>
      </c>
      <c r="P854" t="s">
        <v>869</v>
      </c>
      <c r="Q854" s="39"/>
      <c r="V854" s="37">
        <f>IF(AND(V564&lt;=$I279,V564&gt;$J279),Tarification!$D$8,IF(AND(V564&lt;=$J279,V564&gt;$K279),Tarification!$D$9,IF(AND(V564&lt;=$K279,V564&gt;0),Tarification!$D$10,0)))</f>
        <v>0</v>
      </c>
      <c r="W854" s="37">
        <f>IF(AND(W564&lt;=$I279,W564&gt;$J279),Tarification!$D$8,IF(AND(W564&lt;=$J279,W564&gt;$K279),Tarification!$D$9,IF(AND(W564&lt;=$K279,W564&gt;0),Tarification!$D$10,0)))</f>
        <v>50000</v>
      </c>
      <c r="X854" s="37">
        <f>IF(AND(X564&lt;=$I279,X564&gt;$J279),Tarification!$D$8,IF(AND(X564&lt;=$J279,X564&gt;$K279),Tarification!$D$9,IF(AND(X564&lt;=$K279,X564&gt;0),Tarification!$D$10,0)))</f>
        <v>0</v>
      </c>
      <c r="Y854" s="37">
        <f>IF(AND(Y564&lt;=$I279,Y564&gt;$J279),Tarification!$D$8,IF(AND(Y564&lt;=$J279,Y564&gt;$K279),Tarification!$D$9,IF(AND(Y564&lt;=$K279,Y564&gt;0),Tarification!$D$10,0)))</f>
        <v>0</v>
      </c>
      <c r="Z854" s="37">
        <f>IF(AND(Z564&lt;=$I279,Z564&gt;$J279),Tarification!$D$8,IF(AND(Z564&lt;=$J279,Z564&gt;$K279),Tarification!$D$9,IF(AND(Z564&lt;=$K279,Z564&gt;0),Tarification!$D$10,0)))</f>
        <v>50000</v>
      </c>
      <c r="AA854" s="37">
        <f>IF(AND(AA564&lt;=$I279,AA564&gt;$J279),Tarification!$D$8,IF(AND(AA564&lt;=$J279,AA564&gt;$K279),Tarification!$D$9,IF(AND(AA564&lt;=$K279,AA564&gt;0),Tarification!$D$10,0)))</f>
        <v>0</v>
      </c>
      <c r="AB854" s="37">
        <f>IF(AND(AB564&lt;=$I279,AB564&gt;$J279),Tarification!$D$8,IF(AND(AB564&lt;=$J279,AB564&gt;$K279),Tarification!$D$9,IF(AND(AB564&lt;=$K279,AB564&gt;0),Tarification!$D$10,0)))</f>
        <v>0</v>
      </c>
      <c r="AC854" s="37">
        <f>IF(AND(AC564&lt;=$I279,AC564&gt;$J279),Tarification!$D$8,IF(AND(AC564&lt;=$J279,AC564&gt;$K279),Tarification!$D$9,IF(AND(AC564&lt;=$K279,AC564&gt;0),Tarification!$D$10,0)))</f>
        <v>0</v>
      </c>
      <c r="AD854" s="37">
        <f>IF(AND(AD564&lt;=$I279,AD564&gt;$J279),Tarification!$D$8,IF(AND(AD564&lt;=$J279,AD564&gt;$K279),Tarification!$D$9,IF(AND(AD564&lt;=$K279,AD564&gt;0),Tarification!$D$10,0)))</f>
        <v>125000</v>
      </c>
      <c r="AE854" s="37">
        <f>IF(AND(AE564&lt;=$I279,AE564&gt;$J279),Tarification!$D$8,IF(AND(AE564&lt;=$J279,AE564&gt;$K279),Tarification!$D$9,IF(AND(AE564&lt;=$K279,AE564&gt;0),Tarification!$D$10,0)))</f>
        <v>50000</v>
      </c>
      <c r="AF854" s="37">
        <f>IF(AND(AF564&lt;=$I279,AF564&gt;$J279),Tarification!$D$8,IF(AND(AF564&lt;=$J279,AF564&gt;$K279),Tarification!$D$9,IF(AND(AF564&lt;=$K279,AF564&gt;0),Tarification!$D$10,0)))</f>
        <v>50000</v>
      </c>
      <c r="AG854" s="37">
        <f>IF(AND(AG564&lt;=$I279,AG564&gt;$J279),Tarification!$D$8,IF(AND(AG564&lt;=$J279,AG564&gt;$K279),Tarification!$D$9,IF(AND(AG564&lt;=$K279,AG564&gt;0),Tarification!$D$10,0)))</f>
        <v>0</v>
      </c>
      <c r="AH854" s="37">
        <f>IF(AND(AH564&lt;=$I279,AH564&gt;$J279),Tarification!$D$8,IF(AND(AH564&lt;=$J279,AH564&gt;$K279),Tarification!$D$9,IF(AND(AH564&lt;=$K279,AH564&gt;0),Tarification!$D$10,0)))</f>
        <v>0</v>
      </c>
      <c r="AI854" s="37">
        <f>IF(AND(AI564&lt;=$I279,AI564&gt;$J279),Tarification!$D$8,IF(AND(AI564&lt;=$J279,AI564&gt;$K279),Tarification!$D$9,IF(AND(AI564&lt;=$K279,AI564&gt;0),Tarification!$D$10,0)))</f>
        <v>0</v>
      </c>
      <c r="AJ854" s="37">
        <f>IF(AND(AJ564&lt;=$I279,AJ564&gt;$J279),Tarification!$D$8,IF(AND(AJ564&lt;=$J279,AJ564&gt;$K279),Tarification!$D$9,IF(AND(AJ564&lt;=$K279,AJ564&gt;0),Tarification!$D$10,0)))</f>
        <v>0</v>
      </c>
      <c r="AK854" s="37">
        <f>IF(AND(AK564&lt;=$I279,AK564&gt;$J279),Tarification!$D$8,IF(AND(AK564&lt;=$J279,AK564&gt;$K279),Tarification!$D$9,IF(AND(AK564&lt;=$K279,AK564&gt;0),Tarification!$D$10,0)))</f>
        <v>0</v>
      </c>
      <c r="AL854" s="37">
        <f>IF(AND(AL564&lt;=$I279,AL564&gt;$J279),Tarification!$D$8,IF(AND(AL564&lt;=$J279,AL564&gt;$K279),Tarification!$D$9,IF(AND(AL564&lt;=$K279,AL564&gt;0),Tarification!$D$10,0)))</f>
        <v>0</v>
      </c>
      <c r="AM854" s="37">
        <f>IF(AND(AM564&lt;=$I279,AM564&gt;$J279),Tarification!$D$8,IF(AND(AM564&lt;=$J279,AM564&gt;$K279),Tarification!$D$9,IF(AND(AM564&lt;=$K279,AM564&gt;0),Tarification!$D$10,0)))</f>
        <v>0</v>
      </c>
      <c r="AN854" s="37">
        <f>IF(AND(AN564&lt;=$I279,AN564&gt;$J279),Tarification!$D$8,IF(AND(AN564&lt;=$J279,AN564&gt;$K279),Tarification!$D$9,IF(AND(AN564&lt;=$K279,AN564&gt;0),Tarification!$D$10,0)))</f>
        <v>50000</v>
      </c>
      <c r="AQ854" s="101">
        <f t="shared" si="152"/>
        <v>19736.842105263157</v>
      </c>
    </row>
    <row r="855" spans="14:43" ht="15.6">
      <c r="N855" s="39" t="s">
        <v>27</v>
      </c>
      <c r="O855" s="39" t="s">
        <v>479</v>
      </c>
      <c r="P855" t="s">
        <v>870</v>
      </c>
      <c r="Q855" s="39"/>
      <c r="V855" s="37">
        <f>IF(AND(V565&lt;=$I280,V565&gt;$J280),Tarification!$D$8,IF(AND(V565&lt;=$J280,V565&gt;$K280),Tarification!$D$9,IF(AND(V565&lt;=$K280,V565&gt;0),Tarification!$D$10,0)))</f>
        <v>0</v>
      </c>
      <c r="W855" s="37">
        <f>IF(AND(W565&lt;=$I280,W565&gt;$J280),Tarification!$D$8,IF(AND(W565&lt;=$J280,W565&gt;$K280),Tarification!$D$9,IF(AND(W565&lt;=$K280,W565&gt;0),Tarification!$D$10,0)))</f>
        <v>0</v>
      </c>
      <c r="X855" s="37">
        <f>IF(AND(X565&lt;=$I280,X565&gt;$J280),Tarification!$D$8,IF(AND(X565&lt;=$J280,X565&gt;$K280),Tarification!$D$9,IF(AND(X565&lt;=$K280,X565&gt;0),Tarification!$D$10,0)))</f>
        <v>0</v>
      </c>
      <c r="Y855" s="37">
        <f>IF(AND(Y565&lt;=$I280,Y565&gt;$J280),Tarification!$D$8,IF(AND(Y565&lt;=$J280,Y565&gt;$K280),Tarification!$D$9,IF(AND(Y565&lt;=$K280,Y565&gt;0),Tarification!$D$10,0)))</f>
        <v>0</v>
      </c>
      <c r="Z855" s="37">
        <f>IF(AND(Z565&lt;=$I280,Z565&gt;$J280),Tarification!$D$8,IF(AND(Z565&lt;=$J280,Z565&gt;$K280),Tarification!$D$9,IF(AND(Z565&lt;=$K280,Z565&gt;0),Tarification!$D$10,0)))</f>
        <v>0</v>
      </c>
      <c r="AA855" s="37">
        <f>IF(AND(AA565&lt;=$I280,AA565&gt;$J280),Tarification!$D$8,IF(AND(AA565&lt;=$J280,AA565&gt;$K280),Tarification!$D$9,IF(AND(AA565&lt;=$K280,AA565&gt;0),Tarification!$D$10,0)))</f>
        <v>0</v>
      </c>
      <c r="AB855" s="37">
        <f>IF(AND(AB565&lt;=$I280,AB565&gt;$J280),Tarification!$D$8,IF(AND(AB565&lt;=$J280,AB565&gt;$K280),Tarification!$D$9,IF(AND(AB565&lt;=$K280,AB565&gt;0),Tarification!$D$10,0)))</f>
        <v>0</v>
      </c>
      <c r="AC855" s="37">
        <f>IF(AND(AC565&lt;=$I280,AC565&gt;$J280),Tarification!$D$8,IF(AND(AC565&lt;=$J280,AC565&gt;$K280),Tarification!$D$9,IF(AND(AC565&lt;=$K280,AC565&gt;0),Tarification!$D$10,0)))</f>
        <v>0</v>
      </c>
      <c r="AD855" s="37">
        <f>IF(AND(AD565&lt;=$I280,AD565&gt;$J280),Tarification!$D$8,IF(AND(AD565&lt;=$J280,AD565&gt;$K280),Tarification!$D$9,IF(AND(AD565&lt;=$K280,AD565&gt;0),Tarification!$D$10,0)))</f>
        <v>0</v>
      </c>
      <c r="AE855" s="37">
        <f>IF(AND(AE565&lt;=$I280,AE565&gt;$J280),Tarification!$D$8,IF(AND(AE565&lt;=$J280,AE565&gt;$K280),Tarification!$D$9,IF(AND(AE565&lt;=$K280,AE565&gt;0),Tarification!$D$10,0)))</f>
        <v>0</v>
      </c>
      <c r="AF855" s="37">
        <f>IF(AND(AF565&lt;=$I280,AF565&gt;$J280),Tarification!$D$8,IF(AND(AF565&lt;=$J280,AF565&gt;$K280),Tarification!$D$9,IF(AND(AF565&lt;=$K280,AF565&gt;0),Tarification!$D$10,0)))</f>
        <v>0</v>
      </c>
      <c r="AG855" s="37">
        <f>IF(AND(AG565&lt;=$I280,AG565&gt;$J280),Tarification!$D$8,IF(AND(AG565&lt;=$J280,AG565&gt;$K280),Tarification!$D$9,IF(AND(AG565&lt;=$K280,AG565&gt;0),Tarification!$D$10,0)))</f>
        <v>0</v>
      </c>
      <c r="AH855" s="37">
        <f>IF(AND(AH565&lt;=$I280,AH565&gt;$J280),Tarification!$D$8,IF(AND(AH565&lt;=$J280,AH565&gt;$K280),Tarification!$D$9,IF(AND(AH565&lt;=$K280,AH565&gt;0),Tarification!$D$10,0)))</f>
        <v>0</v>
      </c>
      <c r="AI855" s="37">
        <f>IF(AND(AI565&lt;=$I280,AI565&gt;$J280),Tarification!$D$8,IF(AND(AI565&lt;=$J280,AI565&gt;$K280),Tarification!$D$9,IF(AND(AI565&lt;=$K280,AI565&gt;0),Tarification!$D$10,0)))</f>
        <v>0</v>
      </c>
      <c r="AJ855" s="37">
        <f>IF(AND(AJ565&lt;=$I280,AJ565&gt;$J280),Tarification!$D$8,IF(AND(AJ565&lt;=$J280,AJ565&gt;$K280),Tarification!$D$9,IF(AND(AJ565&lt;=$K280,AJ565&gt;0),Tarification!$D$10,0)))</f>
        <v>0</v>
      </c>
      <c r="AK855" s="37">
        <f>IF(AND(AK565&lt;=$I280,AK565&gt;$J280),Tarification!$D$8,IF(AND(AK565&lt;=$J280,AK565&gt;$K280),Tarification!$D$9,IF(AND(AK565&lt;=$K280,AK565&gt;0),Tarification!$D$10,0)))</f>
        <v>0</v>
      </c>
      <c r="AL855" s="37">
        <f>IF(AND(AL565&lt;=$I280,AL565&gt;$J280),Tarification!$D$8,IF(AND(AL565&lt;=$J280,AL565&gt;$K280),Tarification!$D$9,IF(AND(AL565&lt;=$K280,AL565&gt;0),Tarification!$D$10,0)))</f>
        <v>0</v>
      </c>
      <c r="AM855" s="37">
        <f>IF(AND(AM565&lt;=$I280,AM565&gt;$J280),Tarification!$D$8,IF(AND(AM565&lt;=$J280,AM565&gt;$K280),Tarification!$D$9,IF(AND(AM565&lt;=$K280,AM565&gt;0),Tarification!$D$10,0)))</f>
        <v>0</v>
      </c>
      <c r="AN855" s="37">
        <f>IF(AND(AN565&lt;=$I280,AN565&gt;$J280),Tarification!$D$8,IF(AND(AN565&lt;=$J280,AN565&gt;$K280),Tarification!$D$9,IF(AND(AN565&lt;=$K280,AN565&gt;0),Tarification!$D$10,0)))</f>
        <v>0</v>
      </c>
      <c r="AQ855" s="101">
        <f t="shared" si="152"/>
        <v>0</v>
      </c>
    </row>
    <row r="856" spans="14:43" ht="15.6">
      <c r="N856" s="39" t="s">
        <v>27</v>
      </c>
      <c r="O856" s="39" t="s">
        <v>542</v>
      </c>
      <c r="P856" t="s">
        <v>871</v>
      </c>
      <c r="Q856" s="39"/>
      <c r="V856" s="37">
        <f>IF(AND(V566&lt;=$I281,V566&gt;$J281),Tarification!$D$8,IF(AND(V566&lt;=$J281,V566&gt;$K281),Tarification!$D$9,IF(AND(V566&lt;=$K281,V566&gt;0),Tarification!$D$10,0)))</f>
        <v>0</v>
      </c>
      <c r="W856" s="37">
        <f>IF(AND(W566&lt;=$I281,W566&gt;$J281),Tarification!$D$8,IF(AND(W566&lt;=$J281,W566&gt;$K281),Tarification!$D$9,IF(AND(W566&lt;=$K281,W566&gt;0),Tarification!$D$10,0)))</f>
        <v>50000</v>
      </c>
      <c r="X856" s="37">
        <f>IF(AND(X566&lt;=$I281,X566&gt;$J281),Tarification!$D$8,IF(AND(X566&lt;=$J281,X566&gt;$K281),Tarification!$D$9,IF(AND(X566&lt;=$K281,X566&gt;0),Tarification!$D$10,0)))</f>
        <v>0</v>
      </c>
      <c r="Y856" s="37">
        <f>IF(AND(Y566&lt;=$I281,Y566&gt;$J281),Tarification!$D$8,IF(AND(Y566&lt;=$J281,Y566&gt;$K281),Tarification!$D$9,IF(AND(Y566&lt;=$K281,Y566&gt;0),Tarification!$D$10,0)))</f>
        <v>0</v>
      </c>
      <c r="Z856" s="37">
        <f>IF(AND(Z566&lt;=$I281,Z566&gt;$J281),Tarification!$D$8,IF(AND(Z566&lt;=$J281,Z566&gt;$K281),Tarification!$D$9,IF(AND(Z566&lt;=$K281,Z566&gt;0),Tarification!$D$10,0)))</f>
        <v>0</v>
      </c>
      <c r="AA856" s="37">
        <f>IF(AND(AA566&lt;=$I281,AA566&gt;$J281),Tarification!$D$8,IF(AND(AA566&lt;=$J281,AA566&gt;$K281),Tarification!$D$9,IF(AND(AA566&lt;=$K281,AA566&gt;0),Tarification!$D$10,0)))</f>
        <v>0</v>
      </c>
      <c r="AB856" s="37">
        <f>IF(AND(AB566&lt;=$I281,AB566&gt;$J281),Tarification!$D$8,IF(AND(AB566&lt;=$J281,AB566&gt;$K281),Tarification!$D$9,IF(AND(AB566&lt;=$K281,AB566&gt;0),Tarification!$D$10,0)))</f>
        <v>0</v>
      </c>
      <c r="AC856" s="37">
        <f>IF(AND(AC566&lt;=$I281,AC566&gt;$J281),Tarification!$D$8,IF(AND(AC566&lt;=$J281,AC566&gt;$K281),Tarification!$D$9,IF(AND(AC566&lt;=$K281,AC566&gt;0),Tarification!$D$10,0)))</f>
        <v>0</v>
      </c>
      <c r="AD856" s="37">
        <f>IF(AND(AD566&lt;=$I281,AD566&gt;$J281),Tarification!$D$8,IF(AND(AD566&lt;=$J281,AD566&gt;$K281),Tarification!$D$9,IF(AND(AD566&lt;=$K281,AD566&gt;0),Tarification!$D$10,0)))</f>
        <v>0</v>
      </c>
      <c r="AE856" s="37">
        <f>IF(AND(AE566&lt;=$I281,AE566&gt;$J281),Tarification!$D$8,IF(AND(AE566&lt;=$J281,AE566&gt;$K281),Tarification!$D$9,IF(AND(AE566&lt;=$K281,AE566&gt;0),Tarification!$D$10,0)))</f>
        <v>0</v>
      </c>
      <c r="AF856" s="37">
        <f>IF(AND(AF566&lt;=$I281,AF566&gt;$J281),Tarification!$D$8,IF(AND(AF566&lt;=$J281,AF566&gt;$K281),Tarification!$D$9,IF(AND(AF566&lt;=$K281,AF566&gt;0),Tarification!$D$10,0)))</f>
        <v>0</v>
      </c>
      <c r="AG856" s="37">
        <f>IF(AND(AG566&lt;=$I281,AG566&gt;$J281),Tarification!$D$8,IF(AND(AG566&lt;=$J281,AG566&gt;$K281),Tarification!$D$9,IF(AND(AG566&lt;=$K281,AG566&gt;0),Tarification!$D$10,0)))</f>
        <v>0</v>
      </c>
      <c r="AH856" s="37">
        <f>IF(AND(AH566&lt;=$I281,AH566&gt;$J281),Tarification!$D$8,IF(AND(AH566&lt;=$J281,AH566&gt;$K281),Tarification!$D$9,IF(AND(AH566&lt;=$K281,AH566&gt;0),Tarification!$D$10,0)))</f>
        <v>0</v>
      </c>
      <c r="AI856" s="37">
        <f>IF(AND(AI566&lt;=$I281,AI566&gt;$J281),Tarification!$D$8,IF(AND(AI566&lt;=$J281,AI566&gt;$K281),Tarification!$D$9,IF(AND(AI566&lt;=$K281,AI566&gt;0),Tarification!$D$10,0)))</f>
        <v>0</v>
      </c>
      <c r="AJ856" s="37">
        <f>IF(AND(AJ566&lt;=$I281,AJ566&gt;$J281),Tarification!$D$8,IF(AND(AJ566&lt;=$J281,AJ566&gt;$K281),Tarification!$D$9,IF(AND(AJ566&lt;=$K281,AJ566&gt;0),Tarification!$D$10,0)))</f>
        <v>0</v>
      </c>
      <c r="AK856" s="37">
        <f>IF(AND(AK566&lt;=$I281,AK566&gt;$J281),Tarification!$D$8,IF(AND(AK566&lt;=$J281,AK566&gt;$K281),Tarification!$D$9,IF(AND(AK566&lt;=$K281,AK566&gt;0),Tarification!$D$10,0)))</f>
        <v>0</v>
      </c>
      <c r="AL856" s="37">
        <f>IF(AND(AL566&lt;=$I281,AL566&gt;$J281),Tarification!$D$8,IF(AND(AL566&lt;=$J281,AL566&gt;$K281),Tarification!$D$9,IF(AND(AL566&lt;=$K281,AL566&gt;0),Tarification!$D$10,0)))</f>
        <v>0</v>
      </c>
      <c r="AM856" s="37">
        <f>IF(AND(AM566&lt;=$I281,AM566&gt;$J281),Tarification!$D$8,IF(AND(AM566&lt;=$J281,AM566&gt;$K281),Tarification!$D$9,IF(AND(AM566&lt;=$K281,AM566&gt;0),Tarification!$D$10,0)))</f>
        <v>0</v>
      </c>
      <c r="AN856" s="37">
        <f>IF(AND(AN566&lt;=$I281,AN566&gt;$J281),Tarification!$D$8,IF(AND(AN566&lt;=$J281,AN566&gt;$K281),Tarification!$D$9,IF(AND(AN566&lt;=$K281,AN566&gt;0),Tarification!$D$10,0)))</f>
        <v>0</v>
      </c>
      <c r="AQ856" s="101">
        <f t="shared" si="152"/>
        <v>2631.5789473684213</v>
      </c>
    </row>
    <row r="857" spans="14:43" ht="15.6">
      <c r="N857" s="39" t="s">
        <v>27</v>
      </c>
      <c r="O857" s="39" t="s">
        <v>517</v>
      </c>
      <c r="P857" t="s">
        <v>872</v>
      </c>
      <c r="Q857" s="39"/>
      <c r="V857" s="37">
        <f>IF(AND(V567&lt;=$I282,V567&gt;$J282),Tarification!$D$8,IF(AND(V567&lt;=$J282,V567&gt;$K282),Tarification!$D$9,IF(AND(V567&lt;=$K282,V567&gt;0),Tarification!$D$10,0)))</f>
        <v>0</v>
      </c>
      <c r="W857" s="37">
        <f>IF(AND(W567&lt;=$I282,W567&gt;$J282),Tarification!$D$8,IF(AND(W567&lt;=$J282,W567&gt;$K282),Tarification!$D$9,IF(AND(W567&lt;=$K282,W567&gt;0),Tarification!$D$10,0)))</f>
        <v>0</v>
      </c>
      <c r="X857" s="37">
        <f>IF(AND(X567&lt;=$I282,X567&gt;$J282),Tarification!$D$8,IF(AND(X567&lt;=$J282,X567&gt;$K282),Tarification!$D$9,IF(AND(X567&lt;=$K282,X567&gt;0),Tarification!$D$10,0)))</f>
        <v>0</v>
      </c>
      <c r="Y857" s="37">
        <f>IF(AND(Y567&lt;=$I282,Y567&gt;$J282),Tarification!$D$8,IF(AND(Y567&lt;=$J282,Y567&gt;$K282),Tarification!$D$9,IF(AND(Y567&lt;=$K282,Y567&gt;0),Tarification!$D$10,0)))</f>
        <v>0</v>
      </c>
      <c r="Z857" s="37">
        <f>IF(AND(Z567&lt;=$I282,Z567&gt;$J282),Tarification!$D$8,IF(AND(Z567&lt;=$J282,Z567&gt;$K282),Tarification!$D$9,IF(AND(Z567&lt;=$K282,Z567&gt;0),Tarification!$D$10,0)))</f>
        <v>0</v>
      </c>
      <c r="AA857" s="37">
        <f>IF(AND(AA567&lt;=$I282,AA567&gt;$J282),Tarification!$D$8,IF(AND(AA567&lt;=$J282,AA567&gt;$K282),Tarification!$D$9,IF(AND(AA567&lt;=$K282,AA567&gt;0),Tarification!$D$10,0)))</f>
        <v>0</v>
      </c>
      <c r="AB857" s="37">
        <f>IF(AND(AB567&lt;=$I282,AB567&gt;$J282),Tarification!$D$8,IF(AND(AB567&lt;=$J282,AB567&gt;$K282),Tarification!$D$9,IF(AND(AB567&lt;=$K282,AB567&gt;0),Tarification!$D$10,0)))</f>
        <v>50000</v>
      </c>
      <c r="AC857" s="37">
        <f>IF(AND(AC567&lt;=$I282,AC567&gt;$J282),Tarification!$D$8,IF(AND(AC567&lt;=$J282,AC567&gt;$K282),Tarification!$D$9,IF(AND(AC567&lt;=$K282,AC567&gt;0),Tarification!$D$10,0)))</f>
        <v>250000</v>
      </c>
      <c r="AD857" s="37">
        <f>IF(AND(AD567&lt;=$I282,AD567&gt;$J282),Tarification!$D$8,IF(AND(AD567&lt;=$J282,AD567&gt;$K282),Tarification!$D$9,IF(AND(AD567&lt;=$K282,AD567&gt;0),Tarification!$D$10,0)))</f>
        <v>125000</v>
      </c>
      <c r="AE857" s="37">
        <f>IF(AND(AE567&lt;=$I282,AE567&gt;$J282),Tarification!$D$8,IF(AND(AE567&lt;=$J282,AE567&gt;$K282),Tarification!$D$9,IF(AND(AE567&lt;=$K282,AE567&gt;0),Tarification!$D$10,0)))</f>
        <v>125000</v>
      </c>
      <c r="AF857" s="37">
        <f>IF(AND(AF567&lt;=$I282,AF567&gt;$J282),Tarification!$D$8,IF(AND(AF567&lt;=$J282,AF567&gt;$K282),Tarification!$D$9,IF(AND(AF567&lt;=$K282,AF567&gt;0),Tarification!$D$10,0)))</f>
        <v>125000</v>
      </c>
      <c r="AG857" s="37">
        <f>IF(AND(AG567&lt;=$I282,AG567&gt;$J282),Tarification!$D$8,IF(AND(AG567&lt;=$J282,AG567&gt;$K282),Tarification!$D$9,IF(AND(AG567&lt;=$K282,AG567&gt;0),Tarification!$D$10,0)))</f>
        <v>0</v>
      </c>
      <c r="AH857" s="37">
        <f>IF(AND(AH567&lt;=$I282,AH567&gt;$J282),Tarification!$D$8,IF(AND(AH567&lt;=$J282,AH567&gt;$K282),Tarification!$D$9,IF(AND(AH567&lt;=$K282,AH567&gt;0),Tarification!$D$10,0)))</f>
        <v>0</v>
      </c>
      <c r="AI857" s="37">
        <f>IF(AND(AI567&lt;=$I282,AI567&gt;$J282),Tarification!$D$8,IF(AND(AI567&lt;=$J282,AI567&gt;$K282),Tarification!$D$9,IF(AND(AI567&lt;=$K282,AI567&gt;0),Tarification!$D$10,0)))</f>
        <v>0</v>
      </c>
      <c r="AJ857" s="37">
        <f>IF(AND(AJ567&lt;=$I282,AJ567&gt;$J282),Tarification!$D$8,IF(AND(AJ567&lt;=$J282,AJ567&gt;$K282),Tarification!$D$9,IF(AND(AJ567&lt;=$K282,AJ567&gt;0),Tarification!$D$10,0)))</f>
        <v>50000</v>
      </c>
      <c r="AK857" s="37">
        <f>IF(AND(AK567&lt;=$I282,AK567&gt;$J282),Tarification!$D$8,IF(AND(AK567&lt;=$J282,AK567&gt;$K282),Tarification!$D$9,IF(AND(AK567&lt;=$K282,AK567&gt;0),Tarification!$D$10,0)))</f>
        <v>0</v>
      </c>
      <c r="AL857" s="37">
        <f>IF(AND(AL567&lt;=$I282,AL567&gt;$J282),Tarification!$D$8,IF(AND(AL567&lt;=$J282,AL567&gt;$K282),Tarification!$D$9,IF(AND(AL567&lt;=$K282,AL567&gt;0),Tarification!$D$10,0)))</f>
        <v>0</v>
      </c>
      <c r="AM857" s="37">
        <f>IF(AND(AM567&lt;=$I282,AM567&gt;$J282),Tarification!$D$8,IF(AND(AM567&lt;=$J282,AM567&gt;$K282),Tarification!$D$9,IF(AND(AM567&lt;=$K282,AM567&gt;0),Tarification!$D$10,0)))</f>
        <v>0</v>
      </c>
      <c r="AN857" s="37">
        <f>IF(AND(AN567&lt;=$I282,AN567&gt;$J282),Tarification!$D$8,IF(AND(AN567&lt;=$J282,AN567&gt;$K282),Tarification!$D$9,IF(AND(AN567&lt;=$K282,AN567&gt;0),Tarification!$D$10,0)))</f>
        <v>50000</v>
      </c>
      <c r="AQ857" s="101">
        <f t="shared" si="152"/>
        <v>40789.473684210527</v>
      </c>
    </row>
    <row r="858" spans="14:43" ht="15.6">
      <c r="N858" s="39" t="s">
        <v>26</v>
      </c>
      <c r="O858" s="39" t="s">
        <v>594</v>
      </c>
      <c r="P858" t="s">
        <v>729</v>
      </c>
      <c r="Q858" s="39"/>
      <c r="V858" s="37">
        <f>IF(AND(V568&lt;=$I283,V568&gt;$J283),Tarification!$D$8,IF(AND(V568&lt;=$J283,V568&gt;$K283),Tarification!$D$9,IF(AND(V568&lt;=$K283,V568&gt;0),Tarification!$D$10,0)))</f>
        <v>0</v>
      </c>
      <c r="W858" s="37">
        <f>IF(AND(W568&lt;=$I283,W568&gt;$J283),Tarification!$D$8,IF(AND(W568&lt;=$J283,W568&gt;$K283),Tarification!$D$9,IF(AND(W568&lt;=$K283,W568&gt;0),Tarification!$D$10,0)))</f>
        <v>0</v>
      </c>
      <c r="X858" s="37">
        <f>IF(AND(X568&lt;=$I283,X568&gt;$J283),Tarification!$D$8,IF(AND(X568&lt;=$J283,X568&gt;$K283),Tarification!$D$9,IF(AND(X568&lt;=$K283,X568&gt;0),Tarification!$D$10,0)))</f>
        <v>0</v>
      </c>
      <c r="Y858" s="37">
        <f>IF(AND(Y568&lt;=$I283,Y568&gt;$J283),Tarification!$D$8,IF(AND(Y568&lt;=$J283,Y568&gt;$K283),Tarification!$D$9,IF(AND(Y568&lt;=$K283,Y568&gt;0),Tarification!$D$10,0)))</f>
        <v>0</v>
      </c>
      <c r="Z858" s="37">
        <f>IF(AND(Z568&lt;=$I283,Z568&gt;$J283),Tarification!$D$8,IF(AND(Z568&lt;=$J283,Z568&gt;$K283),Tarification!$D$9,IF(AND(Z568&lt;=$K283,Z568&gt;0),Tarification!$D$10,0)))</f>
        <v>0</v>
      </c>
      <c r="AA858" s="37">
        <f>IF(AND(AA568&lt;=$I283,AA568&gt;$J283),Tarification!$D$8,IF(AND(AA568&lt;=$J283,AA568&gt;$K283),Tarification!$D$9,IF(AND(AA568&lt;=$K283,AA568&gt;0),Tarification!$D$10,0)))</f>
        <v>0</v>
      </c>
      <c r="AB858" s="37">
        <f>IF(AND(AB568&lt;=$I283,AB568&gt;$J283),Tarification!$D$8,IF(AND(AB568&lt;=$J283,AB568&gt;$K283),Tarification!$D$9,IF(AND(AB568&lt;=$K283,AB568&gt;0),Tarification!$D$10,0)))</f>
        <v>0</v>
      </c>
      <c r="AC858" s="37">
        <f>IF(AND(AC568&lt;=$I283,AC568&gt;$J283),Tarification!$D$8,IF(AND(AC568&lt;=$J283,AC568&gt;$K283),Tarification!$D$9,IF(AND(AC568&lt;=$K283,AC568&gt;0),Tarification!$D$10,0)))</f>
        <v>250000</v>
      </c>
      <c r="AD858" s="37">
        <f>IF(AND(AD568&lt;=$I283,AD568&gt;$J283),Tarification!$D$8,IF(AND(AD568&lt;=$J283,AD568&gt;$K283),Tarification!$D$9,IF(AND(AD568&lt;=$K283,AD568&gt;0),Tarification!$D$10,0)))</f>
        <v>125000</v>
      </c>
      <c r="AE858" s="37">
        <f>IF(AND(AE568&lt;=$I283,AE568&gt;$J283),Tarification!$D$8,IF(AND(AE568&lt;=$J283,AE568&gt;$K283),Tarification!$D$9,IF(AND(AE568&lt;=$K283,AE568&gt;0),Tarification!$D$10,0)))</f>
        <v>250000</v>
      </c>
      <c r="AF858" s="37">
        <f>IF(AND(AF568&lt;=$I283,AF568&gt;$J283),Tarification!$D$8,IF(AND(AF568&lt;=$J283,AF568&gt;$K283),Tarification!$D$9,IF(AND(AF568&lt;=$K283,AF568&gt;0),Tarification!$D$10,0)))</f>
        <v>50000</v>
      </c>
      <c r="AG858" s="37">
        <f>IF(AND(AG568&lt;=$I283,AG568&gt;$J283),Tarification!$D$8,IF(AND(AG568&lt;=$J283,AG568&gt;$K283),Tarification!$D$9,IF(AND(AG568&lt;=$K283,AG568&gt;0),Tarification!$D$10,0)))</f>
        <v>0</v>
      </c>
      <c r="AH858" s="37">
        <f>IF(AND(AH568&lt;=$I283,AH568&gt;$J283),Tarification!$D$8,IF(AND(AH568&lt;=$J283,AH568&gt;$K283),Tarification!$D$9,IF(AND(AH568&lt;=$K283,AH568&gt;0),Tarification!$D$10,0)))</f>
        <v>0</v>
      </c>
      <c r="AI858" s="37">
        <f>IF(AND(AI568&lt;=$I283,AI568&gt;$J283),Tarification!$D$8,IF(AND(AI568&lt;=$J283,AI568&gt;$K283),Tarification!$D$9,IF(AND(AI568&lt;=$K283,AI568&gt;0),Tarification!$D$10,0)))</f>
        <v>0</v>
      </c>
      <c r="AJ858" s="37">
        <f>IF(AND(AJ568&lt;=$I283,AJ568&gt;$J283),Tarification!$D$8,IF(AND(AJ568&lt;=$J283,AJ568&gt;$K283),Tarification!$D$9,IF(AND(AJ568&lt;=$K283,AJ568&gt;0),Tarification!$D$10,0)))</f>
        <v>0</v>
      </c>
      <c r="AK858" s="37">
        <f>IF(AND(AK568&lt;=$I283,AK568&gt;$J283),Tarification!$D$8,IF(AND(AK568&lt;=$J283,AK568&gt;$K283),Tarification!$D$9,IF(AND(AK568&lt;=$K283,AK568&gt;0),Tarification!$D$10,0)))</f>
        <v>0</v>
      </c>
      <c r="AL858" s="37">
        <f>IF(AND(AL568&lt;=$I283,AL568&gt;$J283),Tarification!$D$8,IF(AND(AL568&lt;=$J283,AL568&gt;$K283),Tarification!$D$9,IF(AND(AL568&lt;=$K283,AL568&gt;0),Tarification!$D$10,0)))</f>
        <v>0</v>
      </c>
      <c r="AM858" s="37">
        <f>IF(AND(AM568&lt;=$I283,AM568&gt;$J283),Tarification!$D$8,IF(AND(AM568&lt;=$J283,AM568&gt;$K283),Tarification!$D$9,IF(AND(AM568&lt;=$K283,AM568&gt;0),Tarification!$D$10,0)))</f>
        <v>0</v>
      </c>
      <c r="AN858" s="37">
        <f>IF(AND(AN568&lt;=$I283,AN568&gt;$J283),Tarification!$D$8,IF(AND(AN568&lt;=$J283,AN568&gt;$K283),Tarification!$D$9,IF(AND(AN568&lt;=$K283,AN568&gt;0),Tarification!$D$10,0)))</f>
        <v>50000</v>
      </c>
      <c r="AQ858" s="101">
        <f t="shared" si="152"/>
        <v>38157.894736842107</v>
      </c>
    </row>
    <row r="859" spans="14:43" ht="15.6">
      <c r="N859" s="39" t="s">
        <v>27</v>
      </c>
      <c r="O859" s="39" t="s">
        <v>605</v>
      </c>
      <c r="P859" t="s">
        <v>873</v>
      </c>
      <c r="Q859" s="39"/>
      <c r="V859" s="37">
        <f>IF(AND(V569&lt;=$I284,V569&gt;$J284),Tarification!$D$8,IF(AND(V569&lt;=$J284,V569&gt;$K284),Tarification!$D$9,IF(AND(V569&lt;=$K284,V569&gt;0),Tarification!$D$10,0)))</f>
        <v>0</v>
      </c>
      <c r="W859" s="37">
        <f>IF(AND(W569&lt;=$I284,W569&gt;$J284),Tarification!$D$8,IF(AND(W569&lt;=$J284,W569&gt;$K284),Tarification!$D$9,IF(AND(W569&lt;=$K284,W569&gt;0),Tarification!$D$10,0)))</f>
        <v>0</v>
      </c>
      <c r="X859" s="37">
        <f>IF(AND(X569&lt;=$I284,X569&gt;$J284),Tarification!$D$8,IF(AND(X569&lt;=$J284,X569&gt;$K284),Tarification!$D$9,IF(AND(X569&lt;=$K284,X569&gt;0),Tarification!$D$10,0)))</f>
        <v>0</v>
      </c>
      <c r="Y859" s="37">
        <f>IF(AND(Y569&lt;=$I284,Y569&gt;$J284),Tarification!$D$8,IF(AND(Y569&lt;=$J284,Y569&gt;$K284),Tarification!$D$9,IF(AND(Y569&lt;=$K284,Y569&gt;0),Tarification!$D$10,0)))</f>
        <v>0</v>
      </c>
      <c r="Z859" s="37">
        <f>IF(AND(Z569&lt;=$I284,Z569&gt;$J284),Tarification!$D$8,IF(AND(Z569&lt;=$J284,Z569&gt;$K284),Tarification!$D$9,IF(AND(Z569&lt;=$K284,Z569&gt;0),Tarification!$D$10,0)))</f>
        <v>0</v>
      </c>
      <c r="AA859" s="37">
        <f>IF(AND(AA569&lt;=$I284,AA569&gt;$J284),Tarification!$D$8,IF(AND(AA569&lt;=$J284,AA569&gt;$K284),Tarification!$D$9,IF(AND(AA569&lt;=$K284,AA569&gt;0),Tarification!$D$10,0)))</f>
        <v>0</v>
      </c>
      <c r="AB859" s="37">
        <f>IF(AND(AB569&lt;=$I284,AB569&gt;$J284),Tarification!$D$8,IF(AND(AB569&lt;=$J284,AB569&gt;$K284),Tarification!$D$9,IF(AND(AB569&lt;=$K284,AB569&gt;0),Tarification!$D$10,0)))</f>
        <v>0</v>
      </c>
      <c r="AC859" s="37">
        <f>IF(AND(AC569&lt;=$I284,AC569&gt;$J284),Tarification!$D$8,IF(AND(AC569&lt;=$J284,AC569&gt;$K284),Tarification!$D$9,IF(AND(AC569&lt;=$K284,AC569&gt;0),Tarification!$D$10,0)))</f>
        <v>125000</v>
      </c>
      <c r="AD859" s="37">
        <f>IF(AND(AD569&lt;=$I284,AD569&gt;$J284),Tarification!$D$8,IF(AND(AD569&lt;=$J284,AD569&gt;$K284),Tarification!$D$9,IF(AND(AD569&lt;=$K284,AD569&gt;0),Tarification!$D$10,0)))</f>
        <v>50000</v>
      </c>
      <c r="AE859" s="37">
        <f>IF(AND(AE569&lt;=$I284,AE569&gt;$J284),Tarification!$D$8,IF(AND(AE569&lt;=$J284,AE569&gt;$K284),Tarification!$D$9,IF(AND(AE569&lt;=$K284,AE569&gt;0),Tarification!$D$10,0)))</f>
        <v>125000</v>
      </c>
      <c r="AF859" s="37">
        <f>IF(AND(AF569&lt;=$I284,AF569&gt;$J284),Tarification!$D$8,IF(AND(AF569&lt;=$J284,AF569&gt;$K284),Tarification!$D$9,IF(AND(AF569&lt;=$K284,AF569&gt;0),Tarification!$D$10,0)))</f>
        <v>0</v>
      </c>
      <c r="AG859" s="37">
        <f>IF(AND(AG569&lt;=$I284,AG569&gt;$J284),Tarification!$D$8,IF(AND(AG569&lt;=$J284,AG569&gt;$K284),Tarification!$D$9,IF(AND(AG569&lt;=$K284,AG569&gt;0),Tarification!$D$10,0)))</f>
        <v>50000</v>
      </c>
      <c r="AH859" s="37">
        <f>IF(AND(AH569&lt;=$I284,AH569&gt;$J284),Tarification!$D$8,IF(AND(AH569&lt;=$J284,AH569&gt;$K284),Tarification!$D$9,IF(AND(AH569&lt;=$K284,AH569&gt;0),Tarification!$D$10,0)))</f>
        <v>0</v>
      </c>
      <c r="AI859" s="37">
        <f>IF(AND(AI569&lt;=$I284,AI569&gt;$J284),Tarification!$D$8,IF(AND(AI569&lt;=$J284,AI569&gt;$K284),Tarification!$D$9,IF(AND(AI569&lt;=$K284,AI569&gt;0),Tarification!$D$10,0)))</f>
        <v>0</v>
      </c>
      <c r="AJ859" s="37">
        <f>IF(AND(AJ569&lt;=$I284,AJ569&gt;$J284),Tarification!$D$8,IF(AND(AJ569&lt;=$J284,AJ569&gt;$K284),Tarification!$D$9,IF(AND(AJ569&lt;=$K284,AJ569&gt;0),Tarification!$D$10,0)))</f>
        <v>0</v>
      </c>
      <c r="AK859" s="37">
        <f>IF(AND(AK569&lt;=$I284,AK569&gt;$J284),Tarification!$D$8,IF(AND(AK569&lt;=$J284,AK569&gt;$K284),Tarification!$D$9,IF(AND(AK569&lt;=$K284,AK569&gt;0),Tarification!$D$10,0)))</f>
        <v>0</v>
      </c>
      <c r="AL859" s="37">
        <f>IF(AND(AL569&lt;=$I284,AL569&gt;$J284),Tarification!$D$8,IF(AND(AL569&lt;=$J284,AL569&gt;$K284),Tarification!$D$9,IF(AND(AL569&lt;=$K284,AL569&gt;0),Tarification!$D$10,0)))</f>
        <v>0</v>
      </c>
      <c r="AM859" s="37">
        <f>IF(AND(AM569&lt;=$I284,AM569&gt;$J284),Tarification!$D$8,IF(AND(AM569&lt;=$J284,AM569&gt;$K284),Tarification!$D$9,IF(AND(AM569&lt;=$K284,AM569&gt;0),Tarification!$D$10,0)))</f>
        <v>0</v>
      </c>
      <c r="AN859" s="37">
        <f>IF(AND(AN569&lt;=$I284,AN569&gt;$J284),Tarification!$D$8,IF(AND(AN569&lt;=$J284,AN569&gt;$K284),Tarification!$D$9,IF(AND(AN569&lt;=$K284,AN569&gt;0),Tarification!$D$10,0)))</f>
        <v>125000</v>
      </c>
      <c r="AQ859" s="101">
        <f t="shared" si="152"/>
        <v>25000</v>
      </c>
    </row>
  </sheetData>
  <autoFilter ref="N292:AJ569" xr:uid="{00000000-0009-0000-0000-000005000000}"/>
  <mergeCells count="1">
    <mergeCell ref="I5:K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K526"/>
  <sheetViews>
    <sheetView showGridLines="0" topLeftCell="B1" workbookViewId="0">
      <selection activeCell="I15" sqref="I15"/>
    </sheetView>
  </sheetViews>
  <sheetFormatPr baseColWidth="10" defaultColWidth="29.77734375" defaultRowHeight="14.4"/>
  <cols>
    <col min="1" max="2" width="11.109375" customWidth="1"/>
    <col min="3" max="3" width="10.44140625" bestFit="1" customWidth="1"/>
    <col min="4" max="4" width="4.44140625" bestFit="1" customWidth="1"/>
    <col min="5" max="5" width="4.109375" bestFit="1" customWidth="1"/>
    <col min="6" max="6" width="25.44140625" bestFit="1" customWidth="1"/>
    <col min="7" max="7" width="23.33203125" bestFit="1" customWidth="1"/>
    <col min="8" max="8" width="8" bestFit="1" customWidth="1"/>
    <col min="9" max="9" width="7.44140625" bestFit="1" customWidth="1"/>
    <col min="10" max="10" width="8.88671875" bestFit="1" customWidth="1"/>
    <col min="11" max="11" width="12.33203125" bestFit="1" customWidth="1"/>
  </cols>
  <sheetData>
    <row r="1" spans="1:11">
      <c r="A1" s="124" t="s">
        <v>943</v>
      </c>
    </row>
    <row r="3" spans="1:11">
      <c r="C3" t="s">
        <v>877</v>
      </c>
    </row>
    <row r="4" spans="1:11">
      <c r="C4" s="73" t="s">
        <v>74</v>
      </c>
      <c r="D4" s="74">
        <f>'(2) ARV Model'!H3</f>
        <v>0.46</v>
      </c>
      <c r="F4" t="s">
        <v>950</v>
      </c>
    </row>
    <row r="7" spans="1:11" ht="27.6">
      <c r="E7" s="75" t="s">
        <v>75</v>
      </c>
      <c r="F7" s="76" t="s">
        <v>76</v>
      </c>
      <c r="G7" s="76" t="s">
        <v>77</v>
      </c>
      <c r="H7" s="77" t="s">
        <v>78</v>
      </c>
      <c r="I7" s="77" t="s">
        <v>79</v>
      </c>
      <c r="J7" s="77" t="s">
        <v>80</v>
      </c>
      <c r="K7" s="78" t="s">
        <v>81</v>
      </c>
    </row>
    <row r="8" spans="1:11">
      <c r="E8" s="79">
        <v>1</v>
      </c>
      <c r="F8" s="80" t="s">
        <v>82</v>
      </c>
      <c r="G8" s="81" t="s">
        <v>83</v>
      </c>
      <c r="H8" s="82">
        <v>680421.6182197982</v>
      </c>
      <c r="I8" s="82">
        <v>659661.11459335592</v>
      </c>
      <c r="J8" s="82">
        <v>1340082.7328186966</v>
      </c>
      <c r="K8" s="83">
        <f t="shared" ref="K8:K71" si="0">ROUND($D$4*J8,0)</f>
        <v>616438</v>
      </c>
    </row>
    <row r="9" spans="1:11">
      <c r="E9" s="79">
        <v>2</v>
      </c>
      <c r="F9" s="80" t="s">
        <v>82</v>
      </c>
      <c r="G9" s="81" t="s">
        <v>84</v>
      </c>
      <c r="H9" s="82">
        <v>180917.19414315472</v>
      </c>
      <c r="I9" s="82">
        <v>159974.41846152936</v>
      </c>
      <c r="J9" s="82">
        <v>340891.61260499788</v>
      </c>
      <c r="K9" s="83">
        <f t="shared" si="0"/>
        <v>156810</v>
      </c>
    </row>
    <row r="10" spans="1:11">
      <c r="E10" s="79">
        <v>3</v>
      </c>
      <c r="F10" s="80" t="s">
        <v>82</v>
      </c>
      <c r="G10" s="81" t="s">
        <v>85</v>
      </c>
      <c r="H10" s="82">
        <v>163988.64764429256</v>
      </c>
      <c r="I10" s="82">
        <v>149146.36324770789</v>
      </c>
      <c r="J10" s="82">
        <v>313135.01089157379</v>
      </c>
      <c r="K10" s="83">
        <f t="shared" si="0"/>
        <v>144042</v>
      </c>
    </row>
    <row r="11" spans="1:11">
      <c r="E11" s="79">
        <v>4</v>
      </c>
      <c r="F11" s="80" t="s">
        <v>82</v>
      </c>
      <c r="G11" s="81" t="s">
        <v>86</v>
      </c>
      <c r="H11" s="82">
        <v>330016.05201871909</v>
      </c>
      <c r="I11" s="82">
        <v>362566.46005049214</v>
      </c>
      <c r="J11" s="82">
        <v>692582.51207475364</v>
      </c>
      <c r="K11" s="83">
        <f t="shared" si="0"/>
        <v>318588</v>
      </c>
    </row>
    <row r="12" spans="1:11">
      <c r="E12" s="79">
        <v>5</v>
      </c>
      <c r="F12" s="80" t="s">
        <v>82</v>
      </c>
      <c r="G12" s="81" t="s">
        <v>87</v>
      </c>
      <c r="H12" s="82">
        <v>209098.0704782418</v>
      </c>
      <c r="I12" s="82">
        <v>203184.28791700822</v>
      </c>
      <c r="J12" s="82">
        <v>412282.35839762684</v>
      </c>
      <c r="K12" s="83">
        <f t="shared" si="0"/>
        <v>189650</v>
      </c>
    </row>
    <row r="13" spans="1:11">
      <c r="E13" s="79">
        <v>6</v>
      </c>
      <c r="F13" s="80" t="s">
        <v>82</v>
      </c>
      <c r="G13" s="81" t="s">
        <v>88</v>
      </c>
      <c r="H13" s="82">
        <v>110457.91410463167</v>
      </c>
      <c r="I13" s="82">
        <v>103603.1405118611</v>
      </c>
      <c r="J13" s="82">
        <v>214061.05461532786</v>
      </c>
      <c r="K13" s="83">
        <f t="shared" si="0"/>
        <v>98468</v>
      </c>
    </row>
    <row r="14" spans="1:11">
      <c r="E14" s="79">
        <v>7</v>
      </c>
      <c r="F14" s="80" t="s">
        <v>82</v>
      </c>
      <c r="G14" s="81" t="s">
        <v>89</v>
      </c>
      <c r="H14" s="82">
        <v>3634.9940905998637</v>
      </c>
      <c r="I14" s="82">
        <v>3550.6775801238582</v>
      </c>
      <c r="J14" s="82">
        <v>7185.6716707248706</v>
      </c>
      <c r="K14" s="83">
        <f t="shared" si="0"/>
        <v>3305</v>
      </c>
    </row>
    <row r="15" spans="1:11">
      <c r="E15" s="79">
        <v>8</v>
      </c>
      <c r="F15" s="80" t="s">
        <v>82</v>
      </c>
      <c r="G15" s="81" t="s">
        <v>90</v>
      </c>
      <c r="H15" s="82">
        <v>321725.79552726197</v>
      </c>
      <c r="I15" s="82">
        <v>297069.590563695</v>
      </c>
      <c r="J15" s="82">
        <v>618795.38609649939</v>
      </c>
      <c r="K15" s="83">
        <f t="shared" si="0"/>
        <v>284646</v>
      </c>
    </row>
    <row r="16" spans="1:11">
      <c r="E16" s="79">
        <v>9</v>
      </c>
      <c r="F16" s="80" t="s">
        <v>82</v>
      </c>
      <c r="G16" s="81" t="s">
        <v>91</v>
      </c>
      <c r="H16" s="82">
        <v>55910.263460121161</v>
      </c>
      <c r="I16" s="82">
        <v>50641.552363615236</v>
      </c>
      <c r="J16" s="82">
        <v>106551.81582373811</v>
      </c>
      <c r="K16" s="83">
        <f t="shared" si="0"/>
        <v>49014</v>
      </c>
    </row>
    <row r="17" spans="5:11">
      <c r="E17" s="79">
        <v>10</v>
      </c>
      <c r="F17" s="80" t="s">
        <v>82</v>
      </c>
      <c r="G17" s="81" t="s">
        <v>92</v>
      </c>
      <c r="H17" s="82">
        <v>795443.02359615685</v>
      </c>
      <c r="I17" s="82">
        <v>775621.97360498551</v>
      </c>
      <c r="J17" s="82">
        <v>1571064.9972066849</v>
      </c>
      <c r="K17" s="83">
        <f t="shared" si="0"/>
        <v>722690</v>
      </c>
    </row>
    <row r="18" spans="5:11">
      <c r="E18" s="79">
        <v>11</v>
      </c>
      <c r="F18" s="84" t="s">
        <v>82</v>
      </c>
      <c r="G18" s="81" t="s">
        <v>93</v>
      </c>
      <c r="H18" s="82">
        <v>200516.56669695341</v>
      </c>
      <c r="I18" s="82">
        <v>189075.66568700815</v>
      </c>
      <c r="J18" s="82">
        <v>389592.23238262761</v>
      </c>
      <c r="K18" s="83">
        <f t="shared" si="0"/>
        <v>179212</v>
      </c>
    </row>
    <row r="19" spans="5:11">
      <c r="E19" s="79">
        <v>12</v>
      </c>
      <c r="F19" s="84" t="s">
        <v>82</v>
      </c>
      <c r="G19" s="81" t="s">
        <v>94</v>
      </c>
      <c r="H19" s="82">
        <v>101396.95155442838</v>
      </c>
      <c r="I19" s="82">
        <v>103259.00630892921</v>
      </c>
      <c r="J19" s="82">
        <v>204655.95786348573</v>
      </c>
      <c r="K19" s="83">
        <f t="shared" si="0"/>
        <v>94142</v>
      </c>
    </row>
    <row r="20" spans="5:11">
      <c r="E20" s="79">
        <v>13</v>
      </c>
      <c r="F20" s="84" t="s">
        <v>82</v>
      </c>
      <c r="G20" s="81" t="s">
        <v>95</v>
      </c>
      <c r="H20" s="82">
        <v>10622.98664853949</v>
      </c>
      <c r="I20" s="82">
        <v>9734.341562145195</v>
      </c>
      <c r="J20" s="82">
        <v>20357.328210684187</v>
      </c>
      <c r="K20" s="83">
        <f t="shared" si="0"/>
        <v>9364</v>
      </c>
    </row>
    <row r="21" spans="5:11">
      <c r="E21" s="79">
        <v>14</v>
      </c>
      <c r="F21" s="84" t="s">
        <v>82</v>
      </c>
      <c r="G21" s="81" t="s">
        <v>96</v>
      </c>
      <c r="H21" s="82">
        <v>46832.952654363813</v>
      </c>
      <c r="I21" s="82">
        <v>42945.458667824387</v>
      </c>
      <c r="J21" s="82">
        <v>89778.411322209417</v>
      </c>
      <c r="K21" s="83">
        <f t="shared" si="0"/>
        <v>41298</v>
      </c>
    </row>
    <row r="22" spans="5:11">
      <c r="E22" s="79">
        <v>15</v>
      </c>
      <c r="F22" s="85" t="s">
        <v>97</v>
      </c>
      <c r="G22" s="81" t="s">
        <v>97</v>
      </c>
      <c r="H22" s="82">
        <v>7265.9442329342437</v>
      </c>
      <c r="I22" s="82">
        <v>7597.2604270401935</v>
      </c>
      <c r="J22" s="82">
        <v>14863.204659968644</v>
      </c>
      <c r="K22" s="83">
        <f t="shared" si="0"/>
        <v>6837</v>
      </c>
    </row>
    <row r="23" spans="5:11">
      <c r="E23" s="79">
        <v>16</v>
      </c>
      <c r="F23" s="85" t="s">
        <v>97</v>
      </c>
      <c r="G23" s="81" t="s">
        <v>98</v>
      </c>
      <c r="H23" s="82">
        <v>18537.938991403738</v>
      </c>
      <c r="I23" s="82">
        <v>16111.803022048047</v>
      </c>
      <c r="J23" s="82">
        <v>34649.742013472132</v>
      </c>
      <c r="K23" s="83">
        <f t="shared" si="0"/>
        <v>15939</v>
      </c>
    </row>
    <row r="24" spans="5:11">
      <c r="E24" s="79">
        <v>17</v>
      </c>
      <c r="F24" s="86" t="s">
        <v>99</v>
      </c>
      <c r="G24" s="81" t="s">
        <v>99</v>
      </c>
      <c r="H24" s="82">
        <v>173977.6137604262</v>
      </c>
      <c r="I24" s="82">
        <v>166256.13938287512</v>
      </c>
      <c r="J24" s="82">
        <v>340233.75314334303</v>
      </c>
      <c r="K24" s="83">
        <f t="shared" si="0"/>
        <v>156508</v>
      </c>
    </row>
    <row r="25" spans="5:11">
      <c r="E25" s="79">
        <v>18</v>
      </c>
      <c r="F25" s="86" t="s">
        <v>99</v>
      </c>
      <c r="G25" s="81" t="s">
        <v>100</v>
      </c>
      <c r="H25" s="82">
        <v>17394.345969773538</v>
      </c>
      <c r="I25" s="82">
        <v>14931.371950990997</v>
      </c>
      <c r="J25" s="82">
        <v>32325.717920783009</v>
      </c>
      <c r="K25" s="83">
        <f t="shared" si="0"/>
        <v>14870</v>
      </c>
    </row>
    <row r="26" spans="5:11">
      <c r="E26" s="79">
        <v>19</v>
      </c>
      <c r="F26" s="85" t="s">
        <v>101</v>
      </c>
      <c r="G26" s="87" t="s">
        <v>102</v>
      </c>
      <c r="H26" s="82">
        <v>52161.976293752312</v>
      </c>
      <c r="I26" s="82">
        <v>43084.492671190674</v>
      </c>
      <c r="J26" s="82">
        <v>95246.468964965476</v>
      </c>
      <c r="K26" s="83">
        <f t="shared" si="0"/>
        <v>43813</v>
      </c>
    </row>
    <row r="27" spans="5:11">
      <c r="E27" s="79">
        <v>20</v>
      </c>
      <c r="F27" s="85" t="s">
        <v>101</v>
      </c>
      <c r="G27" s="87" t="s">
        <v>103</v>
      </c>
      <c r="H27" s="82">
        <v>34233.81262594679</v>
      </c>
      <c r="I27" s="82">
        <v>27398.147743986134</v>
      </c>
      <c r="J27" s="82">
        <v>61631.960369955363</v>
      </c>
      <c r="K27" s="83">
        <f t="shared" si="0"/>
        <v>28351</v>
      </c>
    </row>
    <row r="28" spans="5:11">
      <c r="E28" s="79">
        <v>21</v>
      </c>
      <c r="F28" s="85" t="s">
        <v>101</v>
      </c>
      <c r="G28" s="87" t="s">
        <v>104</v>
      </c>
      <c r="H28" s="82">
        <v>60477.911622988096</v>
      </c>
      <c r="I28" s="82">
        <v>52891.502380740661</v>
      </c>
      <c r="J28" s="82">
        <v>113369.41400374642</v>
      </c>
      <c r="K28" s="83">
        <f t="shared" si="0"/>
        <v>52150</v>
      </c>
    </row>
    <row r="29" spans="5:11">
      <c r="E29" s="79">
        <v>22</v>
      </c>
      <c r="F29" s="85" t="s">
        <v>101</v>
      </c>
      <c r="G29" s="87" t="s">
        <v>105</v>
      </c>
      <c r="H29" s="82">
        <v>69342.626230216527</v>
      </c>
      <c r="I29" s="82">
        <v>59997.450815971919</v>
      </c>
      <c r="J29" s="82">
        <v>129340.07704621073</v>
      </c>
      <c r="K29" s="83">
        <f t="shared" si="0"/>
        <v>59496</v>
      </c>
    </row>
    <row r="30" spans="5:11">
      <c r="E30" s="79">
        <v>23</v>
      </c>
      <c r="F30" s="85" t="s">
        <v>101</v>
      </c>
      <c r="G30" s="87" t="s">
        <v>101</v>
      </c>
      <c r="H30" s="82">
        <v>205926.96515902341</v>
      </c>
      <c r="I30" s="82">
        <v>184727.38169298673</v>
      </c>
      <c r="J30" s="82">
        <v>390654.34685155249</v>
      </c>
      <c r="K30" s="83">
        <f t="shared" si="0"/>
        <v>179701</v>
      </c>
    </row>
    <row r="31" spans="5:11">
      <c r="E31" s="79">
        <v>24</v>
      </c>
      <c r="F31" s="85" t="s">
        <v>106</v>
      </c>
      <c r="G31" s="88" t="s">
        <v>107</v>
      </c>
      <c r="H31" s="82">
        <v>11283.068500010968</v>
      </c>
      <c r="I31" s="82">
        <v>9084.9285369827376</v>
      </c>
      <c r="J31" s="82">
        <v>20367.997036993416</v>
      </c>
      <c r="K31" s="83">
        <f t="shared" si="0"/>
        <v>9369</v>
      </c>
    </row>
    <row r="32" spans="5:11">
      <c r="E32" s="79">
        <v>25</v>
      </c>
      <c r="F32" s="85" t="s">
        <v>106</v>
      </c>
      <c r="G32" s="88" t="s">
        <v>108</v>
      </c>
      <c r="H32" s="82">
        <v>12175.358187607309</v>
      </c>
      <c r="I32" s="82">
        <v>10648.902070571499</v>
      </c>
      <c r="J32" s="82">
        <v>22824.260258182752</v>
      </c>
      <c r="K32" s="83">
        <f t="shared" si="0"/>
        <v>10499</v>
      </c>
    </row>
    <row r="33" spans="5:11">
      <c r="E33" s="79">
        <v>26</v>
      </c>
      <c r="F33" s="85" t="s">
        <v>106</v>
      </c>
      <c r="G33" s="88" t="s">
        <v>109</v>
      </c>
      <c r="H33" s="82">
        <v>50288.846729632467</v>
      </c>
      <c r="I33" s="82">
        <v>41027.496229446027</v>
      </c>
      <c r="J33" s="82">
        <v>91316.342959100875</v>
      </c>
      <c r="K33" s="83">
        <f t="shared" si="0"/>
        <v>42006</v>
      </c>
    </row>
    <row r="34" spans="5:11">
      <c r="E34" s="79">
        <v>27</v>
      </c>
      <c r="F34" s="85" t="s">
        <v>106</v>
      </c>
      <c r="G34" s="88" t="s">
        <v>110</v>
      </c>
      <c r="H34" s="82">
        <v>29969.536234380666</v>
      </c>
      <c r="I34" s="82">
        <v>23854.960798605742</v>
      </c>
      <c r="J34" s="82">
        <v>53824.49703300876</v>
      </c>
      <c r="K34" s="83">
        <f t="shared" si="0"/>
        <v>24759</v>
      </c>
    </row>
    <row r="35" spans="5:11">
      <c r="E35" s="79">
        <v>28</v>
      </c>
      <c r="F35" s="85" t="s">
        <v>106</v>
      </c>
      <c r="G35" s="88" t="s">
        <v>111</v>
      </c>
      <c r="H35" s="82">
        <v>11164.154408241789</v>
      </c>
      <c r="I35" s="82">
        <v>8265.1894741412016</v>
      </c>
      <c r="J35" s="82">
        <v>19429.343882381276</v>
      </c>
      <c r="K35" s="83">
        <f t="shared" si="0"/>
        <v>8937</v>
      </c>
    </row>
    <row r="36" spans="5:11">
      <c r="E36" s="79">
        <v>29</v>
      </c>
      <c r="F36" s="85" t="s">
        <v>106</v>
      </c>
      <c r="G36" s="88" t="s">
        <v>106</v>
      </c>
      <c r="H36" s="82">
        <v>33676.785091379155</v>
      </c>
      <c r="I36" s="82">
        <v>29042.424148737631</v>
      </c>
      <c r="J36" s="82">
        <v>62719.2092401435</v>
      </c>
      <c r="K36" s="83">
        <f t="shared" si="0"/>
        <v>28851</v>
      </c>
    </row>
    <row r="37" spans="5:11">
      <c r="E37" s="79">
        <v>30</v>
      </c>
      <c r="F37" s="85" t="s">
        <v>112</v>
      </c>
      <c r="G37" s="88" t="s">
        <v>113</v>
      </c>
      <c r="H37" s="82">
        <v>53489.125591534226</v>
      </c>
      <c r="I37" s="82">
        <v>47358.453366759779</v>
      </c>
      <c r="J37" s="82">
        <v>100847.57895832071</v>
      </c>
      <c r="K37" s="83">
        <f t="shared" si="0"/>
        <v>46390</v>
      </c>
    </row>
    <row r="38" spans="5:11">
      <c r="E38" s="79">
        <v>31</v>
      </c>
      <c r="F38" s="85" t="s">
        <v>112</v>
      </c>
      <c r="G38" s="88" t="s">
        <v>114</v>
      </c>
      <c r="H38" s="82">
        <v>40370.997437439612</v>
      </c>
      <c r="I38" s="82">
        <v>35349.776759646884</v>
      </c>
      <c r="J38" s="82">
        <v>75720.774197108884</v>
      </c>
      <c r="K38" s="83">
        <f t="shared" si="0"/>
        <v>34832</v>
      </c>
    </row>
    <row r="39" spans="5:11">
      <c r="E39" s="79">
        <v>32</v>
      </c>
      <c r="F39" s="85" t="s">
        <v>115</v>
      </c>
      <c r="G39" s="88" t="s">
        <v>116</v>
      </c>
      <c r="H39" s="82">
        <v>24344.585900644353</v>
      </c>
      <c r="I39" s="82">
        <v>21406.389795035502</v>
      </c>
      <c r="J39" s="82">
        <v>45750.975695702124</v>
      </c>
      <c r="K39" s="83">
        <f t="shared" si="0"/>
        <v>21045</v>
      </c>
    </row>
    <row r="40" spans="5:11">
      <c r="E40" s="79">
        <v>33</v>
      </c>
      <c r="F40" s="85" t="s">
        <v>115</v>
      </c>
      <c r="G40" s="88" t="s">
        <v>115</v>
      </c>
      <c r="H40" s="82">
        <v>30829.242152764407</v>
      </c>
      <c r="I40" s="82">
        <v>25632.511788416945</v>
      </c>
      <c r="J40" s="82">
        <v>56461.753941207899</v>
      </c>
      <c r="K40" s="83">
        <f t="shared" si="0"/>
        <v>25972</v>
      </c>
    </row>
    <row r="41" spans="5:11">
      <c r="E41" s="79">
        <v>34</v>
      </c>
      <c r="F41" s="85" t="s">
        <v>117</v>
      </c>
      <c r="G41" s="88" t="s">
        <v>118</v>
      </c>
      <c r="H41" s="82">
        <v>45039.201660026331</v>
      </c>
      <c r="I41" s="82">
        <v>38755.280695904519</v>
      </c>
      <c r="J41" s="82">
        <v>83794.482355951957</v>
      </c>
      <c r="K41" s="83">
        <f t="shared" si="0"/>
        <v>38545</v>
      </c>
    </row>
    <row r="42" spans="5:11">
      <c r="E42" s="79">
        <v>35</v>
      </c>
      <c r="F42" s="85" t="s">
        <v>117</v>
      </c>
      <c r="G42" s="88" t="s">
        <v>117</v>
      </c>
      <c r="H42" s="82">
        <v>81471.969094255299</v>
      </c>
      <c r="I42" s="82">
        <v>72011.253603090823</v>
      </c>
      <c r="J42" s="82">
        <v>153483.22269702633</v>
      </c>
      <c r="K42" s="83">
        <f t="shared" si="0"/>
        <v>70602</v>
      </c>
    </row>
    <row r="43" spans="5:11">
      <c r="E43" s="79">
        <v>36</v>
      </c>
      <c r="F43" s="85" t="s">
        <v>117</v>
      </c>
      <c r="G43" s="88" t="s">
        <v>119</v>
      </c>
      <c r="H43" s="82">
        <v>32933.722888597564</v>
      </c>
      <c r="I43" s="82">
        <v>29039.158572545781</v>
      </c>
      <c r="J43" s="82">
        <v>61972.881461134486</v>
      </c>
      <c r="K43" s="83">
        <f t="shared" si="0"/>
        <v>28508</v>
      </c>
    </row>
    <row r="44" spans="5:11">
      <c r="E44" s="79">
        <v>37</v>
      </c>
      <c r="F44" s="85" t="s">
        <v>120</v>
      </c>
      <c r="G44" s="88" t="s">
        <v>121</v>
      </c>
      <c r="H44" s="82">
        <v>58525.319950853729</v>
      </c>
      <c r="I44" s="82">
        <v>53523.921163225859</v>
      </c>
      <c r="J44" s="82">
        <v>112049.24111410274</v>
      </c>
      <c r="K44" s="83">
        <f t="shared" si="0"/>
        <v>51543</v>
      </c>
    </row>
    <row r="45" spans="5:11">
      <c r="E45" s="79">
        <v>38</v>
      </c>
      <c r="F45" s="85" t="s">
        <v>120</v>
      </c>
      <c r="G45" s="88" t="s">
        <v>122</v>
      </c>
      <c r="H45" s="82">
        <v>43858.73344618101</v>
      </c>
      <c r="I45" s="82">
        <v>38706.970255643355</v>
      </c>
      <c r="J45" s="82">
        <v>82565.703701845414</v>
      </c>
      <c r="K45" s="83">
        <f t="shared" si="0"/>
        <v>37980</v>
      </c>
    </row>
    <row r="46" spans="5:11">
      <c r="E46" s="79">
        <v>39</v>
      </c>
      <c r="F46" s="85" t="s">
        <v>120</v>
      </c>
      <c r="G46" s="88" t="s">
        <v>123</v>
      </c>
      <c r="H46" s="82">
        <v>63931.735005934606</v>
      </c>
      <c r="I46" s="82">
        <v>56121.209382684247</v>
      </c>
      <c r="J46" s="82">
        <v>120052.94438864113</v>
      </c>
      <c r="K46" s="83">
        <f t="shared" si="0"/>
        <v>55224</v>
      </c>
    </row>
    <row r="47" spans="5:11">
      <c r="E47" s="79">
        <v>40</v>
      </c>
      <c r="F47" s="85" t="s">
        <v>120</v>
      </c>
      <c r="G47" s="88" t="s">
        <v>124</v>
      </c>
      <c r="H47" s="82">
        <v>146074.58706000651</v>
      </c>
      <c r="I47" s="82">
        <v>126698.05808961272</v>
      </c>
      <c r="J47" s="82">
        <v>272772.64514887671</v>
      </c>
      <c r="K47" s="83">
        <f t="shared" si="0"/>
        <v>125475</v>
      </c>
    </row>
    <row r="48" spans="5:11">
      <c r="E48" s="79">
        <v>41</v>
      </c>
      <c r="F48" s="85" t="s">
        <v>125</v>
      </c>
      <c r="G48" s="89" t="s">
        <v>126</v>
      </c>
      <c r="H48" s="82">
        <v>18009.719532891828</v>
      </c>
      <c r="I48" s="82">
        <v>16811.47831358268</v>
      </c>
      <c r="J48" s="82">
        <v>34821.197846496994</v>
      </c>
      <c r="K48" s="83">
        <f t="shared" si="0"/>
        <v>16018</v>
      </c>
    </row>
    <row r="49" spans="5:11">
      <c r="E49" s="79">
        <v>42</v>
      </c>
      <c r="F49" s="85" t="s">
        <v>125</v>
      </c>
      <c r="G49" s="89" t="s">
        <v>125</v>
      </c>
      <c r="H49" s="82">
        <v>26266.578020763478</v>
      </c>
      <c r="I49" s="82">
        <v>21831.362951032024</v>
      </c>
      <c r="J49" s="82">
        <v>48097.940971818185</v>
      </c>
      <c r="K49" s="83">
        <f t="shared" si="0"/>
        <v>22125</v>
      </c>
    </row>
    <row r="50" spans="5:11">
      <c r="E50" s="79">
        <v>43</v>
      </c>
      <c r="F50" s="85" t="s">
        <v>125</v>
      </c>
      <c r="G50" s="89" t="s">
        <v>127</v>
      </c>
      <c r="H50" s="82">
        <v>13008.362808432517</v>
      </c>
      <c r="I50" s="82">
        <v>11824.02686355036</v>
      </c>
      <c r="J50" s="82">
        <v>24832.389671991528</v>
      </c>
      <c r="K50" s="83">
        <f t="shared" si="0"/>
        <v>11423</v>
      </c>
    </row>
    <row r="51" spans="5:11">
      <c r="E51" s="79">
        <v>44</v>
      </c>
      <c r="F51" s="85" t="s">
        <v>128</v>
      </c>
      <c r="G51" s="87" t="s">
        <v>129</v>
      </c>
      <c r="H51" s="82">
        <v>39421.876342259071</v>
      </c>
      <c r="I51" s="82">
        <v>32575.703092865588</v>
      </c>
      <c r="J51" s="82">
        <v>71997.579435146967</v>
      </c>
      <c r="K51" s="83">
        <f t="shared" si="0"/>
        <v>33119</v>
      </c>
    </row>
    <row r="52" spans="5:11">
      <c r="E52" s="79">
        <v>45</v>
      </c>
      <c r="F52" s="85" t="s">
        <v>128</v>
      </c>
      <c r="G52" s="87" t="s">
        <v>130</v>
      </c>
      <c r="H52" s="82">
        <v>23045.786856748582</v>
      </c>
      <c r="I52" s="82">
        <v>18918.82360549974</v>
      </c>
      <c r="J52" s="82">
        <v>41964.61046226944</v>
      </c>
      <c r="K52" s="83">
        <f t="shared" si="0"/>
        <v>19304</v>
      </c>
    </row>
    <row r="53" spans="5:11">
      <c r="E53" s="79">
        <v>46</v>
      </c>
      <c r="F53" s="85" t="s">
        <v>128</v>
      </c>
      <c r="G53" s="87" t="s">
        <v>131</v>
      </c>
      <c r="H53" s="82">
        <v>23407.920882663213</v>
      </c>
      <c r="I53" s="82">
        <v>19337.673164608521</v>
      </c>
      <c r="J53" s="82">
        <v>42745.594047292514</v>
      </c>
      <c r="K53" s="83">
        <f t="shared" si="0"/>
        <v>19663</v>
      </c>
    </row>
    <row r="54" spans="5:11">
      <c r="E54" s="79">
        <v>47</v>
      </c>
      <c r="F54" s="85" t="s">
        <v>128</v>
      </c>
      <c r="G54" s="87" t="s">
        <v>132</v>
      </c>
      <c r="H54" s="82">
        <v>9653.637539417874</v>
      </c>
      <c r="I54" s="82">
        <v>7782.8786779051716</v>
      </c>
      <c r="J54" s="82">
        <v>17436.516217318505</v>
      </c>
      <c r="K54" s="83">
        <f t="shared" si="0"/>
        <v>8021</v>
      </c>
    </row>
    <row r="55" spans="5:11">
      <c r="E55" s="79">
        <v>48</v>
      </c>
      <c r="F55" s="85" t="s">
        <v>128</v>
      </c>
      <c r="G55" s="87" t="s">
        <v>133</v>
      </c>
      <c r="H55" s="82">
        <v>49631.059692135343</v>
      </c>
      <c r="I55" s="82">
        <v>41508.493216215677</v>
      </c>
      <c r="J55" s="82">
        <v>91139.5529083734</v>
      </c>
      <c r="K55" s="83">
        <f t="shared" si="0"/>
        <v>41924</v>
      </c>
    </row>
    <row r="56" spans="5:11">
      <c r="E56" s="79">
        <v>49</v>
      </c>
      <c r="F56" s="85" t="s">
        <v>128</v>
      </c>
      <c r="G56" s="87" t="s">
        <v>128</v>
      </c>
      <c r="H56" s="82">
        <v>47949.691720376592</v>
      </c>
      <c r="I56" s="82">
        <v>39994.850051907611</v>
      </c>
      <c r="J56" s="82">
        <v>87944.541772307202</v>
      </c>
      <c r="K56" s="83">
        <f t="shared" si="0"/>
        <v>40454</v>
      </c>
    </row>
    <row r="57" spans="5:11">
      <c r="E57" s="79">
        <v>50</v>
      </c>
      <c r="F57" s="85" t="s">
        <v>134</v>
      </c>
      <c r="G57" s="89" t="s">
        <v>134</v>
      </c>
      <c r="H57" s="82">
        <v>84724.937255864672</v>
      </c>
      <c r="I57" s="82">
        <v>79698.936460368408</v>
      </c>
      <c r="J57" s="82">
        <v>164423.87371611316</v>
      </c>
      <c r="K57" s="83">
        <f t="shared" si="0"/>
        <v>75635</v>
      </c>
    </row>
    <row r="58" spans="5:11">
      <c r="E58" s="79">
        <v>51</v>
      </c>
      <c r="F58" s="85" t="s">
        <v>134</v>
      </c>
      <c r="G58" s="89" t="s">
        <v>135</v>
      </c>
      <c r="H58" s="82">
        <v>13155.834626680018</v>
      </c>
      <c r="I58" s="82">
        <v>12231.645008455724</v>
      </c>
      <c r="J58" s="82">
        <v>25387.479635145373</v>
      </c>
      <c r="K58" s="83">
        <f t="shared" si="0"/>
        <v>11678</v>
      </c>
    </row>
    <row r="59" spans="5:11">
      <c r="E59" s="79">
        <v>52</v>
      </c>
      <c r="F59" s="85" t="s">
        <v>134</v>
      </c>
      <c r="G59" s="89" t="s">
        <v>136</v>
      </c>
      <c r="H59" s="82">
        <v>22088.129560269608</v>
      </c>
      <c r="I59" s="82">
        <v>20640.684650878276</v>
      </c>
      <c r="J59" s="82">
        <v>42728.814211170305</v>
      </c>
      <c r="K59" s="83">
        <f t="shared" si="0"/>
        <v>19655</v>
      </c>
    </row>
    <row r="60" spans="5:11">
      <c r="E60" s="79">
        <v>53</v>
      </c>
      <c r="F60" s="85" t="s">
        <v>134</v>
      </c>
      <c r="G60" s="89" t="s">
        <v>137</v>
      </c>
      <c r="H60" s="82">
        <v>15217.360130323306</v>
      </c>
      <c r="I60" s="82">
        <v>13113.171190204781</v>
      </c>
      <c r="J60" s="82">
        <v>28330.53132054301</v>
      </c>
      <c r="K60" s="83">
        <f t="shared" si="0"/>
        <v>13032</v>
      </c>
    </row>
    <row r="61" spans="5:11">
      <c r="E61" s="79">
        <v>54</v>
      </c>
      <c r="F61" s="85" t="s">
        <v>134</v>
      </c>
      <c r="G61" s="89" t="s">
        <v>138</v>
      </c>
      <c r="H61" s="82">
        <v>30024.050180156242</v>
      </c>
      <c r="I61" s="82">
        <v>27056.609305308273</v>
      </c>
      <c r="J61" s="82">
        <v>57080.659485491051</v>
      </c>
      <c r="K61" s="83">
        <f t="shared" si="0"/>
        <v>26257</v>
      </c>
    </row>
    <row r="62" spans="5:11">
      <c r="E62" s="79">
        <v>55</v>
      </c>
      <c r="F62" s="85" t="s">
        <v>134</v>
      </c>
      <c r="G62" s="89" t="s">
        <v>139</v>
      </c>
      <c r="H62" s="82">
        <v>27591.349149909776</v>
      </c>
      <c r="I62" s="82">
        <v>24854.122734689168</v>
      </c>
      <c r="J62" s="82">
        <v>52445.471884621402</v>
      </c>
      <c r="K62" s="83">
        <f t="shared" si="0"/>
        <v>24125</v>
      </c>
    </row>
    <row r="63" spans="5:11">
      <c r="E63" s="79">
        <v>56</v>
      </c>
      <c r="F63" s="85" t="s">
        <v>134</v>
      </c>
      <c r="G63" s="89" t="s">
        <v>140</v>
      </c>
      <c r="H63" s="82">
        <v>35966.262645041177</v>
      </c>
      <c r="I63" s="82">
        <v>24175.477806708037</v>
      </c>
      <c r="J63" s="82">
        <v>60141.740451771526</v>
      </c>
      <c r="K63" s="83">
        <f t="shared" si="0"/>
        <v>27665</v>
      </c>
    </row>
    <row r="64" spans="5:11">
      <c r="E64" s="79">
        <v>57</v>
      </c>
      <c r="F64" s="85" t="s">
        <v>141</v>
      </c>
      <c r="G64" s="89" t="s">
        <v>141</v>
      </c>
      <c r="H64" s="82">
        <v>52867.567001528951</v>
      </c>
      <c r="I64" s="82">
        <v>46632.988778266466</v>
      </c>
      <c r="J64" s="82">
        <v>99500.555779746268</v>
      </c>
      <c r="K64" s="83">
        <f t="shared" si="0"/>
        <v>45770</v>
      </c>
    </row>
    <row r="65" spans="5:11">
      <c r="E65" s="79">
        <v>58</v>
      </c>
      <c r="F65" s="85" t="s">
        <v>141</v>
      </c>
      <c r="G65" s="89" t="s">
        <v>142</v>
      </c>
      <c r="H65" s="82">
        <v>19089.59466812688</v>
      </c>
      <c r="I65" s="82">
        <v>16932.702793026776</v>
      </c>
      <c r="J65" s="82">
        <v>36022.297461176131</v>
      </c>
      <c r="K65" s="83">
        <f t="shared" si="0"/>
        <v>16570</v>
      </c>
    </row>
    <row r="66" spans="5:11">
      <c r="E66" s="79">
        <v>59</v>
      </c>
      <c r="F66" s="85" t="s">
        <v>141</v>
      </c>
      <c r="G66" s="89" t="s">
        <v>143</v>
      </c>
      <c r="H66" s="82">
        <v>12700.194199689482</v>
      </c>
      <c r="I66" s="82">
        <v>10990.330089271771</v>
      </c>
      <c r="J66" s="82">
        <v>23690.524288968059</v>
      </c>
      <c r="K66" s="83">
        <f t="shared" si="0"/>
        <v>10898</v>
      </c>
    </row>
    <row r="67" spans="5:11">
      <c r="E67" s="79">
        <v>60</v>
      </c>
      <c r="F67" s="85" t="s">
        <v>141</v>
      </c>
      <c r="G67" s="89" t="s">
        <v>144</v>
      </c>
      <c r="H67" s="82">
        <v>23066.017726075956</v>
      </c>
      <c r="I67" s="82">
        <v>21040.808313037047</v>
      </c>
      <c r="J67" s="82">
        <v>44106.826039134059</v>
      </c>
      <c r="K67" s="83">
        <f t="shared" si="0"/>
        <v>20289</v>
      </c>
    </row>
    <row r="68" spans="5:11">
      <c r="E68" s="79">
        <v>61</v>
      </c>
      <c r="F68" s="85" t="s">
        <v>141</v>
      </c>
      <c r="G68" s="89" t="s">
        <v>145</v>
      </c>
      <c r="H68" s="82">
        <v>6885.8888333079503</v>
      </c>
      <c r="I68" s="82">
        <v>6057.7232624869685</v>
      </c>
      <c r="J68" s="82">
        <v>12943.612095791404</v>
      </c>
      <c r="K68" s="83">
        <f t="shared" si="0"/>
        <v>5954</v>
      </c>
    </row>
    <row r="69" spans="5:11">
      <c r="E69" s="79">
        <v>62</v>
      </c>
      <c r="F69" s="85" t="s">
        <v>146</v>
      </c>
      <c r="G69" s="89" t="s">
        <v>146</v>
      </c>
      <c r="H69" s="82">
        <v>18057.556731580265</v>
      </c>
      <c r="I69" s="82">
        <v>14962.021548460272</v>
      </c>
      <c r="J69" s="82">
        <v>33019.578280064612</v>
      </c>
      <c r="K69" s="83">
        <f t="shared" si="0"/>
        <v>15189</v>
      </c>
    </row>
    <row r="70" spans="5:11">
      <c r="E70" s="79">
        <v>63</v>
      </c>
      <c r="F70" s="85" t="s">
        <v>146</v>
      </c>
      <c r="G70" s="89" t="s">
        <v>147</v>
      </c>
      <c r="H70" s="82">
        <v>20249.395133833237</v>
      </c>
      <c r="I70" s="82">
        <v>16371.36798332881</v>
      </c>
      <c r="J70" s="82">
        <v>36620.763117183073</v>
      </c>
      <c r="K70" s="83">
        <f t="shared" si="0"/>
        <v>16846</v>
      </c>
    </row>
    <row r="71" spans="5:11">
      <c r="E71" s="79">
        <v>64</v>
      </c>
      <c r="F71" s="85" t="s">
        <v>148</v>
      </c>
      <c r="G71" s="90" t="s">
        <v>149</v>
      </c>
      <c r="H71" s="82">
        <v>52455.752972157105</v>
      </c>
      <c r="I71" s="82">
        <v>48447.186071546734</v>
      </c>
      <c r="J71" s="82">
        <v>100902.93904365103</v>
      </c>
      <c r="K71" s="83">
        <f t="shared" si="0"/>
        <v>46415</v>
      </c>
    </row>
    <row r="72" spans="5:11">
      <c r="E72" s="79">
        <v>65</v>
      </c>
      <c r="F72" s="85" t="s">
        <v>148</v>
      </c>
      <c r="G72" s="90" t="s">
        <v>150</v>
      </c>
      <c r="H72" s="82">
        <v>26164.428444023833</v>
      </c>
      <c r="I72" s="82">
        <v>24885.717070845712</v>
      </c>
      <c r="J72" s="82">
        <v>51050.145514890304</v>
      </c>
      <c r="K72" s="83">
        <f t="shared" ref="K72:K135" si="1">ROUND($D$4*J72,0)</f>
        <v>23483</v>
      </c>
    </row>
    <row r="73" spans="5:11">
      <c r="E73" s="79">
        <v>66</v>
      </c>
      <c r="F73" s="85" t="s">
        <v>148</v>
      </c>
      <c r="G73" s="90" t="s">
        <v>151</v>
      </c>
      <c r="H73" s="82">
        <v>14419.980358359471</v>
      </c>
      <c r="I73" s="82">
        <v>14242.68952783661</v>
      </c>
      <c r="J73" s="82">
        <v>28662.66988620982</v>
      </c>
      <c r="K73" s="83">
        <f t="shared" si="1"/>
        <v>13185</v>
      </c>
    </row>
    <row r="74" spans="5:11">
      <c r="E74" s="79">
        <v>67</v>
      </c>
      <c r="F74" s="85" t="s">
        <v>148</v>
      </c>
      <c r="G74" s="90" t="s">
        <v>152</v>
      </c>
      <c r="H74" s="82">
        <v>14726.120600129974</v>
      </c>
      <c r="I74" s="82">
        <v>13545.405274957458</v>
      </c>
      <c r="J74" s="82">
        <v>28271.525875105348</v>
      </c>
      <c r="K74" s="83">
        <f t="shared" si="1"/>
        <v>13005</v>
      </c>
    </row>
    <row r="75" spans="5:11">
      <c r="E75" s="79">
        <v>68</v>
      </c>
      <c r="F75" s="85" t="s">
        <v>148</v>
      </c>
      <c r="G75" s="90" t="s">
        <v>153</v>
      </c>
      <c r="H75" s="82">
        <v>26137.263920055935</v>
      </c>
      <c r="I75" s="82">
        <v>23510.139810525434</v>
      </c>
      <c r="J75" s="82">
        <v>49647.403730603626</v>
      </c>
      <c r="K75" s="83">
        <f t="shared" si="1"/>
        <v>22838</v>
      </c>
    </row>
    <row r="76" spans="5:11">
      <c r="E76" s="79">
        <v>69</v>
      </c>
      <c r="F76" s="85" t="s">
        <v>148</v>
      </c>
      <c r="G76" s="90" t="s">
        <v>154</v>
      </c>
      <c r="H76" s="82">
        <v>19677.54956634355</v>
      </c>
      <c r="I76" s="82">
        <v>15007.353046532042</v>
      </c>
      <c r="J76" s="82">
        <v>34684.902612893973</v>
      </c>
      <c r="K76" s="83">
        <f t="shared" si="1"/>
        <v>15955</v>
      </c>
    </row>
    <row r="77" spans="5:11">
      <c r="E77" s="79">
        <v>70</v>
      </c>
      <c r="F77" s="85" t="s">
        <v>148</v>
      </c>
      <c r="G77" s="90" t="s">
        <v>155</v>
      </c>
      <c r="H77" s="82">
        <v>24974.691013191521</v>
      </c>
      <c r="I77" s="82">
        <v>21435.615231625645</v>
      </c>
      <c r="J77" s="82">
        <v>46410.306244843756</v>
      </c>
      <c r="K77" s="83">
        <f t="shared" si="1"/>
        <v>21349</v>
      </c>
    </row>
    <row r="78" spans="5:11">
      <c r="E78" s="79">
        <v>71</v>
      </c>
      <c r="F78" s="85" t="s">
        <v>148</v>
      </c>
      <c r="G78" s="90" t="s">
        <v>156</v>
      </c>
      <c r="H78" s="82">
        <v>11825.390640776246</v>
      </c>
      <c r="I78" s="82">
        <v>10387.211100733253</v>
      </c>
      <c r="J78" s="82">
        <v>22212.60174151375</v>
      </c>
      <c r="K78" s="83">
        <f t="shared" si="1"/>
        <v>10218</v>
      </c>
    </row>
    <row r="79" spans="5:11">
      <c r="E79" s="79">
        <v>72</v>
      </c>
      <c r="F79" s="85" t="s">
        <v>157</v>
      </c>
      <c r="G79" s="89" t="s">
        <v>157</v>
      </c>
      <c r="H79" s="82">
        <v>25863.373554211616</v>
      </c>
      <c r="I79" s="82">
        <v>24692.239156794607</v>
      </c>
      <c r="J79" s="82">
        <v>50555.612711032867</v>
      </c>
      <c r="K79" s="83">
        <f t="shared" si="1"/>
        <v>23256</v>
      </c>
    </row>
    <row r="80" spans="5:11">
      <c r="E80" s="79">
        <v>73</v>
      </c>
      <c r="F80" s="85" t="s">
        <v>157</v>
      </c>
      <c r="G80" s="89" t="s">
        <v>158</v>
      </c>
      <c r="H80" s="82">
        <v>11799.783972253432</v>
      </c>
      <c r="I80" s="82">
        <v>10140.794553024762</v>
      </c>
      <c r="J80" s="82">
        <v>21940.578525280238</v>
      </c>
      <c r="K80" s="83">
        <f t="shared" si="1"/>
        <v>10093</v>
      </c>
    </row>
    <row r="81" spans="5:11">
      <c r="E81" s="79">
        <v>74</v>
      </c>
      <c r="F81" s="85" t="s">
        <v>157</v>
      </c>
      <c r="G81" s="89" t="s">
        <v>159</v>
      </c>
      <c r="H81" s="82">
        <v>7858.3814336364203</v>
      </c>
      <c r="I81" s="82">
        <v>7651.2340457794062</v>
      </c>
      <c r="J81" s="82">
        <v>15509.615479409611</v>
      </c>
      <c r="K81" s="83">
        <f t="shared" si="1"/>
        <v>7134</v>
      </c>
    </row>
    <row r="82" spans="5:11">
      <c r="E82" s="79">
        <v>75</v>
      </c>
      <c r="F82" s="85" t="s">
        <v>160</v>
      </c>
      <c r="G82" s="89" t="s">
        <v>161</v>
      </c>
      <c r="H82" s="82">
        <v>13101.517415410011</v>
      </c>
      <c r="I82" s="82">
        <v>11046.192803368614</v>
      </c>
      <c r="J82" s="82">
        <v>24147.710218786113</v>
      </c>
      <c r="K82" s="83">
        <f t="shared" si="1"/>
        <v>11108</v>
      </c>
    </row>
    <row r="83" spans="5:11">
      <c r="E83" s="79">
        <v>76</v>
      </c>
      <c r="F83" s="85" t="s">
        <v>160</v>
      </c>
      <c r="G83" s="89" t="s">
        <v>162</v>
      </c>
      <c r="H83" s="82">
        <v>61117.901675196787</v>
      </c>
      <c r="I83" s="82">
        <v>57270.44195371314</v>
      </c>
      <c r="J83" s="82">
        <v>118388.34362883672</v>
      </c>
      <c r="K83" s="83">
        <f t="shared" si="1"/>
        <v>54459</v>
      </c>
    </row>
    <row r="84" spans="5:11">
      <c r="E84" s="79">
        <v>77</v>
      </c>
      <c r="F84" s="85" t="s">
        <v>160</v>
      </c>
      <c r="G84" s="89" t="s">
        <v>160</v>
      </c>
      <c r="H84" s="82">
        <v>63205.816118645344</v>
      </c>
      <c r="I84" s="82">
        <v>61361.508585455093</v>
      </c>
      <c r="J84" s="82">
        <v>124567.3247042927</v>
      </c>
      <c r="K84" s="83">
        <f t="shared" si="1"/>
        <v>57301</v>
      </c>
    </row>
    <row r="85" spans="5:11">
      <c r="E85" s="79">
        <v>78</v>
      </c>
      <c r="F85" s="85" t="s">
        <v>163</v>
      </c>
      <c r="G85" s="89" t="s">
        <v>164</v>
      </c>
      <c r="H85" s="82">
        <v>12589.787333531431</v>
      </c>
      <c r="I85" s="82">
        <v>12061.241483794807</v>
      </c>
      <c r="J85" s="82">
        <v>24651.028817334714</v>
      </c>
      <c r="K85" s="83">
        <f t="shared" si="1"/>
        <v>11339</v>
      </c>
    </row>
    <row r="86" spans="5:11">
      <c r="E86" s="79">
        <v>79</v>
      </c>
      <c r="F86" s="85" t="s">
        <v>163</v>
      </c>
      <c r="G86" s="89" t="s">
        <v>165</v>
      </c>
      <c r="H86" s="82">
        <v>8663.312845704073</v>
      </c>
      <c r="I86" s="82">
        <v>8739.7818785820127</v>
      </c>
      <c r="J86" s="82">
        <v>17403.094724280803</v>
      </c>
      <c r="K86" s="83">
        <f t="shared" si="1"/>
        <v>8005</v>
      </c>
    </row>
    <row r="87" spans="5:11">
      <c r="E87" s="79">
        <v>80</v>
      </c>
      <c r="F87" s="85" t="s">
        <v>163</v>
      </c>
      <c r="G87" s="89" t="s">
        <v>163</v>
      </c>
      <c r="H87" s="82">
        <v>13034.339157703558</v>
      </c>
      <c r="I87" s="82">
        <v>12853.027691837702</v>
      </c>
      <c r="J87" s="82">
        <v>25887.366849550046</v>
      </c>
      <c r="K87" s="83">
        <f t="shared" si="1"/>
        <v>11908</v>
      </c>
    </row>
    <row r="88" spans="5:11">
      <c r="E88" s="79">
        <v>81</v>
      </c>
      <c r="F88" s="85" t="s">
        <v>166</v>
      </c>
      <c r="G88" s="89" t="s">
        <v>166</v>
      </c>
      <c r="H88" s="82">
        <v>2350.8047729729956</v>
      </c>
      <c r="I88" s="82">
        <v>2156.033502232016</v>
      </c>
      <c r="J88" s="82">
        <v>4506.8382752045982</v>
      </c>
      <c r="K88" s="83">
        <f t="shared" si="1"/>
        <v>2073</v>
      </c>
    </row>
    <row r="89" spans="5:11">
      <c r="E89" s="79">
        <v>82</v>
      </c>
      <c r="F89" s="85" t="s">
        <v>166</v>
      </c>
      <c r="G89" s="89" t="s">
        <v>167</v>
      </c>
      <c r="H89" s="82">
        <v>8836.2493876819226</v>
      </c>
      <c r="I89" s="82">
        <v>8382.5715985402749</v>
      </c>
      <c r="J89" s="82">
        <v>17218.82098621667</v>
      </c>
      <c r="K89" s="83">
        <f t="shared" si="1"/>
        <v>7921</v>
      </c>
    </row>
    <row r="90" spans="5:11">
      <c r="E90" s="79">
        <v>83</v>
      </c>
      <c r="F90" s="85" t="s">
        <v>166</v>
      </c>
      <c r="G90" s="89" t="s">
        <v>168</v>
      </c>
      <c r="H90" s="82">
        <v>4005.335195254178</v>
      </c>
      <c r="I90" s="82">
        <v>3800.8911671521696</v>
      </c>
      <c r="J90" s="82">
        <v>7806.2263624062753</v>
      </c>
      <c r="K90" s="83">
        <f t="shared" si="1"/>
        <v>3591</v>
      </c>
    </row>
    <row r="91" spans="5:11">
      <c r="E91" s="79">
        <v>84</v>
      </c>
      <c r="F91" s="85" t="s">
        <v>169</v>
      </c>
      <c r="G91" s="89" t="s">
        <v>170</v>
      </c>
      <c r="H91" s="82">
        <v>3913.5209528471391</v>
      </c>
      <c r="I91" s="82">
        <v>3548.6336718071298</v>
      </c>
      <c r="J91" s="82">
        <v>7462.1546246539783</v>
      </c>
      <c r="K91" s="83">
        <f t="shared" si="1"/>
        <v>3433</v>
      </c>
    </row>
    <row r="92" spans="5:11">
      <c r="E92" s="79">
        <v>85</v>
      </c>
      <c r="F92" s="85" t="s">
        <v>169</v>
      </c>
      <c r="G92" s="89" t="s">
        <v>169</v>
      </c>
      <c r="H92" s="82">
        <v>16827.30445580482</v>
      </c>
      <c r="I92" s="82">
        <v>15923.277121566694</v>
      </c>
      <c r="J92" s="82">
        <v>32750.581577393197</v>
      </c>
      <c r="K92" s="83">
        <f t="shared" si="1"/>
        <v>15065</v>
      </c>
    </row>
    <row r="93" spans="5:11">
      <c r="E93" s="79">
        <v>86</v>
      </c>
      <c r="F93" s="85" t="s">
        <v>169</v>
      </c>
      <c r="G93" s="91" t="s">
        <v>171</v>
      </c>
      <c r="H93" s="82">
        <v>4983.5262662132445</v>
      </c>
      <c r="I93" s="82">
        <v>5051.3545387392523</v>
      </c>
      <c r="J93" s="82">
        <v>10034.880804950875</v>
      </c>
      <c r="K93" s="83">
        <f t="shared" si="1"/>
        <v>4616</v>
      </c>
    </row>
    <row r="94" spans="5:11">
      <c r="E94" s="79">
        <v>87</v>
      </c>
      <c r="F94" s="85" t="s">
        <v>172</v>
      </c>
      <c r="G94" s="92" t="s">
        <v>173</v>
      </c>
      <c r="H94" s="82">
        <v>14701.471481021252</v>
      </c>
      <c r="I94" s="82">
        <v>13671.385077319073</v>
      </c>
      <c r="J94" s="82">
        <v>28372.856558353804</v>
      </c>
      <c r="K94" s="83">
        <f t="shared" si="1"/>
        <v>13052</v>
      </c>
    </row>
    <row r="95" spans="5:11">
      <c r="E95" s="79">
        <v>88</v>
      </c>
      <c r="F95" s="85" t="s">
        <v>172</v>
      </c>
      <c r="G95" s="89" t="s">
        <v>174</v>
      </c>
      <c r="H95" s="82">
        <v>5277.4734657582612</v>
      </c>
      <c r="I95" s="82">
        <v>4873.1127305002419</v>
      </c>
      <c r="J95" s="82">
        <v>10150.586196256778</v>
      </c>
      <c r="K95" s="83">
        <f t="shared" si="1"/>
        <v>4669</v>
      </c>
    </row>
    <row r="96" spans="5:11">
      <c r="E96" s="79">
        <v>89</v>
      </c>
      <c r="F96" s="85" t="s">
        <v>172</v>
      </c>
      <c r="G96" s="89" t="s">
        <v>175</v>
      </c>
      <c r="H96" s="82">
        <v>11048.035053100155</v>
      </c>
      <c r="I96" s="82">
        <v>9236.5329749066041</v>
      </c>
      <c r="J96" s="82">
        <v>20284.568028006302</v>
      </c>
      <c r="K96" s="83">
        <f t="shared" si="1"/>
        <v>9331</v>
      </c>
    </row>
    <row r="97" spans="5:11">
      <c r="E97" s="79">
        <v>90</v>
      </c>
      <c r="F97" s="85" t="s">
        <v>172</v>
      </c>
      <c r="G97" s="89" t="s">
        <v>172</v>
      </c>
      <c r="H97" s="82">
        <v>45842.579923607685</v>
      </c>
      <c r="I97" s="82">
        <v>40435.972025659932</v>
      </c>
      <c r="J97" s="82">
        <v>86278.55194924018</v>
      </c>
      <c r="K97" s="83">
        <f t="shared" si="1"/>
        <v>39688</v>
      </c>
    </row>
    <row r="98" spans="5:11">
      <c r="E98" s="79">
        <v>91</v>
      </c>
      <c r="F98" s="85" t="s">
        <v>172</v>
      </c>
      <c r="G98" s="89" t="s">
        <v>176</v>
      </c>
      <c r="H98" s="82">
        <v>6079.6654589876925</v>
      </c>
      <c r="I98" s="82">
        <v>5564.1820309507993</v>
      </c>
      <c r="J98" s="82">
        <v>11643.847489936677</v>
      </c>
      <c r="K98" s="83">
        <f t="shared" si="1"/>
        <v>5356</v>
      </c>
    </row>
    <row r="99" spans="5:11">
      <c r="E99" s="79">
        <v>92</v>
      </c>
      <c r="F99" s="85" t="s">
        <v>177</v>
      </c>
      <c r="G99" s="89" t="s">
        <v>178</v>
      </c>
      <c r="H99" s="82">
        <v>6390.4833375333383</v>
      </c>
      <c r="I99" s="82">
        <v>5542.7904756622756</v>
      </c>
      <c r="J99" s="82">
        <v>11933.273813192418</v>
      </c>
      <c r="K99" s="83">
        <f t="shared" si="1"/>
        <v>5489</v>
      </c>
    </row>
    <row r="100" spans="5:11">
      <c r="E100" s="79">
        <v>93</v>
      </c>
      <c r="F100" s="85" t="s">
        <v>177</v>
      </c>
      <c r="G100" s="89" t="s">
        <v>177</v>
      </c>
      <c r="H100" s="82">
        <v>4251.7755116688804</v>
      </c>
      <c r="I100" s="82">
        <v>3525.3090835160351</v>
      </c>
      <c r="J100" s="82">
        <v>7777.0845951849815</v>
      </c>
      <c r="K100" s="83">
        <f t="shared" si="1"/>
        <v>3577</v>
      </c>
    </row>
    <row r="101" spans="5:11">
      <c r="E101" s="79">
        <v>94</v>
      </c>
      <c r="F101" s="85" t="s">
        <v>179</v>
      </c>
      <c r="G101" s="89" t="s">
        <v>180</v>
      </c>
      <c r="H101" s="82">
        <v>6139.4175810282568</v>
      </c>
      <c r="I101" s="82">
        <v>6232.5749720312469</v>
      </c>
      <c r="J101" s="82">
        <v>12371.992553055497</v>
      </c>
      <c r="K101" s="83">
        <f t="shared" si="1"/>
        <v>5691</v>
      </c>
    </row>
    <row r="102" spans="5:11">
      <c r="E102" s="79">
        <v>95</v>
      </c>
      <c r="F102" s="85" t="s">
        <v>179</v>
      </c>
      <c r="G102" s="89" t="s">
        <v>179</v>
      </c>
      <c r="H102" s="82">
        <v>10746.392178201228</v>
      </c>
      <c r="I102" s="82">
        <v>10466.874666886471</v>
      </c>
      <c r="J102" s="82">
        <v>21213.266845088874</v>
      </c>
      <c r="K102" s="83">
        <f t="shared" si="1"/>
        <v>9758</v>
      </c>
    </row>
    <row r="103" spans="5:11">
      <c r="E103" s="79">
        <v>96</v>
      </c>
      <c r="F103" s="85" t="s">
        <v>181</v>
      </c>
      <c r="G103" s="89" t="s">
        <v>182</v>
      </c>
      <c r="H103" s="82">
        <v>13802.21305641771</v>
      </c>
      <c r="I103" s="82">
        <v>13318.604665397181</v>
      </c>
      <c r="J103" s="82">
        <v>27120.817721826381</v>
      </c>
      <c r="K103" s="83">
        <f t="shared" si="1"/>
        <v>12476</v>
      </c>
    </row>
    <row r="104" spans="5:11">
      <c r="E104" s="79">
        <v>97</v>
      </c>
      <c r="F104" s="85" t="s">
        <v>181</v>
      </c>
      <c r="G104" s="89" t="s">
        <v>181</v>
      </c>
      <c r="H104" s="82">
        <v>9697.7347942242086</v>
      </c>
      <c r="I104" s="82">
        <v>8941.6498686468203</v>
      </c>
      <c r="J104" s="82">
        <v>18639.384662867586</v>
      </c>
      <c r="K104" s="83">
        <f t="shared" si="1"/>
        <v>8574</v>
      </c>
    </row>
    <row r="105" spans="5:11">
      <c r="E105" s="79">
        <v>98</v>
      </c>
      <c r="F105" s="85" t="s">
        <v>181</v>
      </c>
      <c r="G105" s="89" t="s">
        <v>183</v>
      </c>
      <c r="H105" s="82">
        <v>19998.786974129074</v>
      </c>
      <c r="I105" s="82">
        <v>18813.141146970014</v>
      </c>
      <c r="J105" s="82">
        <v>38811.928121120087</v>
      </c>
      <c r="K105" s="83">
        <f t="shared" si="1"/>
        <v>17853</v>
      </c>
    </row>
    <row r="106" spans="5:11">
      <c r="E106" s="79">
        <v>99</v>
      </c>
      <c r="F106" s="85" t="s">
        <v>184</v>
      </c>
      <c r="G106" s="89" t="s">
        <v>185</v>
      </c>
      <c r="H106" s="82">
        <v>4928.5506216422427</v>
      </c>
      <c r="I106" s="82">
        <v>4486.2644324692174</v>
      </c>
      <c r="J106" s="82">
        <v>9414.8150541104133</v>
      </c>
      <c r="K106" s="83">
        <f t="shared" si="1"/>
        <v>4331</v>
      </c>
    </row>
    <row r="107" spans="5:11">
      <c r="E107" s="79">
        <v>100</v>
      </c>
      <c r="F107" s="85" t="s">
        <v>184</v>
      </c>
      <c r="G107" s="89" t="s">
        <v>184</v>
      </c>
      <c r="H107" s="82">
        <v>12794.547709724364</v>
      </c>
      <c r="I107" s="82">
        <v>11455.957302455319</v>
      </c>
      <c r="J107" s="82">
        <v>24250.505012187463</v>
      </c>
      <c r="K107" s="83">
        <f t="shared" si="1"/>
        <v>11155</v>
      </c>
    </row>
    <row r="108" spans="5:11">
      <c r="E108" s="79">
        <v>101</v>
      </c>
      <c r="F108" s="85" t="s">
        <v>184</v>
      </c>
      <c r="G108" s="89" t="s">
        <v>186</v>
      </c>
      <c r="H108" s="82">
        <v>4321.8462130441585</v>
      </c>
      <c r="I108" s="82">
        <v>3787.5117891621362</v>
      </c>
      <c r="J108" s="82">
        <v>8109.3580022059468</v>
      </c>
      <c r="K108" s="83">
        <f t="shared" si="1"/>
        <v>3730</v>
      </c>
    </row>
    <row r="109" spans="5:11">
      <c r="E109" s="79">
        <v>102</v>
      </c>
      <c r="F109" s="85" t="s">
        <v>184</v>
      </c>
      <c r="G109" s="89" t="s">
        <v>187</v>
      </c>
      <c r="H109" s="82">
        <v>10358.269049852519</v>
      </c>
      <c r="I109" s="82">
        <v>9504.2064560592844</v>
      </c>
      <c r="J109" s="82">
        <v>19862.475505910606</v>
      </c>
      <c r="K109" s="83">
        <f t="shared" si="1"/>
        <v>9137</v>
      </c>
    </row>
    <row r="110" spans="5:11">
      <c r="E110" s="79">
        <v>103</v>
      </c>
      <c r="F110" s="85" t="s">
        <v>188</v>
      </c>
      <c r="G110" s="89" t="s">
        <v>189</v>
      </c>
      <c r="H110" s="82">
        <v>28107.105113697806</v>
      </c>
      <c r="I110" s="82">
        <v>26031.685719631801</v>
      </c>
      <c r="J110" s="82">
        <v>54138.790833351864</v>
      </c>
      <c r="K110" s="83">
        <f t="shared" si="1"/>
        <v>24904</v>
      </c>
    </row>
    <row r="111" spans="5:11">
      <c r="E111" s="79">
        <v>104</v>
      </c>
      <c r="F111" s="85" t="s">
        <v>188</v>
      </c>
      <c r="G111" s="89" t="s">
        <v>190</v>
      </c>
      <c r="H111" s="82">
        <v>11016.595797239186</v>
      </c>
      <c r="I111" s="82">
        <v>9810.0654534501755</v>
      </c>
      <c r="J111" s="82">
        <v>20826.661250689656</v>
      </c>
      <c r="K111" s="83">
        <f t="shared" si="1"/>
        <v>9580</v>
      </c>
    </row>
    <row r="112" spans="5:11">
      <c r="E112" s="79">
        <v>105</v>
      </c>
      <c r="F112" s="85" t="s">
        <v>188</v>
      </c>
      <c r="G112" s="89" t="s">
        <v>191</v>
      </c>
      <c r="H112" s="82">
        <v>18814.834612239101</v>
      </c>
      <c r="I112" s="82">
        <v>16897.223772115241</v>
      </c>
      <c r="J112" s="82">
        <v>35712.058384376644</v>
      </c>
      <c r="K112" s="83">
        <f t="shared" si="1"/>
        <v>16428</v>
      </c>
    </row>
    <row r="113" spans="5:11">
      <c r="E113" s="79">
        <v>106</v>
      </c>
      <c r="F113" s="85" t="s">
        <v>188</v>
      </c>
      <c r="G113" s="89" t="s">
        <v>192</v>
      </c>
      <c r="H113" s="82">
        <v>31170.974947850122</v>
      </c>
      <c r="I113" s="82">
        <v>27483.706140314756</v>
      </c>
      <c r="J113" s="82">
        <v>58654.681088186473</v>
      </c>
      <c r="K113" s="83">
        <f t="shared" si="1"/>
        <v>26981</v>
      </c>
    </row>
    <row r="114" spans="5:11">
      <c r="E114" s="79">
        <v>107</v>
      </c>
      <c r="F114" s="85" t="s">
        <v>188</v>
      </c>
      <c r="G114" s="89" t="s">
        <v>193</v>
      </c>
      <c r="H114" s="82">
        <v>10230.453951658781</v>
      </c>
      <c r="I114" s="82">
        <v>8636.6743859670569</v>
      </c>
      <c r="J114" s="82">
        <v>18867.128337622671</v>
      </c>
      <c r="K114" s="83">
        <f t="shared" si="1"/>
        <v>8679</v>
      </c>
    </row>
    <row r="115" spans="5:11">
      <c r="E115" s="79">
        <v>108</v>
      </c>
      <c r="F115" s="85" t="s">
        <v>188</v>
      </c>
      <c r="G115" s="89" t="s">
        <v>188</v>
      </c>
      <c r="H115" s="82">
        <v>143166.54955440681</v>
      </c>
      <c r="I115" s="82">
        <v>133877.09796380825</v>
      </c>
      <c r="J115" s="82">
        <v>277043.64751788153</v>
      </c>
      <c r="K115" s="83">
        <f t="shared" si="1"/>
        <v>127440</v>
      </c>
    </row>
    <row r="116" spans="5:11">
      <c r="E116" s="79">
        <v>109</v>
      </c>
      <c r="F116" s="85" t="s">
        <v>188</v>
      </c>
      <c r="G116" s="89" t="s">
        <v>194</v>
      </c>
      <c r="H116" s="82">
        <v>20690.163370141399</v>
      </c>
      <c r="I116" s="82">
        <v>17859.943075554547</v>
      </c>
      <c r="J116" s="82">
        <v>38550.106445718608</v>
      </c>
      <c r="K116" s="83">
        <f t="shared" si="1"/>
        <v>17733</v>
      </c>
    </row>
    <row r="117" spans="5:11">
      <c r="E117" s="79">
        <v>110</v>
      </c>
      <c r="F117" s="85" t="s">
        <v>188</v>
      </c>
      <c r="G117" s="89" t="s">
        <v>195</v>
      </c>
      <c r="H117" s="82">
        <v>9138.9289622733158</v>
      </c>
      <c r="I117" s="82">
        <v>8056.8802835201359</v>
      </c>
      <c r="J117" s="82">
        <v>17195.809245788336</v>
      </c>
      <c r="K117" s="83">
        <f t="shared" si="1"/>
        <v>7910</v>
      </c>
    </row>
    <row r="118" spans="5:11">
      <c r="E118" s="79">
        <v>111</v>
      </c>
      <c r="F118" s="85" t="s">
        <v>188</v>
      </c>
      <c r="G118" s="89" t="s">
        <v>196</v>
      </c>
      <c r="H118" s="82">
        <v>40944.029770054811</v>
      </c>
      <c r="I118" s="82">
        <v>36725.34173722272</v>
      </c>
      <c r="J118" s="82">
        <v>77669.371507304197</v>
      </c>
      <c r="K118" s="83">
        <f t="shared" si="1"/>
        <v>35728</v>
      </c>
    </row>
    <row r="119" spans="5:11">
      <c r="E119" s="79">
        <v>112</v>
      </c>
      <c r="F119" s="85" t="s">
        <v>188</v>
      </c>
      <c r="G119" s="89" t="s">
        <v>197</v>
      </c>
      <c r="H119" s="82">
        <v>26256.549657705833</v>
      </c>
      <c r="I119" s="82">
        <v>23893.391713650173</v>
      </c>
      <c r="J119" s="82">
        <v>50149.941371382614</v>
      </c>
      <c r="K119" s="83">
        <f t="shared" si="1"/>
        <v>23069</v>
      </c>
    </row>
    <row r="120" spans="5:11">
      <c r="E120" s="79">
        <v>113</v>
      </c>
      <c r="F120" s="85" t="s">
        <v>188</v>
      </c>
      <c r="G120" s="89" t="s">
        <v>198</v>
      </c>
      <c r="H120" s="82">
        <v>24982.516826601292</v>
      </c>
      <c r="I120" s="82">
        <v>21337.512512822068</v>
      </c>
      <c r="J120" s="82">
        <v>46320.029339445384</v>
      </c>
      <c r="K120" s="83">
        <f t="shared" si="1"/>
        <v>21307</v>
      </c>
    </row>
    <row r="121" spans="5:11">
      <c r="E121" s="79">
        <v>114</v>
      </c>
      <c r="F121" s="85" t="s">
        <v>188</v>
      </c>
      <c r="G121" s="89" t="s">
        <v>199</v>
      </c>
      <c r="H121" s="82">
        <v>15249.74720665576</v>
      </c>
      <c r="I121" s="82">
        <v>14117.541530107688</v>
      </c>
      <c r="J121" s="82">
        <v>29367.288736778224</v>
      </c>
      <c r="K121" s="83">
        <f t="shared" si="1"/>
        <v>13509</v>
      </c>
    </row>
    <row r="122" spans="5:11">
      <c r="E122" s="79">
        <v>115</v>
      </c>
      <c r="F122" s="85" t="s">
        <v>200</v>
      </c>
      <c r="G122" s="89" t="s">
        <v>201</v>
      </c>
      <c r="H122" s="82">
        <v>38239.744159426627</v>
      </c>
      <c r="I122" s="82">
        <v>35836.314229552852</v>
      </c>
      <c r="J122" s="82">
        <v>74076.058388947829</v>
      </c>
      <c r="K122" s="83">
        <f t="shared" si="1"/>
        <v>34075</v>
      </c>
    </row>
    <row r="123" spans="5:11">
      <c r="E123" s="79">
        <v>116</v>
      </c>
      <c r="F123" s="85" t="s">
        <v>200</v>
      </c>
      <c r="G123" s="89" t="s">
        <v>202</v>
      </c>
      <c r="H123" s="82">
        <v>14492.296669675899</v>
      </c>
      <c r="I123" s="82">
        <v>13514.670466909625</v>
      </c>
      <c r="J123" s="82">
        <v>28006.967136599807</v>
      </c>
      <c r="K123" s="83">
        <f t="shared" si="1"/>
        <v>12883</v>
      </c>
    </row>
    <row r="124" spans="5:11">
      <c r="E124" s="79">
        <v>117</v>
      </c>
      <c r="F124" s="85" t="s">
        <v>200</v>
      </c>
      <c r="G124" s="89" t="s">
        <v>200</v>
      </c>
      <c r="H124" s="82">
        <v>67027.889522978498</v>
      </c>
      <c r="I124" s="82">
        <v>60125.41246500631</v>
      </c>
      <c r="J124" s="82">
        <v>127153.30198793382</v>
      </c>
      <c r="K124" s="83">
        <f t="shared" si="1"/>
        <v>58491</v>
      </c>
    </row>
    <row r="125" spans="5:11">
      <c r="E125" s="79">
        <v>118</v>
      </c>
      <c r="F125" s="85" t="s">
        <v>200</v>
      </c>
      <c r="G125" s="89" t="s">
        <v>203</v>
      </c>
      <c r="H125" s="82">
        <v>16073.663068685757</v>
      </c>
      <c r="I125" s="82">
        <v>15476.293131941309</v>
      </c>
      <c r="J125" s="82">
        <v>31549.956200646619</v>
      </c>
      <c r="K125" s="83">
        <f t="shared" si="1"/>
        <v>14513</v>
      </c>
    </row>
    <row r="126" spans="5:11">
      <c r="E126" s="79">
        <v>119</v>
      </c>
      <c r="F126" s="85" t="s">
        <v>204</v>
      </c>
      <c r="G126" s="89" t="s">
        <v>205</v>
      </c>
      <c r="H126" s="82">
        <v>14183.91276549139</v>
      </c>
      <c r="I126" s="82">
        <v>12146.462808510067</v>
      </c>
      <c r="J126" s="82">
        <v>26330.375574011643</v>
      </c>
      <c r="K126" s="83">
        <f t="shared" si="1"/>
        <v>12112</v>
      </c>
    </row>
    <row r="127" spans="5:11">
      <c r="E127" s="79">
        <v>120</v>
      </c>
      <c r="F127" s="85" t="s">
        <v>204</v>
      </c>
      <c r="G127" s="89" t="s">
        <v>206</v>
      </c>
      <c r="H127" s="82">
        <v>17911.438294176918</v>
      </c>
      <c r="I127" s="82">
        <v>16368.252997968619</v>
      </c>
      <c r="J127" s="82">
        <v>34279.691292167823</v>
      </c>
      <c r="K127" s="83">
        <f t="shared" si="1"/>
        <v>15769</v>
      </c>
    </row>
    <row r="128" spans="5:11">
      <c r="E128" s="79">
        <v>121</v>
      </c>
      <c r="F128" s="85" t="s">
        <v>204</v>
      </c>
      <c r="G128" s="89" t="s">
        <v>204</v>
      </c>
      <c r="H128" s="82">
        <v>151915.87134055651</v>
      </c>
      <c r="I128" s="82">
        <v>142643.24538586993</v>
      </c>
      <c r="J128" s="82">
        <v>294559.11672614521</v>
      </c>
      <c r="K128" s="83">
        <f t="shared" si="1"/>
        <v>135497</v>
      </c>
    </row>
    <row r="129" spans="5:11">
      <c r="E129" s="79">
        <v>122</v>
      </c>
      <c r="F129" s="85" t="s">
        <v>204</v>
      </c>
      <c r="G129" s="89" t="s">
        <v>207</v>
      </c>
      <c r="H129" s="82">
        <v>40779.279927165007</v>
      </c>
      <c r="I129" s="82">
        <v>37359.561865761789</v>
      </c>
      <c r="J129" s="82">
        <v>78138.841792868014</v>
      </c>
      <c r="K129" s="83">
        <f t="shared" si="1"/>
        <v>35944</v>
      </c>
    </row>
    <row r="130" spans="5:11">
      <c r="E130" s="79">
        <v>123</v>
      </c>
      <c r="F130" s="85" t="s">
        <v>204</v>
      </c>
      <c r="G130" s="89" t="s">
        <v>208</v>
      </c>
      <c r="H130" s="82">
        <v>17085.54481316937</v>
      </c>
      <c r="I130" s="82">
        <v>15430.271349723511</v>
      </c>
      <c r="J130" s="82">
        <v>32515.816162912939</v>
      </c>
      <c r="K130" s="83">
        <f t="shared" si="1"/>
        <v>14957</v>
      </c>
    </row>
    <row r="131" spans="5:11">
      <c r="E131" s="79">
        <v>124</v>
      </c>
      <c r="F131" s="85" t="s">
        <v>204</v>
      </c>
      <c r="G131" s="89" t="s">
        <v>209</v>
      </c>
      <c r="H131" s="82">
        <v>37710.734260230507</v>
      </c>
      <c r="I131" s="82">
        <v>34875.376625481767</v>
      </c>
      <c r="J131" s="82">
        <v>72586.110885734539</v>
      </c>
      <c r="K131" s="83">
        <f t="shared" si="1"/>
        <v>33390</v>
      </c>
    </row>
    <row r="132" spans="5:11">
      <c r="E132" s="79">
        <v>125</v>
      </c>
      <c r="F132" s="85" t="s">
        <v>204</v>
      </c>
      <c r="G132" s="89" t="s">
        <v>210</v>
      </c>
      <c r="H132" s="82">
        <v>17447.772030471693</v>
      </c>
      <c r="I132" s="82">
        <v>15830.377346138246</v>
      </c>
      <c r="J132" s="82">
        <v>33278.14937663023</v>
      </c>
      <c r="K132" s="83">
        <f t="shared" si="1"/>
        <v>15308</v>
      </c>
    </row>
    <row r="133" spans="5:11">
      <c r="E133" s="79">
        <v>126</v>
      </c>
      <c r="F133" s="85" t="s">
        <v>211</v>
      </c>
      <c r="G133" s="89" t="s">
        <v>212</v>
      </c>
      <c r="H133" s="82">
        <v>30650.940097717703</v>
      </c>
      <c r="I133" s="82">
        <v>28616.062740192789</v>
      </c>
      <c r="J133" s="82">
        <v>59267.002837932865</v>
      </c>
      <c r="K133" s="83">
        <f t="shared" si="1"/>
        <v>27263</v>
      </c>
    </row>
    <row r="134" spans="5:11">
      <c r="E134" s="79">
        <v>127</v>
      </c>
      <c r="F134" s="85" t="s">
        <v>211</v>
      </c>
      <c r="G134" s="89" t="s">
        <v>211</v>
      </c>
      <c r="H134" s="82">
        <v>40945.515548558345</v>
      </c>
      <c r="I134" s="82">
        <v>38285.859468618393</v>
      </c>
      <c r="J134" s="82">
        <v>79231.37501720342</v>
      </c>
      <c r="K134" s="83">
        <f t="shared" si="1"/>
        <v>36446</v>
      </c>
    </row>
    <row r="135" spans="5:11">
      <c r="E135" s="79">
        <v>128</v>
      </c>
      <c r="F135" s="85" t="s">
        <v>211</v>
      </c>
      <c r="G135" s="89" t="s">
        <v>213</v>
      </c>
      <c r="H135" s="82">
        <v>17107.658323619384</v>
      </c>
      <c r="I135" s="82">
        <v>14916.308191122012</v>
      </c>
      <c r="J135" s="82">
        <v>32023.966514759682</v>
      </c>
      <c r="K135" s="83">
        <f t="shared" si="1"/>
        <v>14731</v>
      </c>
    </row>
    <row r="136" spans="5:11">
      <c r="E136" s="79">
        <v>129</v>
      </c>
      <c r="F136" s="85" t="s">
        <v>211</v>
      </c>
      <c r="G136" s="89" t="s">
        <v>214</v>
      </c>
      <c r="H136" s="82">
        <v>14306.058917791979</v>
      </c>
      <c r="I136" s="82">
        <v>12407.147487730659</v>
      </c>
      <c r="J136" s="82">
        <v>26713.206405534336</v>
      </c>
      <c r="K136" s="83">
        <f t="shared" ref="K136:K199" si="2">ROUND($D$4*J136,0)</f>
        <v>12288</v>
      </c>
    </row>
    <row r="137" spans="5:11">
      <c r="E137" s="79">
        <v>130</v>
      </c>
      <c r="F137" s="85" t="s">
        <v>215</v>
      </c>
      <c r="G137" s="89" t="s">
        <v>216</v>
      </c>
      <c r="H137" s="82">
        <v>8319.1088576348939</v>
      </c>
      <c r="I137" s="82">
        <v>7794.740029470011</v>
      </c>
      <c r="J137" s="82">
        <v>16113.848887098935</v>
      </c>
      <c r="K137" s="83">
        <f t="shared" si="2"/>
        <v>7412</v>
      </c>
    </row>
    <row r="138" spans="5:11">
      <c r="E138" s="79">
        <v>131</v>
      </c>
      <c r="F138" s="85" t="s">
        <v>215</v>
      </c>
      <c r="G138" s="89" t="s">
        <v>217</v>
      </c>
      <c r="H138" s="82">
        <v>10297.685005250574</v>
      </c>
      <c r="I138" s="82">
        <v>9661.1917957511068</v>
      </c>
      <c r="J138" s="82">
        <v>19958.876801000726</v>
      </c>
      <c r="K138" s="83">
        <f t="shared" si="2"/>
        <v>9181</v>
      </c>
    </row>
    <row r="139" spans="5:11">
      <c r="E139" s="79">
        <v>132</v>
      </c>
      <c r="F139" s="85" t="s">
        <v>215</v>
      </c>
      <c r="G139" s="89" t="s">
        <v>218</v>
      </c>
      <c r="H139" s="82">
        <v>17529.632272297498</v>
      </c>
      <c r="I139" s="82">
        <v>15147.761474269597</v>
      </c>
      <c r="J139" s="82">
        <v>32677.393746586695</v>
      </c>
      <c r="K139" s="83">
        <f t="shared" si="2"/>
        <v>15032</v>
      </c>
    </row>
    <row r="140" spans="5:11">
      <c r="E140" s="79">
        <v>133</v>
      </c>
      <c r="F140" s="85" t="s">
        <v>215</v>
      </c>
      <c r="G140" s="89" t="s">
        <v>215</v>
      </c>
      <c r="H140" s="82">
        <v>90336.992317237135</v>
      </c>
      <c r="I140" s="82">
        <v>78993.490914292852</v>
      </c>
      <c r="J140" s="82">
        <v>169330.48323096248</v>
      </c>
      <c r="K140" s="83">
        <f t="shared" si="2"/>
        <v>77892</v>
      </c>
    </row>
    <row r="141" spans="5:11">
      <c r="E141" s="79">
        <v>134</v>
      </c>
      <c r="F141" s="85" t="s">
        <v>215</v>
      </c>
      <c r="G141" s="89" t="s">
        <v>219</v>
      </c>
      <c r="H141" s="82">
        <v>44842.084152312505</v>
      </c>
      <c r="I141" s="82">
        <v>39461.087346868735</v>
      </c>
      <c r="J141" s="82">
        <v>84303.171499203454</v>
      </c>
      <c r="K141" s="83">
        <f t="shared" si="2"/>
        <v>38779</v>
      </c>
    </row>
    <row r="142" spans="5:11">
      <c r="E142" s="79">
        <v>135</v>
      </c>
      <c r="F142" s="85" t="s">
        <v>215</v>
      </c>
      <c r="G142" s="89" t="s">
        <v>220</v>
      </c>
      <c r="H142" s="82">
        <v>6282.8921572650306</v>
      </c>
      <c r="I142" s="82">
        <v>5567.8525982159172</v>
      </c>
      <c r="J142" s="82">
        <v>11850.744755478572</v>
      </c>
      <c r="K142" s="83">
        <f t="shared" si="2"/>
        <v>5451</v>
      </c>
    </row>
    <row r="143" spans="5:11">
      <c r="E143" s="79">
        <v>136</v>
      </c>
      <c r="F143" s="85" t="s">
        <v>221</v>
      </c>
      <c r="G143" s="89" t="s">
        <v>222</v>
      </c>
      <c r="H143" s="82">
        <v>6924.638100606966</v>
      </c>
      <c r="I143" s="82">
        <v>7081.1546810449354</v>
      </c>
      <c r="J143" s="82">
        <v>14005.792781647606</v>
      </c>
      <c r="K143" s="83">
        <f t="shared" si="2"/>
        <v>6443</v>
      </c>
    </row>
    <row r="144" spans="5:11">
      <c r="E144" s="79">
        <v>137</v>
      </c>
      <c r="F144" s="85" t="s">
        <v>221</v>
      </c>
      <c r="G144" s="89" t="s">
        <v>223</v>
      </c>
      <c r="H144" s="82">
        <v>13431.928861489949</v>
      </c>
      <c r="I144" s="82">
        <v>13067.835414484354</v>
      </c>
      <c r="J144" s="82">
        <v>26499.76427598386</v>
      </c>
      <c r="K144" s="83">
        <f t="shared" si="2"/>
        <v>12190</v>
      </c>
    </row>
    <row r="145" spans="5:11">
      <c r="E145" s="79">
        <v>138</v>
      </c>
      <c r="F145" s="85" t="s">
        <v>221</v>
      </c>
      <c r="G145" s="89" t="s">
        <v>224</v>
      </c>
      <c r="H145" s="82">
        <v>10842.396890136326</v>
      </c>
      <c r="I145" s="82">
        <v>11588.167668970751</v>
      </c>
      <c r="J145" s="82">
        <v>22430.564559110317</v>
      </c>
      <c r="K145" s="83">
        <f t="shared" si="2"/>
        <v>10318</v>
      </c>
    </row>
    <row r="146" spans="5:11">
      <c r="E146" s="79">
        <v>139</v>
      </c>
      <c r="F146" s="85" t="s">
        <v>221</v>
      </c>
      <c r="G146" s="89" t="s">
        <v>225</v>
      </c>
      <c r="H146" s="82">
        <v>9022.7438195713821</v>
      </c>
      <c r="I146" s="82">
        <v>9316.3621742631403</v>
      </c>
      <c r="J146" s="82">
        <v>18339.105993831457</v>
      </c>
      <c r="K146" s="83">
        <f t="shared" si="2"/>
        <v>8436</v>
      </c>
    </row>
    <row r="147" spans="5:11">
      <c r="E147" s="79">
        <v>140</v>
      </c>
      <c r="F147" s="85" t="s">
        <v>221</v>
      </c>
      <c r="G147" t="s">
        <v>226</v>
      </c>
      <c r="H147" s="82">
        <v>5969.4739442042983</v>
      </c>
      <c r="I147" s="82">
        <v>6383.8102862313162</v>
      </c>
      <c r="J147" s="82">
        <v>12353.284230431929</v>
      </c>
      <c r="K147" s="83">
        <f t="shared" si="2"/>
        <v>5683</v>
      </c>
    </row>
    <row r="148" spans="5:11">
      <c r="E148" s="79">
        <v>141</v>
      </c>
      <c r="F148" s="85" t="s">
        <v>227</v>
      </c>
      <c r="G148" s="89" t="s">
        <v>228</v>
      </c>
      <c r="H148" s="82">
        <v>5584.2399551932176</v>
      </c>
      <c r="I148" s="82">
        <v>4752.50295951719</v>
      </c>
      <c r="J148" s="82">
        <v>10336.742914708395</v>
      </c>
      <c r="K148" s="83">
        <f t="shared" si="2"/>
        <v>4755</v>
      </c>
    </row>
    <row r="149" spans="5:11">
      <c r="E149" s="79">
        <v>142</v>
      </c>
      <c r="F149" s="85" t="s">
        <v>227</v>
      </c>
      <c r="G149" s="89" t="s">
        <v>229</v>
      </c>
      <c r="H149" s="82">
        <v>14212.294760541152</v>
      </c>
      <c r="I149" s="82">
        <v>12731.909120310233</v>
      </c>
      <c r="J149" s="82">
        <v>26944.203880863628</v>
      </c>
      <c r="K149" s="83">
        <f t="shared" si="2"/>
        <v>12394</v>
      </c>
    </row>
    <row r="150" spans="5:11">
      <c r="E150" s="79">
        <v>143</v>
      </c>
      <c r="F150" s="85" t="s">
        <v>230</v>
      </c>
      <c r="G150" s="89" t="s">
        <v>231</v>
      </c>
      <c r="H150" s="82">
        <v>7481.0413196163963</v>
      </c>
      <c r="I150" s="82">
        <v>7506.6776789453934</v>
      </c>
      <c r="J150" s="82">
        <v>14987.718998556111</v>
      </c>
      <c r="K150" s="83">
        <f t="shared" si="2"/>
        <v>6894</v>
      </c>
    </row>
    <row r="151" spans="5:11">
      <c r="E151" s="79">
        <v>144</v>
      </c>
      <c r="F151" s="85" t="s">
        <v>230</v>
      </c>
      <c r="G151" s="89" t="s">
        <v>232</v>
      </c>
      <c r="H151" s="82">
        <v>12327.30540007711</v>
      </c>
      <c r="I151" s="82">
        <v>10734.199928242391</v>
      </c>
      <c r="J151" s="82">
        <v>23061.505328323659</v>
      </c>
      <c r="K151" s="83">
        <f t="shared" si="2"/>
        <v>10608</v>
      </c>
    </row>
    <row r="152" spans="5:11">
      <c r="E152" s="79">
        <v>145</v>
      </c>
      <c r="F152" s="85" t="s">
        <v>230</v>
      </c>
      <c r="G152" s="89" t="s">
        <v>233</v>
      </c>
      <c r="H152" s="82">
        <v>34022.294452781418</v>
      </c>
      <c r="I152" s="82">
        <v>31228.993035999381</v>
      </c>
      <c r="J152" s="82">
        <v>65251.287488748763</v>
      </c>
      <c r="K152" s="83">
        <f t="shared" si="2"/>
        <v>30016</v>
      </c>
    </row>
    <row r="153" spans="5:11">
      <c r="E153" s="79">
        <v>146</v>
      </c>
      <c r="F153" s="85" t="s">
        <v>230</v>
      </c>
      <c r="G153" s="89" t="s">
        <v>234</v>
      </c>
      <c r="H153" s="82">
        <v>6323.4091953943171</v>
      </c>
      <c r="I153" s="82">
        <v>6697.0378945543416</v>
      </c>
      <c r="J153" s="82">
        <v>13020.447089944581</v>
      </c>
      <c r="K153" s="83">
        <f t="shared" si="2"/>
        <v>5989</v>
      </c>
    </row>
    <row r="154" spans="5:11">
      <c r="E154" s="79">
        <v>147</v>
      </c>
      <c r="F154" s="85" t="s">
        <v>235</v>
      </c>
      <c r="G154" s="89" t="s">
        <v>236</v>
      </c>
      <c r="H154" s="82">
        <v>5863.8799686592956</v>
      </c>
      <c r="I154" s="82">
        <v>5954.9546405613009</v>
      </c>
      <c r="J154" s="82">
        <v>11818.834609217476</v>
      </c>
      <c r="K154" s="83">
        <f t="shared" si="2"/>
        <v>5437</v>
      </c>
    </row>
    <row r="155" spans="5:11">
      <c r="E155" s="79">
        <v>148</v>
      </c>
      <c r="F155" s="85" t="s">
        <v>235</v>
      </c>
      <c r="G155" s="89" t="s">
        <v>237</v>
      </c>
      <c r="H155" s="82">
        <v>18923.345466625098</v>
      </c>
      <c r="I155" s="82">
        <v>15652.122602946463</v>
      </c>
      <c r="J155" s="82">
        <v>34575.468069595234</v>
      </c>
      <c r="K155" s="83">
        <f t="shared" si="2"/>
        <v>15905</v>
      </c>
    </row>
    <row r="156" spans="5:11">
      <c r="E156" s="79">
        <v>149</v>
      </c>
      <c r="F156" s="85" t="s">
        <v>235</v>
      </c>
      <c r="G156" s="89" t="s">
        <v>238</v>
      </c>
      <c r="H156" s="82">
        <v>17515.77290708934</v>
      </c>
      <c r="I156" s="82">
        <v>15872.672476043774</v>
      </c>
      <c r="J156" s="82">
        <v>33388.445383154576</v>
      </c>
      <c r="K156" s="83">
        <f t="shared" si="2"/>
        <v>15359</v>
      </c>
    </row>
    <row r="157" spans="5:11">
      <c r="E157" s="79">
        <v>150</v>
      </c>
      <c r="F157" s="85" t="s">
        <v>235</v>
      </c>
      <c r="G157" s="89" t="s">
        <v>239</v>
      </c>
      <c r="H157" s="82">
        <v>45003.716560990259</v>
      </c>
      <c r="I157" s="82">
        <v>43576.346473104197</v>
      </c>
      <c r="J157" s="82">
        <v>88580.06303401386</v>
      </c>
      <c r="K157" s="83">
        <f t="shared" si="2"/>
        <v>40747</v>
      </c>
    </row>
    <row r="158" spans="5:11">
      <c r="E158" s="79">
        <v>151</v>
      </c>
      <c r="F158" s="85" t="s">
        <v>240</v>
      </c>
      <c r="G158" s="89" t="s">
        <v>241</v>
      </c>
      <c r="H158" s="82">
        <v>52558.288719857832</v>
      </c>
      <c r="I158" s="82">
        <v>48577.417791112923</v>
      </c>
      <c r="J158" s="82">
        <v>101135.70651090935</v>
      </c>
      <c r="K158" s="83">
        <f t="shared" si="2"/>
        <v>46522</v>
      </c>
    </row>
    <row r="159" spans="5:11">
      <c r="E159" s="79">
        <v>152</v>
      </c>
      <c r="F159" s="85" t="s">
        <v>240</v>
      </c>
      <c r="G159" s="89" t="s">
        <v>242</v>
      </c>
      <c r="H159" s="82">
        <v>12411.04676175112</v>
      </c>
      <c r="I159" s="82">
        <v>10551.720153128636</v>
      </c>
      <c r="J159" s="82">
        <v>22962.766914883072</v>
      </c>
      <c r="K159" s="83">
        <f t="shared" si="2"/>
        <v>10563</v>
      </c>
    </row>
    <row r="160" spans="5:11">
      <c r="E160" s="79">
        <v>153</v>
      </c>
      <c r="F160" s="85" t="s">
        <v>240</v>
      </c>
      <c r="G160" s="89" t="s">
        <v>243</v>
      </c>
      <c r="H160" s="82">
        <v>6363.7470690501905</v>
      </c>
      <c r="I160" s="82">
        <v>5343.0236769881594</v>
      </c>
      <c r="J160" s="82">
        <v>11706.770746035465</v>
      </c>
      <c r="K160" s="83">
        <f t="shared" si="2"/>
        <v>5385</v>
      </c>
    </row>
    <row r="161" spans="5:11">
      <c r="E161" s="79">
        <v>154</v>
      </c>
      <c r="F161" s="85" t="s">
        <v>240</v>
      </c>
      <c r="G161" s="89" t="s">
        <v>244</v>
      </c>
      <c r="H161" s="82">
        <v>6284.3334622933298</v>
      </c>
      <c r="I161" s="82">
        <v>6005.4641091823141</v>
      </c>
      <c r="J161" s="82">
        <v>12289.797571472131</v>
      </c>
      <c r="K161" s="83">
        <f t="shared" si="2"/>
        <v>5653</v>
      </c>
    </row>
    <row r="162" spans="5:11">
      <c r="E162" s="79">
        <v>155</v>
      </c>
      <c r="F162" s="85" t="s">
        <v>245</v>
      </c>
      <c r="G162" s="89" t="s">
        <v>246</v>
      </c>
      <c r="H162" s="82">
        <v>9138.8686483736765</v>
      </c>
      <c r="I162" s="82">
        <v>9161.8758685226639</v>
      </c>
      <c r="J162" s="82">
        <v>18300.744516892461</v>
      </c>
      <c r="K162" s="83">
        <f t="shared" si="2"/>
        <v>8418</v>
      </c>
    </row>
    <row r="163" spans="5:11">
      <c r="E163" s="79">
        <v>156</v>
      </c>
      <c r="F163" s="85" t="s">
        <v>245</v>
      </c>
      <c r="G163" s="89" t="s">
        <v>247</v>
      </c>
      <c r="H163" s="82">
        <v>5217.1424714432642</v>
      </c>
      <c r="I163" s="82">
        <v>5093.386987075256</v>
      </c>
      <c r="J163" s="82">
        <v>10310.529458516701</v>
      </c>
      <c r="K163" s="83">
        <f t="shared" si="2"/>
        <v>4743</v>
      </c>
    </row>
    <row r="164" spans="5:11">
      <c r="E164" s="79">
        <v>157</v>
      </c>
      <c r="F164" s="85" t="s">
        <v>245</v>
      </c>
      <c r="G164" s="89" t="s">
        <v>245</v>
      </c>
      <c r="H164" s="82">
        <v>26008.491042754009</v>
      </c>
      <c r="I164" s="82">
        <v>23749.527763020029</v>
      </c>
      <c r="J164" s="82">
        <v>49758.018805800108</v>
      </c>
      <c r="K164" s="83">
        <f t="shared" si="2"/>
        <v>22889</v>
      </c>
    </row>
    <row r="165" spans="5:11">
      <c r="E165" s="79">
        <v>158</v>
      </c>
      <c r="F165" s="85" t="s">
        <v>248</v>
      </c>
      <c r="G165" s="89" t="s">
        <v>249</v>
      </c>
      <c r="H165" s="82">
        <v>2900.8649335881073</v>
      </c>
      <c r="I165" s="82">
        <v>2792.3034362751</v>
      </c>
      <c r="J165" s="82">
        <v>5693.168369863266</v>
      </c>
      <c r="K165" s="83">
        <f t="shared" si="2"/>
        <v>2619</v>
      </c>
    </row>
    <row r="166" spans="5:11">
      <c r="E166" s="79">
        <v>159</v>
      </c>
      <c r="F166" s="85" t="s">
        <v>248</v>
      </c>
      <c r="G166" s="89" t="s">
        <v>250</v>
      </c>
      <c r="H166" s="82">
        <v>6651.9509148452971</v>
      </c>
      <c r="I166" s="82">
        <v>6514.3366136762943</v>
      </c>
      <c r="J166" s="82">
        <v>13166.287528516967</v>
      </c>
      <c r="K166" s="83">
        <f t="shared" si="2"/>
        <v>6056</v>
      </c>
    </row>
    <row r="167" spans="5:11">
      <c r="E167" s="79">
        <v>160</v>
      </c>
      <c r="F167" s="85" t="s">
        <v>248</v>
      </c>
      <c r="G167" s="89" t="s">
        <v>248</v>
      </c>
      <c r="H167" s="82">
        <v>20011.198766258891</v>
      </c>
      <c r="I167" s="82">
        <v>17630.02344973413</v>
      </c>
      <c r="J167" s="82">
        <v>37641.222216010014</v>
      </c>
      <c r="K167" s="83">
        <f t="shared" si="2"/>
        <v>17315</v>
      </c>
    </row>
    <row r="168" spans="5:11">
      <c r="E168" s="79">
        <v>161</v>
      </c>
      <c r="F168" s="85" t="s">
        <v>251</v>
      </c>
      <c r="G168" s="89" t="s">
        <v>252</v>
      </c>
      <c r="H168" s="82">
        <v>4280.1918659941803</v>
      </c>
      <c r="I168" s="82">
        <v>3676.0175766371685</v>
      </c>
      <c r="J168" s="82">
        <v>7956.2094426312433</v>
      </c>
      <c r="K168" s="83">
        <f t="shared" si="2"/>
        <v>3660</v>
      </c>
    </row>
    <row r="169" spans="5:11">
      <c r="E169" s="79">
        <v>162</v>
      </c>
      <c r="F169" s="85" t="s">
        <v>251</v>
      </c>
      <c r="G169" s="89" t="s">
        <v>253</v>
      </c>
      <c r="H169" s="82">
        <v>8621.6472915210525</v>
      </c>
      <c r="I169" s="82">
        <v>8541.4712149101142</v>
      </c>
      <c r="J169" s="82">
        <v>17163.118506425028</v>
      </c>
      <c r="K169" s="83">
        <f t="shared" si="2"/>
        <v>7895</v>
      </c>
    </row>
    <row r="170" spans="5:11">
      <c r="E170" s="79">
        <v>163</v>
      </c>
      <c r="F170" s="85" t="s">
        <v>251</v>
      </c>
      <c r="G170" s="89" t="s">
        <v>254</v>
      </c>
      <c r="H170" s="82">
        <v>6763.5951499033381</v>
      </c>
      <c r="I170" s="82">
        <v>6169.6218336013108</v>
      </c>
      <c r="J170" s="82">
        <v>12933.216983500482</v>
      </c>
      <c r="K170" s="83">
        <f t="shared" si="2"/>
        <v>5949</v>
      </c>
    </row>
    <row r="171" spans="5:11">
      <c r="E171" s="79">
        <v>164</v>
      </c>
      <c r="F171" s="85" t="s">
        <v>251</v>
      </c>
      <c r="G171" s="89" t="s">
        <v>255</v>
      </c>
      <c r="H171" s="82">
        <v>7229.9418347253768</v>
      </c>
      <c r="I171" s="82">
        <v>6437.0256397923276</v>
      </c>
      <c r="J171" s="82">
        <v>13666.96747451289</v>
      </c>
      <c r="K171" s="83">
        <f t="shared" si="2"/>
        <v>6287</v>
      </c>
    </row>
    <row r="172" spans="5:11">
      <c r="E172" s="79">
        <v>165</v>
      </c>
      <c r="F172" s="85" t="s">
        <v>251</v>
      </c>
      <c r="G172" s="89" t="s">
        <v>256</v>
      </c>
      <c r="H172" s="82">
        <v>22275.919147991797</v>
      </c>
      <c r="I172" s="82">
        <v>21599.415758768548</v>
      </c>
      <c r="J172" s="82">
        <v>43875.334906784374</v>
      </c>
      <c r="K172" s="83">
        <f t="shared" si="2"/>
        <v>20183</v>
      </c>
    </row>
    <row r="173" spans="5:11">
      <c r="E173" s="79">
        <v>166</v>
      </c>
      <c r="F173" s="85" t="s">
        <v>257</v>
      </c>
      <c r="G173" s="89" t="s">
        <v>258</v>
      </c>
      <c r="H173" s="82">
        <v>13052.750542991827</v>
      </c>
      <c r="I173" s="82">
        <v>11601.786427553841</v>
      </c>
      <c r="J173" s="82">
        <v>24654.536970552515</v>
      </c>
      <c r="K173" s="83">
        <f t="shared" si="2"/>
        <v>11341</v>
      </c>
    </row>
    <row r="174" spans="5:11">
      <c r="E174" s="79">
        <v>167</v>
      </c>
      <c r="F174" s="85" t="s">
        <v>257</v>
      </c>
      <c r="G174" s="89" t="s">
        <v>259</v>
      </c>
      <c r="H174" s="82">
        <v>29939.645009195741</v>
      </c>
      <c r="I174" s="82">
        <v>29301.874242162801</v>
      </c>
      <c r="J174" s="82">
        <v>59241.519251385042</v>
      </c>
      <c r="K174" s="83">
        <f t="shared" si="2"/>
        <v>27251</v>
      </c>
    </row>
    <row r="175" spans="5:11">
      <c r="E175" s="79">
        <v>168</v>
      </c>
      <c r="F175" s="85" t="s">
        <v>257</v>
      </c>
      <c r="G175" s="89" t="s">
        <v>260</v>
      </c>
      <c r="H175" s="82">
        <v>10186.937163621889</v>
      </c>
      <c r="I175" s="82">
        <v>10267.93541360085</v>
      </c>
      <c r="J175" s="82">
        <v>20454.872577222191</v>
      </c>
      <c r="K175" s="83">
        <f t="shared" si="2"/>
        <v>9409</v>
      </c>
    </row>
    <row r="176" spans="5:11">
      <c r="E176" s="79">
        <v>169</v>
      </c>
      <c r="F176" s="85" t="s">
        <v>257</v>
      </c>
      <c r="G176" t="s">
        <v>261</v>
      </c>
      <c r="H176" s="82">
        <v>8597.4843203851742</v>
      </c>
      <c r="I176" s="82">
        <v>8520.6817775862273</v>
      </c>
      <c r="J176" s="82">
        <v>17118.166097965044</v>
      </c>
      <c r="K176" s="83">
        <f t="shared" si="2"/>
        <v>7874</v>
      </c>
    </row>
    <row r="177" spans="5:11">
      <c r="E177" s="79">
        <v>170</v>
      </c>
      <c r="F177" s="85" t="s">
        <v>262</v>
      </c>
      <c r="G177" s="89" t="s">
        <v>263</v>
      </c>
      <c r="H177" s="82">
        <v>4408.8398730452018</v>
      </c>
      <c r="I177" s="82">
        <v>4256.5328223071965</v>
      </c>
      <c r="J177" s="82">
        <v>8665.37269535204</v>
      </c>
      <c r="K177" s="83">
        <f t="shared" si="2"/>
        <v>3986</v>
      </c>
    </row>
    <row r="178" spans="5:11">
      <c r="E178" s="79">
        <v>171</v>
      </c>
      <c r="F178" s="85" t="s">
        <v>262</v>
      </c>
      <c r="G178" s="89" t="s">
        <v>264</v>
      </c>
      <c r="H178" s="82">
        <v>9162.9579789107047</v>
      </c>
      <c r="I178" s="82">
        <v>6971.763767197358</v>
      </c>
      <c r="J178" s="82">
        <v>16134.721746102165</v>
      </c>
      <c r="K178" s="83">
        <f t="shared" si="2"/>
        <v>7422</v>
      </c>
    </row>
    <row r="179" spans="5:11">
      <c r="E179" s="79">
        <v>172</v>
      </c>
      <c r="F179" s="85" t="s">
        <v>262</v>
      </c>
      <c r="G179" s="89" t="s">
        <v>265</v>
      </c>
      <c r="H179" s="82">
        <v>35390.463751327312</v>
      </c>
      <c r="I179" s="82">
        <v>34807.540853676648</v>
      </c>
      <c r="J179" s="82">
        <v>70198.004604951668</v>
      </c>
      <c r="K179" s="83">
        <f t="shared" si="2"/>
        <v>32291</v>
      </c>
    </row>
    <row r="180" spans="5:11">
      <c r="E180" s="79">
        <v>173</v>
      </c>
      <c r="F180" s="85" t="s">
        <v>262</v>
      </c>
      <c r="G180" s="89" t="s">
        <v>266</v>
      </c>
      <c r="H180" s="82">
        <v>3611.6467942531463</v>
      </c>
      <c r="I180" s="82">
        <v>3581.9010930211471</v>
      </c>
      <c r="J180" s="82">
        <v>7193.5478872743706</v>
      </c>
      <c r="K180" s="83">
        <f t="shared" si="2"/>
        <v>3309</v>
      </c>
    </row>
    <row r="181" spans="5:11">
      <c r="E181" s="79">
        <v>174</v>
      </c>
      <c r="F181" s="85" t="s">
        <v>267</v>
      </c>
      <c r="G181" s="89" t="s">
        <v>268</v>
      </c>
      <c r="H181" s="82">
        <v>11840.736576415016</v>
      </c>
      <c r="I181" s="82">
        <v>12580.208161596462</v>
      </c>
      <c r="J181" s="82">
        <v>24420.944738019447</v>
      </c>
      <c r="K181" s="83">
        <f t="shared" si="2"/>
        <v>11234</v>
      </c>
    </row>
    <row r="182" spans="5:11">
      <c r="E182" s="79">
        <v>175</v>
      </c>
      <c r="F182" s="85" t="s">
        <v>267</v>
      </c>
      <c r="G182" s="89" t="s">
        <v>269</v>
      </c>
      <c r="H182" s="82">
        <v>3194.0568028051143</v>
      </c>
      <c r="I182" s="82">
        <v>3347.1462783171237</v>
      </c>
      <c r="J182" s="82">
        <v>6541.2030811223449</v>
      </c>
      <c r="K182" s="83">
        <f t="shared" si="2"/>
        <v>3009</v>
      </c>
    </row>
    <row r="183" spans="5:11">
      <c r="E183" s="79">
        <v>176</v>
      </c>
      <c r="F183" s="85" t="s">
        <v>270</v>
      </c>
      <c r="G183" s="89" t="s">
        <v>270</v>
      </c>
      <c r="H183" s="82">
        <v>24637.267393806127</v>
      </c>
      <c r="I183" s="82">
        <v>20988.102542005789</v>
      </c>
      <c r="J183" s="82">
        <v>45625.369935829083</v>
      </c>
      <c r="K183" s="83">
        <f t="shared" si="2"/>
        <v>20988</v>
      </c>
    </row>
    <row r="184" spans="5:11">
      <c r="E184" s="79">
        <v>177</v>
      </c>
      <c r="F184" s="85" t="s">
        <v>270</v>
      </c>
      <c r="G184" s="89" t="s">
        <v>271</v>
      </c>
      <c r="H184" s="82">
        <v>20462.190715323159</v>
      </c>
      <c r="I184" s="82">
        <v>17132.616251719861</v>
      </c>
      <c r="J184" s="82">
        <v>37594.806967065466</v>
      </c>
      <c r="K184" s="83">
        <f t="shared" si="2"/>
        <v>17294</v>
      </c>
    </row>
    <row r="185" spans="5:11">
      <c r="E185" s="79">
        <v>178</v>
      </c>
      <c r="F185" s="85" t="s">
        <v>270</v>
      </c>
      <c r="G185" s="89" t="s">
        <v>272</v>
      </c>
      <c r="H185" s="82">
        <v>11073.014958092603</v>
      </c>
      <c r="I185" s="82">
        <v>9553.3067825979288</v>
      </c>
      <c r="J185" s="82">
        <v>20626.321740691728</v>
      </c>
      <c r="K185" s="83">
        <f t="shared" si="2"/>
        <v>9488</v>
      </c>
    </row>
    <row r="186" spans="5:11">
      <c r="E186" s="79">
        <v>179</v>
      </c>
      <c r="F186" s="85" t="s">
        <v>273</v>
      </c>
      <c r="G186" s="89" t="s">
        <v>274</v>
      </c>
      <c r="H186" s="82">
        <v>32450.551633355648</v>
      </c>
      <c r="I186" s="82">
        <v>25836.129868421402</v>
      </c>
      <c r="J186" s="82">
        <v>58286.681501799336</v>
      </c>
      <c r="K186" s="83">
        <f t="shared" si="2"/>
        <v>26812</v>
      </c>
    </row>
    <row r="187" spans="5:11">
      <c r="E187" s="79">
        <v>180</v>
      </c>
      <c r="F187" s="85" t="s">
        <v>273</v>
      </c>
      <c r="G187" s="89" t="s">
        <v>275</v>
      </c>
      <c r="H187" s="82">
        <v>11432.787647057141</v>
      </c>
      <c r="I187" s="82">
        <v>10528.910365762751</v>
      </c>
      <c r="J187" s="82">
        <v>21961.698012820983</v>
      </c>
      <c r="K187" s="83">
        <f t="shared" si="2"/>
        <v>10102</v>
      </c>
    </row>
    <row r="188" spans="5:11">
      <c r="E188" s="79">
        <v>181</v>
      </c>
      <c r="F188" s="85" t="s">
        <v>273</v>
      </c>
      <c r="G188" s="89" t="s">
        <v>276</v>
      </c>
      <c r="H188" s="82">
        <v>39503.6812852742</v>
      </c>
      <c r="I188" s="82">
        <v>34777.383742052407</v>
      </c>
      <c r="J188" s="82">
        <v>74281.065027334276</v>
      </c>
      <c r="K188" s="83">
        <f t="shared" si="2"/>
        <v>34169</v>
      </c>
    </row>
    <row r="189" spans="5:11">
      <c r="E189" s="79">
        <v>182</v>
      </c>
      <c r="F189" s="85" t="s">
        <v>273</v>
      </c>
      <c r="G189" s="89" t="s">
        <v>277</v>
      </c>
      <c r="H189" s="82">
        <v>22412.440810150802</v>
      </c>
      <c r="I189" s="82">
        <v>16216.49887729185</v>
      </c>
      <c r="J189" s="82">
        <v>38628.939687463855</v>
      </c>
      <c r="K189" s="83">
        <f t="shared" si="2"/>
        <v>17769</v>
      </c>
    </row>
    <row r="190" spans="5:11">
      <c r="E190" s="79">
        <v>183</v>
      </c>
      <c r="F190" s="85" t="s">
        <v>278</v>
      </c>
      <c r="G190" s="89" t="s">
        <v>279</v>
      </c>
      <c r="H190" s="82">
        <v>11872.355555062913</v>
      </c>
      <c r="I190" s="82">
        <v>10699.511338154911</v>
      </c>
      <c r="J190" s="82">
        <v>22571.866893222639</v>
      </c>
      <c r="K190" s="83">
        <f t="shared" si="2"/>
        <v>10383</v>
      </c>
    </row>
    <row r="191" spans="5:11">
      <c r="E191" s="79">
        <v>184</v>
      </c>
      <c r="F191" s="85" t="s">
        <v>278</v>
      </c>
      <c r="G191" s="89" t="s">
        <v>280</v>
      </c>
      <c r="H191" s="82">
        <v>6065.5466206843093</v>
      </c>
      <c r="I191" s="82">
        <v>5429.5209817492678</v>
      </c>
      <c r="J191" s="82">
        <v>11495.067602430781</v>
      </c>
      <c r="K191" s="83">
        <f t="shared" si="2"/>
        <v>5288</v>
      </c>
    </row>
    <row r="192" spans="5:11">
      <c r="E192" s="79">
        <v>185</v>
      </c>
      <c r="F192" s="85" t="s">
        <v>278</v>
      </c>
      <c r="G192" s="89" t="s">
        <v>278</v>
      </c>
      <c r="H192" s="82">
        <v>40362.392897087768</v>
      </c>
      <c r="I192" s="82">
        <v>35766.558755800419</v>
      </c>
      <c r="J192" s="82">
        <v>76128.951652914882</v>
      </c>
      <c r="K192" s="83">
        <f t="shared" si="2"/>
        <v>35019</v>
      </c>
    </row>
    <row r="193" spans="5:11">
      <c r="E193" s="79">
        <v>186</v>
      </c>
      <c r="F193" s="85" t="s">
        <v>278</v>
      </c>
      <c r="G193" s="89" t="s">
        <v>281</v>
      </c>
      <c r="H193" s="82">
        <v>17186.262000572053</v>
      </c>
      <c r="I193" s="82">
        <v>15368.17699619937</v>
      </c>
      <c r="J193" s="82">
        <v>32554.438996791272</v>
      </c>
      <c r="K193" s="83">
        <f t="shared" si="2"/>
        <v>14975</v>
      </c>
    </row>
    <row r="194" spans="5:11">
      <c r="E194" s="79">
        <v>187</v>
      </c>
      <c r="F194" s="85" t="s">
        <v>282</v>
      </c>
      <c r="G194" s="89" t="s">
        <v>282</v>
      </c>
      <c r="H194" s="82">
        <v>70221.120141574414</v>
      </c>
      <c r="I194" s="82">
        <v>67862.203708865403</v>
      </c>
      <c r="J194" s="82">
        <v>138083.32385051754</v>
      </c>
      <c r="K194" s="83">
        <f t="shared" si="2"/>
        <v>63518</v>
      </c>
    </row>
    <row r="195" spans="5:11">
      <c r="E195" s="79">
        <v>188</v>
      </c>
      <c r="F195" s="85" t="s">
        <v>282</v>
      </c>
      <c r="G195" s="89" t="s">
        <v>283</v>
      </c>
      <c r="H195" s="82">
        <v>18647.131575292475</v>
      </c>
      <c r="I195" s="82">
        <v>16639.347930683587</v>
      </c>
      <c r="J195" s="82">
        <v>35286.479505998534</v>
      </c>
      <c r="K195" s="83">
        <f t="shared" si="2"/>
        <v>16232</v>
      </c>
    </row>
    <row r="196" spans="5:11">
      <c r="E196" s="79">
        <v>189</v>
      </c>
      <c r="F196" s="85" t="s">
        <v>282</v>
      </c>
      <c r="G196" s="89" t="s">
        <v>284</v>
      </c>
      <c r="H196" s="82">
        <v>21325.158022210977</v>
      </c>
      <c r="I196" s="82">
        <v>18887.258617208732</v>
      </c>
      <c r="J196" s="82">
        <v>40212.416639442155</v>
      </c>
      <c r="K196" s="83">
        <f t="shared" si="2"/>
        <v>18498</v>
      </c>
    </row>
    <row r="197" spans="5:11">
      <c r="E197" s="79">
        <v>190</v>
      </c>
      <c r="F197" s="85" t="s">
        <v>285</v>
      </c>
      <c r="G197" s="89" t="s">
        <v>286</v>
      </c>
      <c r="H197" s="82">
        <v>18835.476000276874</v>
      </c>
      <c r="I197" s="82">
        <v>15103.77650831129</v>
      </c>
      <c r="J197" s="82">
        <v>33939.252508608624</v>
      </c>
      <c r="K197" s="83">
        <f t="shared" si="2"/>
        <v>15612</v>
      </c>
    </row>
    <row r="198" spans="5:11">
      <c r="E198" s="79">
        <v>191</v>
      </c>
      <c r="F198" s="85" t="s">
        <v>285</v>
      </c>
      <c r="G198" s="89" t="s">
        <v>287</v>
      </c>
      <c r="H198" s="82">
        <v>12203.466064693072</v>
      </c>
      <c r="I198" s="82">
        <v>10722.860580190145</v>
      </c>
      <c r="J198" s="82">
        <v>22926.326644888628</v>
      </c>
      <c r="K198" s="83">
        <f t="shared" si="2"/>
        <v>10546</v>
      </c>
    </row>
    <row r="199" spans="5:11">
      <c r="E199" s="79">
        <v>192</v>
      </c>
      <c r="F199" s="85" t="s">
        <v>285</v>
      </c>
      <c r="G199" s="89" t="s">
        <v>288</v>
      </c>
      <c r="H199" s="82">
        <v>9898.4218728129199</v>
      </c>
      <c r="I199" s="82">
        <v>8653.6209722390067</v>
      </c>
      <c r="J199" s="82">
        <v>18552.042845048356</v>
      </c>
      <c r="K199" s="83">
        <f t="shared" si="2"/>
        <v>8534</v>
      </c>
    </row>
    <row r="200" spans="5:11">
      <c r="E200" s="79">
        <v>193</v>
      </c>
      <c r="F200" s="85" t="s">
        <v>285</v>
      </c>
      <c r="G200" s="89" t="s">
        <v>285</v>
      </c>
      <c r="H200" s="82">
        <v>40735</v>
      </c>
      <c r="I200" s="82">
        <v>36745</v>
      </c>
      <c r="J200" s="82">
        <v>77479</v>
      </c>
      <c r="K200" s="83">
        <f t="shared" ref="K200:K263" si="3">ROUND($D$4*J200,0)</f>
        <v>35640</v>
      </c>
    </row>
    <row r="201" spans="5:11">
      <c r="E201" s="79">
        <v>194</v>
      </c>
      <c r="F201" s="85" t="s">
        <v>285</v>
      </c>
      <c r="G201" s="89" t="s">
        <v>289</v>
      </c>
      <c r="H201" s="82">
        <v>1511.1561673780309</v>
      </c>
      <c r="I201" s="82">
        <v>1424.0048377310277</v>
      </c>
      <c r="J201" s="82">
        <v>2935.1610051090533</v>
      </c>
      <c r="K201" s="83">
        <f t="shared" si="3"/>
        <v>1350</v>
      </c>
    </row>
    <row r="202" spans="5:11">
      <c r="E202" s="79">
        <v>195</v>
      </c>
      <c r="F202" s="85" t="s">
        <v>290</v>
      </c>
      <c r="G202" s="89" t="s">
        <v>291</v>
      </c>
      <c r="H202" s="82">
        <v>16150.269261836083</v>
      </c>
      <c r="I202" s="82">
        <v>14748.580959479206</v>
      </c>
      <c r="J202" s="82">
        <v>30898.85022133329</v>
      </c>
      <c r="K202" s="83">
        <f t="shared" si="3"/>
        <v>14213</v>
      </c>
    </row>
    <row r="203" spans="5:11">
      <c r="E203" s="79">
        <v>196</v>
      </c>
      <c r="F203" s="85" t="s">
        <v>290</v>
      </c>
      <c r="G203" s="89" t="s">
        <v>290</v>
      </c>
      <c r="H203" s="82">
        <v>26231.56284676748</v>
      </c>
      <c r="I203" s="82">
        <v>23462.406320613612</v>
      </c>
      <c r="J203" s="82">
        <v>49693.969167407573</v>
      </c>
      <c r="K203" s="83">
        <f t="shared" si="3"/>
        <v>22859</v>
      </c>
    </row>
    <row r="204" spans="5:11">
      <c r="E204" s="79">
        <v>197</v>
      </c>
      <c r="F204" s="85" t="s">
        <v>292</v>
      </c>
      <c r="G204" s="89" t="s">
        <v>293</v>
      </c>
      <c r="H204" s="82">
        <v>14757.697629863191</v>
      </c>
      <c r="I204" s="82">
        <v>13557.235033441153</v>
      </c>
      <c r="J204" s="82">
        <v>28314.932663317893</v>
      </c>
      <c r="K204" s="83">
        <f t="shared" si="3"/>
        <v>13025</v>
      </c>
    </row>
    <row r="205" spans="5:11">
      <c r="E205" s="79">
        <v>198</v>
      </c>
      <c r="F205" s="85" t="s">
        <v>292</v>
      </c>
      <c r="G205" s="89" t="s">
        <v>294</v>
      </c>
      <c r="H205" s="82">
        <v>9593.1771160990666</v>
      </c>
      <c r="I205" s="82">
        <v>8718.0870346516931</v>
      </c>
      <c r="J205" s="82">
        <v>18311.264150748233</v>
      </c>
      <c r="K205" s="83">
        <f t="shared" si="3"/>
        <v>8423</v>
      </c>
    </row>
    <row r="206" spans="5:11">
      <c r="E206" s="79">
        <v>199</v>
      </c>
      <c r="F206" s="85" t="s">
        <v>292</v>
      </c>
      <c r="G206" s="89" t="s">
        <v>295</v>
      </c>
      <c r="H206" s="82">
        <v>69014.818066572407</v>
      </c>
      <c r="I206" s="82">
        <v>66067.42181117236</v>
      </c>
      <c r="J206" s="82">
        <v>135082.23987774676</v>
      </c>
      <c r="K206" s="83">
        <f t="shared" si="3"/>
        <v>62138</v>
      </c>
    </row>
    <row r="207" spans="5:11">
      <c r="E207" s="79">
        <v>200</v>
      </c>
      <c r="F207" s="85" t="s">
        <v>292</v>
      </c>
      <c r="G207" s="89" t="s">
        <v>296</v>
      </c>
      <c r="H207" s="82">
        <v>13645.623545547642</v>
      </c>
      <c r="I207" s="82">
        <v>12326.791886866633</v>
      </c>
      <c r="J207" s="82">
        <v>25972.415432425016</v>
      </c>
      <c r="K207" s="83">
        <f t="shared" si="3"/>
        <v>11947</v>
      </c>
    </row>
    <row r="208" spans="5:11">
      <c r="E208" s="79">
        <v>201</v>
      </c>
      <c r="F208" s="85" t="s">
        <v>292</v>
      </c>
      <c r="G208" s="89" t="s">
        <v>297</v>
      </c>
      <c r="H208" s="82">
        <v>19660.053938130131</v>
      </c>
      <c r="I208" s="82">
        <v>18405.89245368883</v>
      </c>
      <c r="J208" s="82">
        <v>38065.946391845704</v>
      </c>
      <c r="K208" s="83">
        <f t="shared" si="3"/>
        <v>17510</v>
      </c>
    </row>
    <row r="209" spans="5:11">
      <c r="E209" s="79">
        <v>202</v>
      </c>
      <c r="F209" s="85" t="s">
        <v>292</v>
      </c>
      <c r="G209" s="89" t="s">
        <v>298</v>
      </c>
      <c r="H209" s="82">
        <v>14090.32231184758</v>
      </c>
      <c r="I209" s="82">
        <v>11876.812989273156</v>
      </c>
      <c r="J209" s="82">
        <v>25967.135301131402</v>
      </c>
      <c r="K209" s="83">
        <f t="shared" si="3"/>
        <v>11945</v>
      </c>
    </row>
    <row r="210" spans="5:11">
      <c r="E210" s="79">
        <v>203</v>
      </c>
      <c r="F210" s="85" t="s">
        <v>292</v>
      </c>
      <c r="G210" s="89" t="s">
        <v>299</v>
      </c>
      <c r="H210" s="82">
        <v>13325.952649371768</v>
      </c>
      <c r="I210" s="82">
        <v>11976.23929318491</v>
      </c>
      <c r="J210" s="82">
        <v>25302.191942566165</v>
      </c>
      <c r="K210" s="83">
        <f t="shared" si="3"/>
        <v>11639</v>
      </c>
    </row>
    <row r="211" spans="5:11">
      <c r="E211" s="79">
        <v>204</v>
      </c>
      <c r="F211" s="85" t="s">
        <v>292</v>
      </c>
      <c r="G211" s="89" t="s">
        <v>300</v>
      </c>
      <c r="H211" s="82">
        <v>13862.635657193941</v>
      </c>
      <c r="I211" s="82">
        <v>12304.813699812174</v>
      </c>
      <c r="J211" s="82">
        <v>26167.449357015845</v>
      </c>
      <c r="K211" s="83">
        <f t="shared" si="3"/>
        <v>12037</v>
      </c>
    </row>
    <row r="212" spans="5:11">
      <c r="E212" s="79">
        <v>205</v>
      </c>
      <c r="F212" s="85" t="s">
        <v>292</v>
      </c>
      <c r="G212" s="89" t="s">
        <v>301</v>
      </c>
      <c r="H212" s="82">
        <v>10090.510567627913</v>
      </c>
      <c r="I212" s="82">
        <v>9680.2498424642399</v>
      </c>
      <c r="J212" s="82">
        <v>19770.760410091018</v>
      </c>
      <c r="K212" s="83">
        <f t="shared" si="3"/>
        <v>9095</v>
      </c>
    </row>
    <row r="213" spans="5:11">
      <c r="E213" s="79">
        <v>206</v>
      </c>
      <c r="F213" s="85" t="s">
        <v>292</v>
      </c>
      <c r="G213" s="89" t="s">
        <v>302</v>
      </c>
      <c r="H213" s="82">
        <v>4429.7778094516343</v>
      </c>
      <c r="I213" s="82">
        <v>4181.0538329635783</v>
      </c>
      <c r="J213" s="82">
        <v>8610.8316424162113</v>
      </c>
      <c r="K213" s="83">
        <f t="shared" si="3"/>
        <v>3961</v>
      </c>
    </row>
    <row r="214" spans="5:11">
      <c r="E214" s="79">
        <v>207</v>
      </c>
      <c r="F214" s="85" t="s">
        <v>292</v>
      </c>
      <c r="G214" s="89" t="s">
        <v>303</v>
      </c>
      <c r="H214" s="82">
        <v>17578.640112401758</v>
      </c>
      <c r="I214" s="82">
        <v>15196.569605984971</v>
      </c>
      <c r="J214" s="82">
        <v>32775.20971840823</v>
      </c>
      <c r="K214" s="83">
        <f t="shared" si="3"/>
        <v>15077</v>
      </c>
    </row>
    <row r="215" spans="5:11">
      <c r="E215" s="79">
        <v>208</v>
      </c>
      <c r="F215" s="85" t="s">
        <v>304</v>
      </c>
      <c r="G215" s="89" t="s">
        <v>305</v>
      </c>
      <c r="H215" s="82">
        <v>18758.575906729282</v>
      </c>
      <c r="I215" s="82">
        <v>16106.203963733184</v>
      </c>
      <c r="J215" s="82">
        <v>34864.779870484308</v>
      </c>
      <c r="K215" s="83">
        <f t="shared" si="3"/>
        <v>16038</v>
      </c>
    </row>
    <row r="216" spans="5:11">
      <c r="E216" s="79">
        <v>209</v>
      </c>
      <c r="F216" s="85" t="s">
        <v>304</v>
      </c>
      <c r="G216" s="89" t="s">
        <v>306</v>
      </c>
      <c r="H216" s="82">
        <v>48123.885918343556</v>
      </c>
      <c r="I216" s="82">
        <v>42907.894465000645</v>
      </c>
      <c r="J216" s="82">
        <v>91031.780383318779</v>
      </c>
      <c r="K216" s="83">
        <f t="shared" si="3"/>
        <v>41875</v>
      </c>
    </row>
    <row r="217" spans="5:11">
      <c r="E217" s="79">
        <v>210</v>
      </c>
      <c r="F217" s="85" t="s">
        <v>307</v>
      </c>
      <c r="G217" s="89" t="s">
        <v>308</v>
      </c>
      <c r="H217" s="82">
        <v>10832.438728345582</v>
      </c>
      <c r="I217" s="82">
        <v>8739.1380852720904</v>
      </c>
      <c r="J217" s="82">
        <v>19571.576813615131</v>
      </c>
      <c r="K217" s="83">
        <f t="shared" si="3"/>
        <v>9003</v>
      </c>
    </row>
    <row r="218" spans="5:11">
      <c r="E218" s="79">
        <v>211</v>
      </c>
      <c r="F218" s="85" t="s">
        <v>307</v>
      </c>
      <c r="G218" s="89" t="s">
        <v>307</v>
      </c>
      <c r="H218" s="82">
        <v>30198.728740012633</v>
      </c>
      <c r="I218" s="82">
        <v>26990.227604996817</v>
      </c>
      <c r="J218" s="82">
        <v>57188.956345031918</v>
      </c>
      <c r="K218" s="83">
        <f t="shared" si="3"/>
        <v>26307</v>
      </c>
    </row>
    <row r="219" spans="5:11">
      <c r="E219" s="79">
        <v>212</v>
      </c>
      <c r="F219" s="85" t="s">
        <v>309</v>
      </c>
      <c r="G219" s="89" t="s">
        <v>310</v>
      </c>
      <c r="H219" s="82">
        <v>23051.022245338136</v>
      </c>
      <c r="I219" s="82">
        <v>19425.254398318633</v>
      </c>
      <c r="J219" s="82">
        <v>42476.276643679041</v>
      </c>
      <c r="K219" s="83">
        <f t="shared" si="3"/>
        <v>19539</v>
      </c>
    </row>
    <row r="220" spans="5:11">
      <c r="E220" s="79">
        <v>213</v>
      </c>
      <c r="F220" s="85" t="s">
        <v>309</v>
      </c>
      <c r="G220" s="89" t="s">
        <v>311</v>
      </c>
      <c r="H220" s="82">
        <v>31665.60881580535</v>
      </c>
      <c r="I220" s="82">
        <v>23970.101148707286</v>
      </c>
      <c r="J220" s="82">
        <v>55635.709964534944</v>
      </c>
      <c r="K220" s="83">
        <f t="shared" si="3"/>
        <v>25592</v>
      </c>
    </row>
    <row r="221" spans="5:11">
      <c r="E221" s="79">
        <v>214</v>
      </c>
      <c r="F221" s="85" t="s">
        <v>309</v>
      </c>
      <c r="G221" s="89" t="s">
        <v>312</v>
      </c>
      <c r="H221" s="82">
        <v>52033.63680987883</v>
      </c>
      <c r="I221" s="82">
        <v>45160.00636833004</v>
      </c>
      <c r="J221" s="82">
        <v>97193.643178182931</v>
      </c>
      <c r="K221" s="83">
        <f t="shared" si="3"/>
        <v>44709</v>
      </c>
    </row>
    <row r="222" spans="5:11">
      <c r="E222" s="79">
        <v>215</v>
      </c>
      <c r="F222" s="85" t="s">
        <v>309</v>
      </c>
      <c r="G222" s="89" t="s">
        <v>309</v>
      </c>
      <c r="H222" s="82">
        <v>44042.917886222705</v>
      </c>
      <c r="I222" s="82">
        <v>39605.056935607485</v>
      </c>
      <c r="J222" s="82">
        <v>83647.974821856944</v>
      </c>
      <c r="K222" s="83">
        <f t="shared" si="3"/>
        <v>38478</v>
      </c>
    </row>
    <row r="223" spans="5:11">
      <c r="E223" s="79">
        <v>216</v>
      </c>
      <c r="F223" s="85" t="s">
        <v>313</v>
      </c>
      <c r="G223" s="89" t="s">
        <v>313</v>
      </c>
      <c r="H223" s="82">
        <v>80831.693237990214</v>
      </c>
      <c r="I223" s="82">
        <v>75656.691689817599</v>
      </c>
      <c r="J223" s="82">
        <v>156488.3849275636</v>
      </c>
      <c r="K223" s="83">
        <f t="shared" si="3"/>
        <v>71985</v>
      </c>
    </row>
    <row r="224" spans="5:11">
      <c r="E224" s="79">
        <v>217</v>
      </c>
      <c r="F224" s="85" t="s">
        <v>313</v>
      </c>
      <c r="G224" s="89" t="s">
        <v>314</v>
      </c>
      <c r="H224" s="82">
        <v>16022.464757445336</v>
      </c>
      <c r="I224" s="82">
        <v>15069.020897605975</v>
      </c>
      <c r="J224" s="82">
        <v>31091.485655068103</v>
      </c>
      <c r="K224" s="83">
        <f t="shared" si="3"/>
        <v>14302</v>
      </c>
    </row>
    <row r="225" spans="5:11">
      <c r="E225" s="79">
        <v>218</v>
      </c>
      <c r="F225" s="85" t="s">
        <v>313</v>
      </c>
      <c r="G225" s="89" t="s">
        <v>315</v>
      </c>
      <c r="H225" s="82">
        <v>13730.321461210757</v>
      </c>
      <c r="I225" s="82">
        <v>11636.545006858443</v>
      </c>
      <c r="J225" s="82">
        <v>25366.866468077722</v>
      </c>
      <c r="K225" s="83">
        <f t="shared" si="3"/>
        <v>11669</v>
      </c>
    </row>
    <row r="226" spans="5:11">
      <c r="E226" s="79">
        <v>219</v>
      </c>
      <c r="F226" s="85" t="s">
        <v>313</v>
      </c>
      <c r="G226" s="89" t="s">
        <v>316</v>
      </c>
      <c r="H226" s="82">
        <v>11194.766208402565</v>
      </c>
      <c r="I226" s="82">
        <v>9703.9455559476828</v>
      </c>
      <c r="J226" s="82">
        <v>20898.711764352294</v>
      </c>
      <c r="K226" s="83">
        <f t="shared" si="3"/>
        <v>9613</v>
      </c>
    </row>
    <row r="227" spans="5:11">
      <c r="E227" s="79">
        <v>220</v>
      </c>
      <c r="F227" s="85" t="s">
        <v>313</v>
      </c>
      <c r="G227" s="89" t="s">
        <v>317</v>
      </c>
      <c r="H227" s="82">
        <v>11594.501297644714</v>
      </c>
      <c r="I227" s="82">
        <v>11019.639730520174</v>
      </c>
      <c r="J227" s="82">
        <v>22614.141028169852</v>
      </c>
      <c r="K227" s="83">
        <f t="shared" si="3"/>
        <v>10403</v>
      </c>
    </row>
    <row r="228" spans="5:11">
      <c r="E228" s="79">
        <v>221</v>
      </c>
      <c r="F228" s="85" t="s">
        <v>313</v>
      </c>
      <c r="G228" s="89" t="s">
        <v>318</v>
      </c>
      <c r="H228" s="82">
        <v>14137.71418306803</v>
      </c>
      <c r="I228" s="82">
        <v>13129.79153640372</v>
      </c>
      <c r="J228" s="82">
        <v>27267.505719484197</v>
      </c>
      <c r="K228" s="83">
        <f t="shared" si="3"/>
        <v>12543</v>
      </c>
    </row>
    <row r="229" spans="5:11">
      <c r="E229" s="79">
        <v>222</v>
      </c>
      <c r="F229" s="85" t="s">
        <v>319</v>
      </c>
      <c r="G229" s="89" t="s">
        <v>320</v>
      </c>
      <c r="H229" s="82">
        <v>24853.602367006697</v>
      </c>
      <c r="I229" s="82">
        <v>22255.593526061519</v>
      </c>
      <c r="J229" s="82">
        <v>47109.195893079392</v>
      </c>
      <c r="K229" s="83">
        <f t="shared" si="3"/>
        <v>21670</v>
      </c>
    </row>
    <row r="230" spans="5:11">
      <c r="E230" s="79">
        <v>223</v>
      </c>
      <c r="F230" s="85" t="s">
        <v>319</v>
      </c>
      <c r="G230" s="89" t="s">
        <v>321</v>
      </c>
      <c r="H230" s="82">
        <v>39798.724851177059</v>
      </c>
      <c r="I230" s="82">
        <v>39265.905510219702</v>
      </c>
      <c r="J230" s="82">
        <v>79064.630361423449</v>
      </c>
      <c r="K230" s="83">
        <f t="shared" si="3"/>
        <v>36370</v>
      </c>
    </row>
    <row r="231" spans="5:11">
      <c r="E231" s="79">
        <v>224</v>
      </c>
      <c r="F231" s="85" t="s">
        <v>319</v>
      </c>
      <c r="G231" s="89" t="s">
        <v>322</v>
      </c>
      <c r="H231" s="82">
        <v>16240.050408560808</v>
      </c>
      <c r="I231" s="82">
        <v>14284.620509812254</v>
      </c>
      <c r="J231" s="82">
        <v>30524.670918391239</v>
      </c>
      <c r="K231" s="83">
        <f t="shared" si="3"/>
        <v>14041</v>
      </c>
    </row>
    <row r="232" spans="5:11">
      <c r="E232" s="79">
        <v>225</v>
      </c>
      <c r="F232" s="85" t="s">
        <v>323</v>
      </c>
      <c r="G232" s="89" t="s">
        <v>324</v>
      </c>
      <c r="H232" s="82">
        <v>19174.692315639546</v>
      </c>
      <c r="I232" s="82">
        <v>14296.706459061073</v>
      </c>
      <c r="J232" s="82">
        <v>33471.398774719986</v>
      </c>
      <c r="K232" s="83">
        <f t="shared" si="3"/>
        <v>15397</v>
      </c>
    </row>
    <row r="233" spans="5:11">
      <c r="E233" s="79">
        <v>226</v>
      </c>
      <c r="F233" s="85" t="s">
        <v>323</v>
      </c>
      <c r="G233" s="89" t="s">
        <v>323</v>
      </c>
      <c r="H233" s="82">
        <v>31289.396743124031</v>
      </c>
      <c r="I233" s="82">
        <v>29178.587225958265</v>
      </c>
      <c r="J233" s="82">
        <v>60467.983969106885</v>
      </c>
      <c r="K233" s="83">
        <f t="shared" si="3"/>
        <v>27815</v>
      </c>
    </row>
    <row r="234" spans="5:11">
      <c r="E234" s="79">
        <v>227</v>
      </c>
      <c r="F234" s="85" t="s">
        <v>323</v>
      </c>
      <c r="G234" s="89" t="s">
        <v>325</v>
      </c>
      <c r="H234" s="82">
        <v>7748.047219595368</v>
      </c>
      <c r="I234" s="82">
        <v>6112.1280633382821</v>
      </c>
      <c r="J234" s="82">
        <v>13860.175282928418</v>
      </c>
      <c r="K234" s="83">
        <f t="shared" si="3"/>
        <v>6376</v>
      </c>
    </row>
    <row r="235" spans="5:11">
      <c r="E235" s="79">
        <v>228</v>
      </c>
      <c r="F235" s="85" t="s">
        <v>323</v>
      </c>
      <c r="G235" s="89" t="s">
        <v>326</v>
      </c>
      <c r="H235" s="82">
        <v>30626.348154237985</v>
      </c>
      <c r="I235" s="82">
        <v>24786.422935282415</v>
      </c>
      <c r="J235" s="82">
        <v>55412.771089542715</v>
      </c>
      <c r="K235" s="83">
        <f t="shared" si="3"/>
        <v>25490</v>
      </c>
    </row>
    <row r="236" spans="5:11">
      <c r="E236" s="79">
        <v>229</v>
      </c>
      <c r="F236" s="85" t="s">
        <v>323</v>
      </c>
      <c r="G236" s="89" t="s">
        <v>327</v>
      </c>
      <c r="H236" s="82">
        <v>9060.0253115387204</v>
      </c>
      <c r="I236" s="82">
        <v>7980.9264895102497</v>
      </c>
      <c r="J236" s="82">
        <v>17040.951801042724</v>
      </c>
      <c r="K236" s="83">
        <f t="shared" si="3"/>
        <v>7839</v>
      </c>
    </row>
    <row r="237" spans="5:11">
      <c r="E237" s="79">
        <v>230</v>
      </c>
      <c r="F237" s="85" t="s">
        <v>328</v>
      </c>
      <c r="G237" s="89" t="s">
        <v>329</v>
      </c>
      <c r="H237" s="82">
        <v>9680.291693466881</v>
      </c>
      <c r="I237" s="82">
        <v>7816.3791407408198</v>
      </c>
      <c r="J237" s="82">
        <v>17496.670834204033</v>
      </c>
      <c r="K237" s="83">
        <f t="shared" si="3"/>
        <v>8048</v>
      </c>
    </row>
    <row r="238" spans="5:11">
      <c r="E238" s="79">
        <v>231</v>
      </c>
      <c r="F238" s="85" t="s">
        <v>328</v>
      </c>
      <c r="G238" s="89" t="s">
        <v>330</v>
      </c>
      <c r="H238" s="82">
        <v>13272.215551980562</v>
      </c>
      <c r="I238" s="82">
        <v>10906.247345808235</v>
      </c>
      <c r="J238" s="82">
        <v>24178.462897796311</v>
      </c>
      <c r="K238" s="83">
        <f t="shared" si="3"/>
        <v>11122</v>
      </c>
    </row>
    <row r="239" spans="5:11">
      <c r="E239" s="79">
        <v>232</v>
      </c>
      <c r="F239" s="85" t="s">
        <v>328</v>
      </c>
      <c r="G239" s="89" t="s">
        <v>328</v>
      </c>
      <c r="H239" s="82">
        <v>33572.017575222962</v>
      </c>
      <c r="I239" s="82">
        <v>30739.005421973921</v>
      </c>
      <c r="J239" s="82">
        <v>64311.022997223452</v>
      </c>
      <c r="K239" s="83">
        <f t="shared" si="3"/>
        <v>29583</v>
      </c>
    </row>
    <row r="240" spans="5:11">
      <c r="E240" s="79">
        <v>233</v>
      </c>
      <c r="F240" s="85" t="s">
        <v>331</v>
      </c>
      <c r="G240" s="89" t="s">
        <v>331</v>
      </c>
      <c r="H240" s="82">
        <v>37966.735377890509</v>
      </c>
      <c r="I240" s="82">
        <v>33503.734903475597</v>
      </c>
      <c r="J240" s="82">
        <v>71470.470281392772</v>
      </c>
      <c r="K240" s="83">
        <f t="shared" si="3"/>
        <v>32876</v>
      </c>
    </row>
    <row r="241" spans="5:11">
      <c r="E241" s="79">
        <v>234</v>
      </c>
      <c r="F241" s="85" t="s">
        <v>331</v>
      </c>
      <c r="G241" s="89" t="s">
        <v>332</v>
      </c>
      <c r="H241" s="82">
        <v>13970.720769812469</v>
      </c>
      <c r="I241" s="82">
        <v>11400.080537408336</v>
      </c>
      <c r="J241" s="82">
        <v>25370.801307230508</v>
      </c>
      <c r="K241" s="83">
        <f t="shared" si="3"/>
        <v>11671</v>
      </c>
    </row>
    <row r="242" spans="5:11">
      <c r="E242" s="79">
        <v>235</v>
      </c>
      <c r="F242" s="85" t="s">
        <v>331</v>
      </c>
      <c r="G242" s="89" t="s">
        <v>333</v>
      </c>
      <c r="H242" s="82">
        <v>2128.5883684370528</v>
      </c>
      <c r="I242" s="82">
        <v>2002.9930862920421</v>
      </c>
      <c r="J242" s="82">
        <v>4131.5814547291884</v>
      </c>
      <c r="K242" s="83">
        <f t="shared" si="3"/>
        <v>1901</v>
      </c>
    </row>
    <row r="243" spans="5:11">
      <c r="E243" s="79">
        <v>236</v>
      </c>
      <c r="F243" s="85" t="s">
        <v>331</v>
      </c>
      <c r="G243" s="89" t="s">
        <v>334</v>
      </c>
      <c r="H243" s="82">
        <v>29840.299198699122</v>
      </c>
      <c r="I243" s="82">
        <v>24968.572772906744</v>
      </c>
      <c r="J243" s="82">
        <v>54808.87197162665</v>
      </c>
      <c r="K243" s="83">
        <f t="shared" si="3"/>
        <v>25212</v>
      </c>
    </row>
    <row r="244" spans="5:11">
      <c r="E244" s="79">
        <v>237</v>
      </c>
      <c r="F244" s="85" t="s">
        <v>331</v>
      </c>
      <c r="G244" s="89" t="s">
        <v>335</v>
      </c>
      <c r="H244" s="82">
        <v>12473.387254326104</v>
      </c>
      <c r="I244" s="82">
        <v>9362.1041594345261</v>
      </c>
      <c r="J244" s="82">
        <v>21835.49141376244</v>
      </c>
      <c r="K244" s="83">
        <f t="shared" si="3"/>
        <v>10044</v>
      </c>
    </row>
    <row r="245" spans="5:11">
      <c r="E245" s="79">
        <v>238</v>
      </c>
      <c r="F245" s="85" t="s">
        <v>331</v>
      </c>
      <c r="G245" s="89" t="s">
        <v>336</v>
      </c>
      <c r="H245" s="82">
        <v>4887.1747888882201</v>
      </c>
      <c r="I245" s="82">
        <v>4390.8015393831893</v>
      </c>
      <c r="J245" s="82">
        <v>9277.9763282706008</v>
      </c>
      <c r="K245" s="83">
        <f t="shared" si="3"/>
        <v>4268</v>
      </c>
    </row>
    <row r="246" spans="5:11">
      <c r="E246" s="79">
        <v>239</v>
      </c>
      <c r="F246" s="85" t="s">
        <v>331</v>
      </c>
      <c r="G246" s="89" t="s">
        <v>337</v>
      </c>
      <c r="H246" s="82">
        <v>27936.106437913095</v>
      </c>
      <c r="I246" s="82">
        <v>23882.651713670202</v>
      </c>
      <c r="J246" s="82">
        <v>51818.758151605769</v>
      </c>
      <c r="K246" s="83">
        <f t="shared" si="3"/>
        <v>23837</v>
      </c>
    </row>
    <row r="247" spans="5:11">
      <c r="E247" s="79">
        <v>240</v>
      </c>
      <c r="F247" s="85" t="s">
        <v>338</v>
      </c>
      <c r="G247" s="89" t="s">
        <v>339</v>
      </c>
      <c r="H247" s="82">
        <v>31094.157961407243</v>
      </c>
      <c r="I247" s="82">
        <v>25559.132649417323</v>
      </c>
      <c r="J247" s="82">
        <v>56653.290610845543</v>
      </c>
      <c r="K247" s="83">
        <f t="shared" si="3"/>
        <v>26061</v>
      </c>
    </row>
    <row r="248" spans="5:11">
      <c r="E248" s="79">
        <v>241</v>
      </c>
      <c r="F248" s="85" t="s">
        <v>338</v>
      </c>
      <c r="G248" s="89" t="s">
        <v>338</v>
      </c>
      <c r="H248" s="82">
        <v>70094.851912346538</v>
      </c>
      <c r="I248" s="82">
        <v>61491.48691882514</v>
      </c>
      <c r="J248" s="82">
        <v>131586.33883120262</v>
      </c>
      <c r="K248" s="83">
        <f t="shared" si="3"/>
        <v>60530</v>
      </c>
    </row>
    <row r="249" spans="5:11">
      <c r="E249" s="79">
        <v>242</v>
      </c>
      <c r="F249" s="85" t="s">
        <v>338</v>
      </c>
      <c r="G249" s="89" t="s">
        <v>340</v>
      </c>
      <c r="H249" s="82">
        <v>10223.583079329863</v>
      </c>
      <c r="I249" s="82">
        <v>8866.6747645769628</v>
      </c>
      <c r="J249" s="82">
        <v>19090.257843904263</v>
      </c>
      <c r="K249" s="83">
        <f t="shared" si="3"/>
        <v>8782</v>
      </c>
    </row>
    <row r="250" spans="5:11">
      <c r="E250" s="79">
        <v>243</v>
      </c>
      <c r="F250" s="85" t="s">
        <v>338</v>
      </c>
      <c r="G250" s="89" t="s">
        <v>341</v>
      </c>
      <c r="H250" s="82">
        <v>19799.571547150445</v>
      </c>
      <c r="I250" s="82">
        <v>16969.184979919912</v>
      </c>
      <c r="J250" s="82">
        <v>36768.756527092723</v>
      </c>
      <c r="K250" s="83">
        <f t="shared" si="3"/>
        <v>16914</v>
      </c>
    </row>
    <row r="251" spans="5:11">
      <c r="E251" s="79">
        <v>244</v>
      </c>
      <c r="F251" s="85" t="s">
        <v>338</v>
      </c>
      <c r="G251" s="89" t="s">
        <v>342</v>
      </c>
      <c r="H251" s="82">
        <v>36119.679505794746</v>
      </c>
      <c r="I251" s="82">
        <v>30778.728085523591</v>
      </c>
      <c r="J251" s="82">
        <v>66898.407591341049</v>
      </c>
      <c r="K251" s="83">
        <f t="shared" si="3"/>
        <v>30773</v>
      </c>
    </row>
    <row r="252" spans="5:11">
      <c r="E252" s="79">
        <v>245</v>
      </c>
      <c r="F252" s="85" t="s">
        <v>338</v>
      </c>
      <c r="G252" s="89" t="s">
        <v>343</v>
      </c>
      <c r="H252" s="82">
        <v>12308.101313955112</v>
      </c>
      <c r="I252" s="82">
        <v>11216.407779019986</v>
      </c>
      <c r="J252" s="82">
        <v>23524.509092979926</v>
      </c>
      <c r="K252" s="83">
        <f t="shared" si="3"/>
        <v>10821</v>
      </c>
    </row>
    <row r="253" spans="5:11">
      <c r="E253" s="79">
        <v>246</v>
      </c>
      <c r="F253" s="85" t="s">
        <v>338</v>
      </c>
      <c r="G253" s="89" t="s">
        <v>344</v>
      </c>
      <c r="H253" s="82">
        <v>15450.678756382649</v>
      </c>
      <c r="I253" s="82">
        <v>14040.07495137078</v>
      </c>
      <c r="J253" s="82">
        <v>29490.75370776885</v>
      </c>
      <c r="K253" s="83">
        <f t="shared" si="3"/>
        <v>13566</v>
      </c>
    </row>
    <row r="254" spans="5:11">
      <c r="E254" s="79">
        <v>247</v>
      </c>
      <c r="F254" s="85" t="s">
        <v>345</v>
      </c>
      <c r="G254" s="89" t="s">
        <v>346</v>
      </c>
      <c r="H254" s="82">
        <v>11425.457328234814</v>
      </c>
      <c r="I254" s="82">
        <v>9670.3491675962268</v>
      </c>
      <c r="J254" s="82">
        <v>21095.806495831708</v>
      </c>
      <c r="K254" s="83">
        <f t="shared" si="3"/>
        <v>9704</v>
      </c>
    </row>
    <row r="255" spans="5:11">
      <c r="E255" s="79">
        <v>248</v>
      </c>
      <c r="F255" s="85" t="s">
        <v>345</v>
      </c>
      <c r="G255" s="89" t="s">
        <v>347</v>
      </c>
      <c r="H255" s="82">
        <v>1629.6030067000388</v>
      </c>
      <c r="I255" s="82">
        <v>1519.1322158950263</v>
      </c>
      <c r="J255" s="82">
        <v>3148.7352225950867</v>
      </c>
      <c r="K255" s="83">
        <f t="shared" si="3"/>
        <v>1448</v>
      </c>
    </row>
    <row r="256" spans="5:11">
      <c r="E256" s="79">
        <v>249</v>
      </c>
      <c r="F256" s="85" t="s">
        <v>345</v>
      </c>
      <c r="G256" s="89" t="s">
        <v>348</v>
      </c>
      <c r="H256" s="82">
        <v>14012.916439376795</v>
      </c>
      <c r="I256" s="82">
        <v>11647.015226238689</v>
      </c>
      <c r="J256" s="82">
        <v>25659.931665624325</v>
      </c>
      <c r="K256" s="83">
        <f t="shared" si="3"/>
        <v>11804</v>
      </c>
    </row>
    <row r="257" spans="5:11">
      <c r="E257" s="79">
        <v>250</v>
      </c>
      <c r="F257" s="85" t="s">
        <v>345</v>
      </c>
      <c r="G257" s="89" t="s">
        <v>349</v>
      </c>
      <c r="H257" s="82">
        <v>18037.19013888693</v>
      </c>
      <c r="I257" s="82">
        <v>14817.046444647731</v>
      </c>
      <c r="J257" s="82">
        <v>32854.236583558515</v>
      </c>
      <c r="K257" s="83">
        <f t="shared" si="3"/>
        <v>15113</v>
      </c>
    </row>
    <row r="258" spans="5:11">
      <c r="E258" s="79">
        <v>251</v>
      </c>
      <c r="F258" s="85" t="s">
        <v>345</v>
      </c>
      <c r="G258" s="89" t="s">
        <v>345</v>
      </c>
      <c r="H258" s="82">
        <v>127234.29416260248</v>
      </c>
      <c r="I258" s="82">
        <v>114734.99161612641</v>
      </c>
      <c r="J258" s="82">
        <v>241969.28577849321</v>
      </c>
      <c r="K258" s="83">
        <f t="shared" si="3"/>
        <v>111306</v>
      </c>
    </row>
    <row r="259" spans="5:11">
      <c r="E259" s="79">
        <v>252</v>
      </c>
      <c r="F259" s="85" t="s">
        <v>345</v>
      </c>
      <c r="G259" s="89" t="s">
        <v>350</v>
      </c>
      <c r="H259" s="82">
        <v>17235.529703721313</v>
      </c>
      <c r="I259" s="82">
        <v>15371.35485858647</v>
      </c>
      <c r="J259" s="82">
        <v>32606.884562327512</v>
      </c>
      <c r="K259" s="83">
        <f t="shared" si="3"/>
        <v>14999</v>
      </c>
    </row>
    <row r="260" spans="5:11">
      <c r="E260" s="79">
        <v>253</v>
      </c>
      <c r="F260" s="85" t="s">
        <v>345</v>
      </c>
      <c r="G260" s="89" t="s">
        <v>351</v>
      </c>
      <c r="H260" s="82">
        <v>3893.0614763481699</v>
      </c>
      <c r="I260" s="82">
        <v>3454.1431133641436</v>
      </c>
      <c r="J260" s="82">
        <v>7347.2045897123644</v>
      </c>
      <c r="K260" s="83">
        <f t="shared" si="3"/>
        <v>3380</v>
      </c>
    </row>
    <row r="261" spans="5:11">
      <c r="E261" s="79">
        <v>254</v>
      </c>
      <c r="F261" s="85" t="s">
        <v>345</v>
      </c>
      <c r="G261" s="89" t="s">
        <v>352</v>
      </c>
      <c r="H261" s="82">
        <v>34065.637584115793</v>
      </c>
      <c r="I261" s="82">
        <v>29455.483658867874</v>
      </c>
      <c r="J261" s="82">
        <v>63521.121243007867</v>
      </c>
      <c r="K261" s="83">
        <f t="shared" si="3"/>
        <v>29220</v>
      </c>
    </row>
    <row r="262" spans="5:11">
      <c r="E262" s="79">
        <v>255</v>
      </c>
      <c r="F262" s="85" t="s">
        <v>345</v>
      </c>
      <c r="G262" s="89" t="s">
        <v>353</v>
      </c>
      <c r="H262" s="82">
        <v>5881.9002890777101</v>
      </c>
      <c r="I262" s="82">
        <v>5262.7967439166478</v>
      </c>
      <c r="J262" s="82">
        <v>11144.697032993157</v>
      </c>
      <c r="K262" s="83">
        <f t="shared" si="3"/>
        <v>5127</v>
      </c>
    </row>
    <row r="263" spans="5:11">
      <c r="E263" s="79">
        <v>256</v>
      </c>
      <c r="F263" s="85" t="s">
        <v>345</v>
      </c>
      <c r="G263" s="89" t="s">
        <v>354</v>
      </c>
      <c r="H263" s="82">
        <v>2983.7281796351126</v>
      </c>
      <c r="I263" s="82">
        <v>2838.1563677500999</v>
      </c>
      <c r="J263" s="82">
        <v>5821.8845473852798</v>
      </c>
      <c r="K263" s="83">
        <f t="shared" si="3"/>
        <v>2678</v>
      </c>
    </row>
    <row r="264" spans="5:11">
      <c r="E264" s="79">
        <v>257</v>
      </c>
      <c r="F264" s="85" t="s">
        <v>345</v>
      </c>
      <c r="G264" s="89" t="s">
        <v>355</v>
      </c>
      <c r="H264" s="82">
        <v>8691.6992998958958</v>
      </c>
      <c r="I264" s="82">
        <v>7273.9080989473359</v>
      </c>
      <c r="J264" s="82">
        <v>15965.607398836666</v>
      </c>
      <c r="K264" s="83">
        <f t="shared" ref="K264:K327" si="4">ROUND($D$4*J264,0)</f>
        <v>7344</v>
      </c>
    </row>
    <row r="265" spans="5:11">
      <c r="E265" s="79">
        <v>258</v>
      </c>
      <c r="F265" s="85" t="s">
        <v>356</v>
      </c>
      <c r="G265" s="89" t="s">
        <v>356</v>
      </c>
      <c r="H265" s="82">
        <v>22047.302495184078</v>
      </c>
      <c r="I265" s="82">
        <v>19468.227350101726</v>
      </c>
      <c r="J265" s="82">
        <v>41515.529845305333</v>
      </c>
      <c r="K265" s="83">
        <f t="shared" si="4"/>
        <v>19097</v>
      </c>
    </row>
    <row r="266" spans="5:11">
      <c r="E266" s="79">
        <v>259</v>
      </c>
      <c r="F266" s="85" t="s">
        <v>356</v>
      </c>
      <c r="G266" s="89" t="s">
        <v>357</v>
      </c>
      <c r="H266" s="82">
        <v>17864.485145523151</v>
      </c>
      <c r="I266" s="82">
        <v>13728.67246907865</v>
      </c>
      <c r="J266" s="82">
        <v>31593.157614619733</v>
      </c>
      <c r="K266" s="83">
        <f t="shared" si="4"/>
        <v>14533</v>
      </c>
    </row>
    <row r="267" spans="5:11">
      <c r="E267" s="79">
        <v>260</v>
      </c>
      <c r="F267" s="85" t="s">
        <v>358</v>
      </c>
      <c r="G267" s="89" t="s">
        <v>359</v>
      </c>
      <c r="H267" s="82">
        <v>10631.471283854416</v>
      </c>
      <c r="I267" s="82">
        <v>9761.2632835421409</v>
      </c>
      <c r="J267" s="82">
        <v>20392.734567395994</v>
      </c>
      <c r="K267" s="83">
        <f t="shared" si="4"/>
        <v>9381</v>
      </c>
    </row>
    <row r="268" spans="5:11">
      <c r="E268" s="79">
        <v>261</v>
      </c>
      <c r="F268" s="85" t="s">
        <v>358</v>
      </c>
      <c r="G268" s="89" t="s">
        <v>360</v>
      </c>
      <c r="H268" s="82">
        <v>16549.424489469737</v>
      </c>
      <c r="I268" s="82">
        <v>14246.92065834853</v>
      </c>
      <c r="J268" s="82">
        <v>30796.345147834734</v>
      </c>
      <c r="K268" s="83">
        <f t="shared" si="4"/>
        <v>14166</v>
      </c>
    </row>
    <row r="269" spans="5:11">
      <c r="E269" s="79">
        <v>262</v>
      </c>
      <c r="F269" s="85" t="s">
        <v>358</v>
      </c>
      <c r="G269" s="89" t="s">
        <v>361</v>
      </c>
      <c r="H269" s="82">
        <v>16397.343313127898</v>
      </c>
      <c r="I269" s="82">
        <v>13852.362547514909</v>
      </c>
      <c r="J269" s="82">
        <v>30249.705860659382</v>
      </c>
      <c r="K269" s="83">
        <f t="shared" si="4"/>
        <v>13915</v>
      </c>
    </row>
    <row r="270" spans="5:11">
      <c r="E270" s="79">
        <v>263</v>
      </c>
      <c r="F270" s="85" t="s">
        <v>358</v>
      </c>
      <c r="G270" s="89" t="s">
        <v>362</v>
      </c>
      <c r="H270" s="82">
        <v>21787.759022772276</v>
      </c>
      <c r="I270" s="82">
        <v>21026.348073139605</v>
      </c>
      <c r="J270" s="82">
        <v>42814.107095934305</v>
      </c>
      <c r="K270" s="83">
        <f t="shared" si="4"/>
        <v>19694</v>
      </c>
    </row>
    <row r="271" spans="5:11">
      <c r="E271" s="79">
        <v>264</v>
      </c>
      <c r="F271" s="85" t="s">
        <v>358</v>
      </c>
      <c r="G271" s="89" t="s">
        <v>363</v>
      </c>
      <c r="H271" s="82">
        <v>8118.6871692230743</v>
      </c>
      <c r="I271" s="82">
        <v>7467.3753428431301</v>
      </c>
      <c r="J271" s="82">
        <v>15586.062512060225</v>
      </c>
      <c r="K271" s="83">
        <f t="shared" si="4"/>
        <v>7170</v>
      </c>
    </row>
    <row r="272" spans="5:11">
      <c r="E272" s="79">
        <v>265</v>
      </c>
      <c r="F272" s="85" t="s">
        <v>358</v>
      </c>
      <c r="G272" s="89" t="s">
        <v>358</v>
      </c>
      <c r="H272" s="82">
        <v>58154.664860874276</v>
      </c>
      <c r="I272" s="82">
        <v>52944.830419998267</v>
      </c>
      <c r="J272" s="82">
        <v>111099.49528094065</v>
      </c>
      <c r="K272" s="83">
        <f t="shared" si="4"/>
        <v>51106</v>
      </c>
    </row>
    <row r="273" spans="5:11">
      <c r="E273" s="79">
        <v>266</v>
      </c>
      <c r="F273" s="85" t="s">
        <v>364</v>
      </c>
      <c r="G273" s="89" t="s">
        <v>364</v>
      </c>
      <c r="H273" s="82">
        <v>69945.768602289871</v>
      </c>
      <c r="I273" s="82">
        <v>53187.650395995392</v>
      </c>
      <c r="J273" s="82">
        <v>123133.41899821485</v>
      </c>
      <c r="K273" s="83">
        <f t="shared" si="4"/>
        <v>56641</v>
      </c>
    </row>
    <row r="274" spans="5:11">
      <c r="E274" s="79">
        <v>267</v>
      </c>
      <c r="F274" s="85" t="s">
        <v>364</v>
      </c>
      <c r="G274" s="89" t="s">
        <v>365</v>
      </c>
      <c r="H274" s="82">
        <v>14665.54244709772</v>
      </c>
      <c r="I274" s="82">
        <v>10092.789329839879</v>
      </c>
      <c r="J274" s="82">
        <v>24758.331776946241</v>
      </c>
      <c r="K274" s="83">
        <f t="shared" si="4"/>
        <v>11389</v>
      </c>
    </row>
    <row r="275" spans="5:11">
      <c r="E275" s="79">
        <v>268</v>
      </c>
      <c r="F275" s="85" t="s">
        <v>364</v>
      </c>
      <c r="G275" s="89" t="s">
        <v>366</v>
      </c>
      <c r="H275" s="82">
        <v>20141.24828969227</v>
      </c>
      <c r="I275" s="82">
        <v>15535.443776626234</v>
      </c>
      <c r="J275" s="82">
        <v>35676.692066339747</v>
      </c>
      <c r="K275" s="83">
        <f t="shared" si="4"/>
        <v>16411</v>
      </c>
    </row>
    <row r="276" spans="5:11">
      <c r="E276" s="79">
        <v>269</v>
      </c>
      <c r="F276" s="85" t="s">
        <v>364</v>
      </c>
      <c r="G276" s="89" t="s">
        <v>367</v>
      </c>
      <c r="H276" s="82">
        <v>12809.691729020175</v>
      </c>
      <c r="I276" s="82">
        <v>9934.1841389276487</v>
      </c>
      <c r="J276" s="82">
        <v>22743.875867952665</v>
      </c>
      <c r="K276" s="83">
        <f t="shared" si="4"/>
        <v>10462</v>
      </c>
    </row>
    <row r="277" spans="5:11">
      <c r="E277" s="79">
        <v>270</v>
      </c>
      <c r="F277" s="85" t="s">
        <v>364</v>
      </c>
      <c r="G277" s="89" t="s">
        <v>368</v>
      </c>
      <c r="H277" s="82">
        <v>17826.613534487711</v>
      </c>
      <c r="I277" s="82">
        <v>13804.816268179071</v>
      </c>
      <c r="J277" s="82">
        <v>31631.429802684826</v>
      </c>
      <c r="K277" s="83">
        <f t="shared" si="4"/>
        <v>14550</v>
      </c>
    </row>
    <row r="278" spans="5:11">
      <c r="E278" s="79">
        <v>271</v>
      </c>
      <c r="F278" s="85" t="s">
        <v>369</v>
      </c>
      <c r="G278" s="89" t="s">
        <v>370</v>
      </c>
      <c r="H278" s="82">
        <v>14970.136922694799</v>
      </c>
      <c r="I278" s="82">
        <v>11647.875091641299</v>
      </c>
      <c r="J278" s="82">
        <v>26618.012014347903</v>
      </c>
      <c r="K278" s="83">
        <f t="shared" si="4"/>
        <v>12244</v>
      </c>
    </row>
    <row r="279" spans="5:11">
      <c r="E279" s="79">
        <v>272</v>
      </c>
      <c r="F279" s="85" t="s">
        <v>369</v>
      </c>
      <c r="G279" s="89" t="s">
        <v>369</v>
      </c>
      <c r="H279" s="82">
        <v>93036.929876786264</v>
      </c>
      <c r="I279" s="82">
        <v>78416.94576756598</v>
      </c>
      <c r="J279" s="82">
        <v>171453.87564379879</v>
      </c>
      <c r="K279" s="83">
        <f t="shared" si="4"/>
        <v>78869</v>
      </c>
    </row>
    <row r="280" spans="5:11">
      <c r="E280" s="79">
        <v>273</v>
      </c>
      <c r="F280" s="85" t="s">
        <v>369</v>
      </c>
      <c r="G280" s="89" t="s">
        <v>371</v>
      </c>
      <c r="H280" s="82">
        <v>22225.130349572788</v>
      </c>
      <c r="I280" s="82">
        <v>17187.624165251029</v>
      </c>
      <c r="J280" s="82">
        <v>39412.754514846245</v>
      </c>
      <c r="K280" s="83">
        <f t="shared" si="4"/>
        <v>18130</v>
      </c>
    </row>
    <row r="281" spans="5:11">
      <c r="E281" s="79">
        <v>274</v>
      </c>
      <c r="F281" s="85" t="s">
        <v>369</v>
      </c>
      <c r="G281" s="89" t="s">
        <v>372</v>
      </c>
      <c r="H281" s="82">
        <v>11553.30134245326</v>
      </c>
      <c r="I281" s="82">
        <v>10343.310137129114</v>
      </c>
      <c r="J281" s="82">
        <v>21896.611479586154</v>
      </c>
      <c r="K281" s="83">
        <f t="shared" si="4"/>
        <v>10072</v>
      </c>
    </row>
    <row r="282" spans="5:11">
      <c r="E282" s="79">
        <v>275</v>
      </c>
      <c r="F282" s="85" t="s">
        <v>373</v>
      </c>
      <c r="G282" s="89" t="s">
        <v>373</v>
      </c>
      <c r="H282" s="82">
        <v>23317.403866250614</v>
      </c>
      <c r="I282" s="82">
        <v>19591.51432905842</v>
      </c>
      <c r="J282" s="82">
        <v>42908.918195330436</v>
      </c>
      <c r="K282" s="83">
        <f t="shared" si="4"/>
        <v>19738</v>
      </c>
    </row>
    <row r="283" spans="5:11">
      <c r="E283" s="79">
        <v>276</v>
      </c>
      <c r="F283" s="85" t="s">
        <v>373</v>
      </c>
      <c r="G283" s="89" t="s">
        <v>374</v>
      </c>
      <c r="H283" s="82">
        <v>40491.224620813591</v>
      </c>
      <c r="I283" s="82">
        <v>33987.143855712944</v>
      </c>
      <c r="J283" s="82">
        <v>74478.368476513715</v>
      </c>
      <c r="K283" s="83">
        <f t="shared" si="4"/>
        <v>34260</v>
      </c>
    </row>
    <row r="284" spans="5:11">
      <c r="E284" s="79">
        <v>277</v>
      </c>
      <c r="F284" s="85" t="s">
        <v>375</v>
      </c>
      <c r="G284" s="89" t="s">
        <v>376</v>
      </c>
      <c r="H284" s="82">
        <v>4090.5635363791812</v>
      </c>
      <c r="I284" s="82">
        <v>3095.4565695571268</v>
      </c>
      <c r="J284" s="82">
        <v>7186.0201059362962</v>
      </c>
      <c r="K284" s="83">
        <f t="shared" si="4"/>
        <v>3306</v>
      </c>
    </row>
    <row r="285" spans="5:11">
      <c r="E285" s="79">
        <v>278</v>
      </c>
      <c r="F285" s="85" t="s">
        <v>375</v>
      </c>
      <c r="G285" s="89" t="s">
        <v>377</v>
      </c>
      <c r="H285" s="82">
        <v>13027.877411064068</v>
      </c>
      <c r="I285" s="82">
        <v>8984.4501931266932</v>
      </c>
      <c r="J285" s="82">
        <v>22012.327604193779</v>
      </c>
      <c r="K285" s="83">
        <f t="shared" si="4"/>
        <v>10126</v>
      </c>
    </row>
    <row r="286" spans="5:11">
      <c r="E286" s="79">
        <v>279</v>
      </c>
      <c r="F286" s="85" t="s">
        <v>375</v>
      </c>
      <c r="G286" s="89" t="s">
        <v>378</v>
      </c>
      <c r="H286" s="82">
        <v>5152.643309488245</v>
      </c>
      <c r="I286" s="82">
        <v>4146.9761694381923</v>
      </c>
      <c r="J286" s="82">
        <v>9299.6194789255151</v>
      </c>
      <c r="K286" s="83">
        <f t="shared" si="4"/>
        <v>4278</v>
      </c>
    </row>
    <row r="287" spans="5:11">
      <c r="E287" s="79">
        <v>280</v>
      </c>
      <c r="F287" s="85" t="s">
        <v>375</v>
      </c>
      <c r="G287" s="89" t="s">
        <v>379</v>
      </c>
      <c r="H287" s="82">
        <v>9846.5387050881618</v>
      </c>
      <c r="I287" s="82">
        <v>7762.3059679263888</v>
      </c>
      <c r="J287" s="82">
        <v>17608.84467300932</v>
      </c>
      <c r="K287" s="83">
        <f t="shared" si="4"/>
        <v>8100</v>
      </c>
    </row>
    <row r="288" spans="5:11">
      <c r="E288" s="79">
        <v>281</v>
      </c>
      <c r="F288" s="85" t="s">
        <v>375</v>
      </c>
      <c r="G288" s="89" t="s">
        <v>380</v>
      </c>
      <c r="H288" s="82">
        <v>6213.456148839281</v>
      </c>
      <c r="I288" s="82">
        <v>3528.2299378741509</v>
      </c>
      <c r="J288" s="82">
        <v>9741.6860867119867</v>
      </c>
      <c r="K288" s="83">
        <f t="shared" si="4"/>
        <v>4481</v>
      </c>
    </row>
    <row r="289" spans="5:11">
      <c r="E289" s="79">
        <v>282</v>
      </c>
      <c r="F289" s="85" t="s">
        <v>375</v>
      </c>
      <c r="G289" s="89" t="s">
        <v>375</v>
      </c>
      <c r="H289" s="82">
        <v>15261.520459027714</v>
      </c>
      <c r="I289" s="82">
        <v>12418.804190124274</v>
      </c>
      <c r="J289" s="82">
        <v>27680.324649166272</v>
      </c>
      <c r="K289" s="83">
        <f t="shared" si="4"/>
        <v>12733</v>
      </c>
    </row>
    <row r="290" spans="5:11">
      <c r="E290" s="79">
        <v>283</v>
      </c>
      <c r="F290" s="85" t="s">
        <v>381</v>
      </c>
      <c r="G290" s="89" t="s">
        <v>381</v>
      </c>
      <c r="H290" s="82">
        <v>30505.388123811426</v>
      </c>
      <c r="I290" s="82">
        <v>25910.015102639023</v>
      </c>
      <c r="J290" s="82">
        <v>56415.403226475733</v>
      </c>
      <c r="K290" s="83">
        <f t="shared" si="4"/>
        <v>25951</v>
      </c>
    </row>
    <row r="291" spans="5:11">
      <c r="E291" s="79">
        <v>284</v>
      </c>
      <c r="F291" s="85" t="s">
        <v>381</v>
      </c>
      <c r="G291" s="89" t="s">
        <v>382</v>
      </c>
      <c r="H291" s="82">
        <v>9881.7202106791028</v>
      </c>
      <c r="I291" s="82">
        <v>8415.2465668282694</v>
      </c>
      <c r="J291" s="82">
        <v>18296.966777503625</v>
      </c>
      <c r="K291" s="83">
        <f t="shared" si="4"/>
        <v>8417</v>
      </c>
    </row>
    <row r="292" spans="5:11">
      <c r="E292" s="79">
        <v>285</v>
      </c>
      <c r="F292" s="85" t="s">
        <v>381</v>
      </c>
      <c r="G292" s="89" t="s">
        <v>383</v>
      </c>
      <c r="H292" s="82">
        <v>10077.236544884881</v>
      </c>
      <c r="I292" s="82">
        <v>8515.5635691539301</v>
      </c>
      <c r="J292" s="82">
        <v>18592.800114036752</v>
      </c>
      <c r="K292" s="83">
        <f t="shared" si="4"/>
        <v>8553</v>
      </c>
    </row>
    <row r="293" spans="5:11">
      <c r="E293" s="79">
        <v>286</v>
      </c>
      <c r="F293" s="85" t="s">
        <v>381</v>
      </c>
      <c r="G293" s="89" t="s">
        <v>384</v>
      </c>
      <c r="H293" s="82">
        <v>10056.199637078907</v>
      </c>
      <c r="I293" s="82">
        <v>8259.7503531623588</v>
      </c>
      <c r="J293" s="82">
        <v>18315.94999023719</v>
      </c>
      <c r="K293" s="83">
        <f t="shared" si="4"/>
        <v>8425</v>
      </c>
    </row>
    <row r="294" spans="5:11">
      <c r="E294" s="79">
        <v>287</v>
      </c>
      <c r="F294" s="85" t="s">
        <v>381</v>
      </c>
      <c r="G294" s="89" t="s">
        <v>385</v>
      </c>
      <c r="H294" s="82">
        <v>8304.3030583362943</v>
      </c>
      <c r="I294" s="82">
        <v>7259.5507727531585</v>
      </c>
      <c r="J294" s="82">
        <v>15563.853831084401</v>
      </c>
      <c r="K294" s="83">
        <f t="shared" si="4"/>
        <v>7159</v>
      </c>
    </row>
    <row r="295" spans="5:11">
      <c r="E295" s="79">
        <v>288</v>
      </c>
      <c r="F295" s="85" t="s">
        <v>381</v>
      </c>
      <c r="G295" s="89" t="s">
        <v>386</v>
      </c>
      <c r="H295" s="82">
        <v>9690.4630249008369</v>
      </c>
      <c r="I295" s="82">
        <v>8308.8845547348119</v>
      </c>
      <c r="J295" s="82">
        <v>17999.347579632693</v>
      </c>
      <c r="K295" s="83">
        <f t="shared" si="4"/>
        <v>8280</v>
      </c>
    </row>
    <row r="296" spans="5:11">
      <c r="E296" s="79">
        <v>289</v>
      </c>
      <c r="F296" s="85" t="s">
        <v>381</v>
      </c>
      <c r="G296" s="89" t="s">
        <v>387</v>
      </c>
      <c r="H296" s="82">
        <v>32457.432453598867</v>
      </c>
      <c r="I296" s="82">
        <v>27301.319070345933</v>
      </c>
      <c r="J296" s="82">
        <v>59758.751523967119</v>
      </c>
      <c r="K296" s="83">
        <f t="shared" si="4"/>
        <v>27489</v>
      </c>
    </row>
    <row r="297" spans="5:11">
      <c r="E297" s="79">
        <v>290</v>
      </c>
      <c r="F297" s="85" t="s">
        <v>381</v>
      </c>
      <c r="G297" s="89" t="s">
        <v>388</v>
      </c>
      <c r="H297" s="82">
        <v>7505.9569593403712</v>
      </c>
      <c r="I297" s="82">
        <v>5315.9328130942486</v>
      </c>
      <c r="J297" s="82">
        <v>12821.88977243041</v>
      </c>
      <c r="K297" s="83">
        <f t="shared" si="4"/>
        <v>5898</v>
      </c>
    </row>
    <row r="298" spans="5:11">
      <c r="E298" s="79">
        <v>291</v>
      </c>
      <c r="F298" s="85" t="s">
        <v>381</v>
      </c>
      <c r="G298" s="89" t="s">
        <v>389</v>
      </c>
      <c r="H298" s="82">
        <v>29143.437454198618</v>
      </c>
      <c r="I298" s="82">
        <v>23720.890319613412</v>
      </c>
      <c r="J298" s="82">
        <v>52864.327773834353</v>
      </c>
      <c r="K298" s="83">
        <f t="shared" si="4"/>
        <v>24318</v>
      </c>
    </row>
    <row r="299" spans="5:11">
      <c r="E299" s="79">
        <v>292</v>
      </c>
      <c r="F299" s="85" t="s">
        <v>390</v>
      </c>
      <c r="G299" s="89" t="s">
        <v>391</v>
      </c>
      <c r="H299" s="82">
        <v>15890.726329847019</v>
      </c>
      <c r="I299" s="82">
        <v>14110.092420580515</v>
      </c>
      <c r="J299" s="82">
        <v>30000.818750444036</v>
      </c>
      <c r="K299" s="83">
        <f t="shared" si="4"/>
        <v>13800</v>
      </c>
    </row>
    <row r="300" spans="5:11">
      <c r="E300" s="79">
        <v>293</v>
      </c>
      <c r="F300" s="85" t="s">
        <v>390</v>
      </c>
      <c r="G300" s="89" t="s">
        <v>390</v>
      </c>
      <c r="H300" s="82">
        <v>118759.38884148751</v>
      </c>
      <c r="I300" s="82">
        <v>102193.38574004389</v>
      </c>
      <c r="J300" s="82">
        <v>220952.77458062008</v>
      </c>
      <c r="K300" s="83">
        <f t="shared" si="4"/>
        <v>101638</v>
      </c>
    </row>
    <row r="301" spans="5:11">
      <c r="E301" s="79">
        <v>294</v>
      </c>
      <c r="F301" s="85" t="s">
        <v>390</v>
      </c>
      <c r="G301" s="89" t="s">
        <v>392</v>
      </c>
      <c r="H301" s="82">
        <v>33578.439443439602</v>
      </c>
      <c r="I301" s="82">
        <v>27254.628762321488</v>
      </c>
      <c r="J301" s="82">
        <v>60833.068205783959</v>
      </c>
      <c r="K301" s="83">
        <f t="shared" si="4"/>
        <v>27983</v>
      </c>
    </row>
    <row r="302" spans="5:11">
      <c r="E302" s="79">
        <v>295</v>
      </c>
      <c r="F302" s="85" t="s">
        <v>390</v>
      </c>
      <c r="G302" s="89" t="s">
        <v>393</v>
      </c>
      <c r="H302" s="82">
        <v>28319.046827488313</v>
      </c>
      <c r="I302" s="82">
        <v>24370.035327960646</v>
      </c>
      <c r="J302" s="82">
        <v>52689.08215547142</v>
      </c>
      <c r="K302" s="83">
        <f t="shared" si="4"/>
        <v>24237</v>
      </c>
    </row>
    <row r="303" spans="5:11">
      <c r="E303" s="79">
        <v>296</v>
      </c>
      <c r="F303" s="85" t="s">
        <v>390</v>
      </c>
      <c r="G303" s="89" t="s">
        <v>394</v>
      </c>
      <c r="H303" s="82">
        <v>30703.375741159125</v>
      </c>
      <c r="I303" s="82">
        <v>25731.578474735332</v>
      </c>
      <c r="J303" s="82">
        <v>56434.954215916739</v>
      </c>
      <c r="K303" s="83">
        <f t="shared" si="4"/>
        <v>25960</v>
      </c>
    </row>
    <row r="304" spans="5:11">
      <c r="E304" s="79">
        <v>297</v>
      </c>
      <c r="F304" s="85" t="s">
        <v>395</v>
      </c>
      <c r="G304" s="89" t="s">
        <v>395</v>
      </c>
      <c r="H304" s="82">
        <v>14416.291608656478</v>
      </c>
      <c r="I304" s="82">
        <v>12935.832315833652</v>
      </c>
      <c r="J304" s="82">
        <v>27352.12392450064</v>
      </c>
      <c r="K304" s="83">
        <f t="shared" si="4"/>
        <v>12582</v>
      </c>
    </row>
    <row r="305" spans="5:11">
      <c r="E305" s="79">
        <v>298</v>
      </c>
      <c r="F305" s="85" t="s">
        <v>395</v>
      </c>
      <c r="G305" s="89" t="s">
        <v>396</v>
      </c>
      <c r="H305" s="82">
        <v>5558.3819592642449</v>
      </c>
      <c r="I305" s="82">
        <v>4649.3435730922129</v>
      </c>
      <c r="J305" s="82">
        <v>10207.725532354501</v>
      </c>
      <c r="K305" s="83">
        <f t="shared" si="4"/>
        <v>4696</v>
      </c>
    </row>
    <row r="306" spans="5:11">
      <c r="E306" s="79">
        <v>299</v>
      </c>
      <c r="F306" s="85" t="s">
        <v>395</v>
      </c>
      <c r="G306" s="89" t="s">
        <v>397</v>
      </c>
      <c r="H306" s="82">
        <v>6481.6324770843112</v>
      </c>
      <c r="I306" s="82">
        <v>5409.9682960612581</v>
      </c>
      <c r="J306" s="82">
        <v>11891.600773142187</v>
      </c>
      <c r="K306" s="83">
        <f t="shared" si="4"/>
        <v>5470</v>
      </c>
    </row>
    <row r="307" spans="5:11">
      <c r="E307" s="79">
        <v>300</v>
      </c>
      <c r="F307" s="85" t="s">
        <v>395</v>
      </c>
      <c r="G307" s="89" t="s">
        <v>398</v>
      </c>
      <c r="H307" s="82">
        <v>19191.728664288697</v>
      </c>
      <c r="I307" s="82">
        <v>16444.509330474939</v>
      </c>
      <c r="J307" s="82">
        <v>35636.237994785944</v>
      </c>
      <c r="K307" s="83">
        <f t="shared" si="4"/>
        <v>16393</v>
      </c>
    </row>
    <row r="308" spans="5:11">
      <c r="E308" s="79">
        <v>301</v>
      </c>
      <c r="F308" s="85" t="s">
        <v>395</v>
      </c>
      <c r="G308" s="89" t="s">
        <v>399</v>
      </c>
      <c r="H308" s="82">
        <v>4976.8826061122263</v>
      </c>
      <c r="I308" s="82">
        <v>4545.4744208881993</v>
      </c>
      <c r="J308" s="82">
        <v>9522.3570269993706</v>
      </c>
      <c r="K308" s="83">
        <f t="shared" si="4"/>
        <v>4380</v>
      </c>
    </row>
    <row r="309" spans="5:11">
      <c r="E309" s="79">
        <v>302</v>
      </c>
      <c r="F309" s="93" t="s">
        <v>400</v>
      </c>
      <c r="G309" s="89" t="s">
        <v>400</v>
      </c>
      <c r="H309" s="82">
        <v>26432.533923296902</v>
      </c>
      <c r="I309" s="82">
        <v>22614.846456902884</v>
      </c>
      <c r="J309" s="82">
        <v>49047.380380226299</v>
      </c>
      <c r="K309" s="83">
        <f t="shared" si="4"/>
        <v>22562</v>
      </c>
    </row>
    <row r="310" spans="5:11">
      <c r="E310" s="79">
        <v>303</v>
      </c>
      <c r="F310" s="93" t="s">
        <v>400</v>
      </c>
      <c r="G310" s="89" t="s">
        <v>401</v>
      </c>
      <c r="H310" s="82">
        <v>7021.8144898032515</v>
      </c>
      <c r="I310" s="82">
        <v>5931.4403765502639</v>
      </c>
      <c r="J310" s="82">
        <v>12953.25486634902</v>
      </c>
      <c r="K310" s="83">
        <f t="shared" si="4"/>
        <v>5958</v>
      </c>
    </row>
    <row r="311" spans="5:11">
      <c r="E311" s="79">
        <v>304</v>
      </c>
      <c r="F311" s="93" t="s">
        <v>400</v>
      </c>
      <c r="G311" s="89" t="s">
        <v>402</v>
      </c>
      <c r="H311" s="82">
        <v>33481.675370845616</v>
      </c>
      <c r="I311" s="82">
        <v>28304.400196080816</v>
      </c>
      <c r="J311" s="82">
        <v>61786.075566947657</v>
      </c>
      <c r="K311" s="83">
        <f t="shared" si="4"/>
        <v>28422</v>
      </c>
    </row>
    <row r="312" spans="5:11">
      <c r="E312" s="79">
        <v>305</v>
      </c>
      <c r="F312" s="93" t="s">
        <v>400</v>
      </c>
      <c r="G312" s="89" t="s">
        <v>403</v>
      </c>
      <c r="H312" s="82">
        <v>11435.902106109821</v>
      </c>
      <c r="I312" s="82">
        <v>9499.9478048083784</v>
      </c>
      <c r="J312" s="82">
        <v>20935.849910918711</v>
      </c>
      <c r="K312" s="83">
        <f t="shared" si="4"/>
        <v>9630</v>
      </c>
    </row>
    <row r="313" spans="5:11">
      <c r="E313" s="79">
        <v>306</v>
      </c>
      <c r="F313" s="85" t="s">
        <v>404</v>
      </c>
      <c r="G313" s="89" t="s">
        <v>405</v>
      </c>
      <c r="H313" s="82">
        <v>44246.358413151684</v>
      </c>
      <c r="I313" s="82">
        <v>40227.517894156903</v>
      </c>
      <c r="J313" s="82">
        <v>84473.876307330895</v>
      </c>
      <c r="K313" s="83">
        <f t="shared" si="4"/>
        <v>38858</v>
      </c>
    </row>
    <row r="314" spans="5:11">
      <c r="E314" s="79">
        <v>307</v>
      </c>
      <c r="F314" s="85" t="s">
        <v>404</v>
      </c>
      <c r="G314" s="89" t="s">
        <v>404</v>
      </c>
      <c r="H314" s="82">
        <v>217633.02177869016</v>
      </c>
      <c r="I314" s="82">
        <v>204246.19799552919</v>
      </c>
      <c r="J314" s="82">
        <v>421879.21977214364</v>
      </c>
      <c r="K314" s="83">
        <f t="shared" si="4"/>
        <v>194064</v>
      </c>
    </row>
    <row r="315" spans="5:11">
      <c r="E315" s="79">
        <v>308</v>
      </c>
      <c r="F315" s="85" t="s">
        <v>404</v>
      </c>
      <c r="G315" s="89" t="s">
        <v>406</v>
      </c>
      <c r="H315" s="82">
        <v>33290.070351414681</v>
      </c>
      <c r="I315" s="82">
        <v>28766.37646653338</v>
      </c>
      <c r="J315" s="82">
        <v>62056.446817970471</v>
      </c>
      <c r="K315" s="83">
        <f t="shared" si="4"/>
        <v>28546</v>
      </c>
    </row>
    <row r="316" spans="5:11">
      <c r="E316" s="79">
        <v>309</v>
      </c>
      <c r="F316" s="85" t="s">
        <v>404</v>
      </c>
      <c r="G316" s="89" t="s">
        <v>407</v>
      </c>
      <c r="H316" s="82">
        <v>35755.715571371409</v>
      </c>
      <c r="I316" s="82">
        <v>33263.870526731043</v>
      </c>
      <c r="J316" s="82">
        <v>69019.586098124579</v>
      </c>
      <c r="K316" s="83">
        <f t="shared" si="4"/>
        <v>31749</v>
      </c>
    </row>
    <row r="317" spans="5:11">
      <c r="E317" s="79">
        <v>310</v>
      </c>
      <c r="F317" s="85" t="s">
        <v>404</v>
      </c>
      <c r="G317" s="89" t="s">
        <v>408</v>
      </c>
      <c r="H317" s="82">
        <v>22880.173918953551</v>
      </c>
      <c r="I317" s="82">
        <v>21730.639417867427</v>
      </c>
      <c r="J317" s="82">
        <v>44610.813336843778</v>
      </c>
      <c r="K317" s="83">
        <f t="shared" si="4"/>
        <v>20521</v>
      </c>
    </row>
    <row r="318" spans="5:11">
      <c r="E318" s="79">
        <v>311</v>
      </c>
      <c r="F318" s="85" t="s">
        <v>404</v>
      </c>
      <c r="G318" s="89" t="s">
        <v>409</v>
      </c>
      <c r="H318" s="82">
        <v>12360.10618360395</v>
      </c>
      <c r="I318" s="82">
        <v>10977.453462966945</v>
      </c>
      <c r="J318" s="82">
        <v>23337.559646576981</v>
      </c>
      <c r="K318" s="83">
        <f t="shared" si="4"/>
        <v>10735</v>
      </c>
    </row>
    <row r="319" spans="5:11">
      <c r="E319" s="79">
        <v>312</v>
      </c>
      <c r="F319" s="85" t="s">
        <v>410</v>
      </c>
      <c r="G319" s="89" t="s">
        <v>411</v>
      </c>
      <c r="H319" s="82">
        <v>13841.53387490278</v>
      </c>
      <c r="I319" s="82">
        <v>12494.233516759836</v>
      </c>
      <c r="J319" s="82">
        <v>26335.767391673122</v>
      </c>
      <c r="K319" s="83">
        <f t="shared" si="4"/>
        <v>12114</v>
      </c>
    </row>
    <row r="320" spans="5:11">
      <c r="E320" s="79">
        <v>313</v>
      </c>
      <c r="F320" s="85" t="s">
        <v>410</v>
      </c>
      <c r="G320" s="89" t="s">
        <v>412</v>
      </c>
      <c r="H320" s="82">
        <v>29772.410972052556</v>
      </c>
      <c r="I320" s="82">
        <v>26708.7637552618</v>
      </c>
      <c r="J320" s="82">
        <v>56481.174727336729</v>
      </c>
      <c r="K320" s="83">
        <f t="shared" si="4"/>
        <v>25981</v>
      </c>
    </row>
    <row r="321" spans="5:11">
      <c r="E321" s="79">
        <v>314</v>
      </c>
      <c r="F321" s="85" t="s">
        <v>410</v>
      </c>
      <c r="G321" s="89" t="s">
        <v>410</v>
      </c>
      <c r="H321" s="82">
        <v>67600.287991931516</v>
      </c>
      <c r="I321" s="82">
        <v>58651.383305050273</v>
      </c>
      <c r="J321" s="82">
        <v>126251.67129703383</v>
      </c>
      <c r="K321" s="83">
        <f t="shared" si="4"/>
        <v>58076</v>
      </c>
    </row>
    <row r="322" spans="5:11">
      <c r="E322" s="79">
        <v>315</v>
      </c>
      <c r="F322" s="85" t="s">
        <v>410</v>
      </c>
      <c r="G322" s="89" t="s">
        <v>413</v>
      </c>
      <c r="H322" s="82">
        <v>12061.643682184178</v>
      </c>
      <c r="I322" s="82">
        <v>10881.459600058166</v>
      </c>
      <c r="J322" s="82">
        <v>22943.103282246404</v>
      </c>
      <c r="K322" s="83">
        <f t="shared" si="4"/>
        <v>10554</v>
      </c>
    </row>
    <row r="323" spans="5:11">
      <c r="E323" s="79">
        <v>316</v>
      </c>
      <c r="F323" s="85" t="s">
        <v>410</v>
      </c>
      <c r="G323" s="89" t="s">
        <v>414</v>
      </c>
      <c r="H323" s="82">
        <v>24269.557277531618</v>
      </c>
      <c r="I323" s="82">
        <v>20257.50370224506</v>
      </c>
      <c r="J323" s="82">
        <v>44527.060979798509</v>
      </c>
      <c r="K323" s="83">
        <f t="shared" si="4"/>
        <v>20482</v>
      </c>
    </row>
    <row r="324" spans="5:11">
      <c r="E324" s="79">
        <v>317</v>
      </c>
      <c r="F324" s="85" t="s">
        <v>410</v>
      </c>
      <c r="G324" s="89" t="s">
        <v>415</v>
      </c>
      <c r="H324" s="82">
        <v>54046.951302966489</v>
      </c>
      <c r="I324" s="82">
        <v>46038.441351941627</v>
      </c>
      <c r="J324" s="82">
        <v>100085.39265490892</v>
      </c>
      <c r="K324" s="83">
        <f t="shared" si="4"/>
        <v>46039</v>
      </c>
    </row>
    <row r="325" spans="5:11">
      <c r="E325" s="79">
        <v>318</v>
      </c>
      <c r="F325" s="85" t="s">
        <v>410</v>
      </c>
      <c r="G325" s="89" t="s">
        <v>416</v>
      </c>
      <c r="H325" s="82">
        <v>17863.374891573101</v>
      </c>
      <c r="I325" s="82">
        <v>16140.575552008064</v>
      </c>
      <c r="J325" s="82">
        <v>34003.950443601563</v>
      </c>
      <c r="K325" s="83">
        <f t="shared" si="4"/>
        <v>15642</v>
      </c>
    </row>
    <row r="326" spans="5:11">
      <c r="E326" s="79">
        <v>319</v>
      </c>
      <c r="F326" s="85" t="s">
        <v>417</v>
      </c>
      <c r="G326" s="89" t="s">
        <v>418</v>
      </c>
      <c r="H326" s="82">
        <v>35891.284974637791</v>
      </c>
      <c r="I326" s="82">
        <v>31156.632670153289</v>
      </c>
      <c r="J326" s="82">
        <v>67047.917644813395</v>
      </c>
      <c r="K326" s="83">
        <f t="shared" si="4"/>
        <v>30842</v>
      </c>
    </row>
    <row r="327" spans="5:11">
      <c r="E327" s="79">
        <v>320</v>
      </c>
      <c r="F327" s="85" t="s">
        <v>417</v>
      </c>
      <c r="G327" s="89" t="s">
        <v>419</v>
      </c>
      <c r="H327" s="82">
        <v>19300.432070582381</v>
      </c>
      <c r="I327" s="82">
        <v>17445.362314132784</v>
      </c>
      <c r="J327" s="82">
        <v>36745.794384736189</v>
      </c>
      <c r="K327" s="83">
        <f t="shared" si="4"/>
        <v>16903</v>
      </c>
    </row>
    <row r="328" spans="5:11">
      <c r="E328" s="79">
        <v>321</v>
      </c>
      <c r="F328" s="85" t="s">
        <v>417</v>
      </c>
      <c r="G328" s="89" t="s">
        <v>420</v>
      </c>
      <c r="H328" s="82">
        <v>57958.899714976957</v>
      </c>
      <c r="I328" s="82">
        <v>48653.255404409152</v>
      </c>
      <c r="J328" s="82">
        <v>106612.15511940853</v>
      </c>
      <c r="K328" s="83">
        <f t="shared" ref="K328:K391" si="5">ROUND($D$4*J328,0)</f>
        <v>49042</v>
      </c>
    </row>
    <row r="329" spans="5:11">
      <c r="E329" s="79">
        <v>322</v>
      </c>
      <c r="F329" s="85" t="s">
        <v>417</v>
      </c>
      <c r="G329" s="89" t="s">
        <v>421</v>
      </c>
      <c r="H329" s="82">
        <v>13370.200276911821</v>
      </c>
      <c r="I329" s="82">
        <v>11598.142475053191</v>
      </c>
      <c r="J329" s="82">
        <v>24968.342751974043</v>
      </c>
      <c r="K329" s="83">
        <f t="shared" si="5"/>
        <v>11485</v>
      </c>
    </row>
    <row r="330" spans="5:11">
      <c r="E330" s="79">
        <v>323</v>
      </c>
      <c r="F330" s="85" t="s">
        <v>417</v>
      </c>
      <c r="G330" s="89" t="s">
        <v>422</v>
      </c>
      <c r="H330" s="82">
        <v>58512.020578840245</v>
      </c>
      <c r="I330" s="82">
        <v>50739.982398779197</v>
      </c>
      <c r="J330" s="82">
        <v>109252.0029776416</v>
      </c>
      <c r="K330" s="83">
        <f t="shared" si="5"/>
        <v>50256</v>
      </c>
    </row>
    <row r="331" spans="5:11">
      <c r="E331" s="79">
        <v>324</v>
      </c>
      <c r="F331" s="85" t="s">
        <v>417</v>
      </c>
      <c r="G331" s="89" t="s">
        <v>417</v>
      </c>
      <c r="H331" s="82">
        <v>70170.295172935294</v>
      </c>
      <c r="I331" s="82">
        <v>62357.702376408401</v>
      </c>
      <c r="J331" s="82">
        <v>132527.99754930002</v>
      </c>
      <c r="K331" s="83">
        <f t="shared" si="5"/>
        <v>60963</v>
      </c>
    </row>
    <row r="332" spans="5:11">
      <c r="E332" s="79">
        <v>325</v>
      </c>
      <c r="F332" s="85" t="s">
        <v>423</v>
      </c>
      <c r="G332" s="89" t="s">
        <v>424</v>
      </c>
      <c r="H332" s="82">
        <v>10090.743032619408</v>
      </c>
      <c r="I332" s="82">
        <v>8092.0271540250897</v>
      </c>
      <c r="J332" s="82">
        <v>18182.770186641377</v>
      </c>
      <c r="K332" s="83">
        <f t="shared" si="5"/>
        <v>8364</v>
      </c>
    </row>
    <row r="333" spans="5:11">
      <c r="E333" s="79">
        <v>326</v>
      </c>
      <c r="F333" s="85" t="s">
        <v>423</v>
      </c>
      <c r="G333" s="89" t="s">
        <v>425</v>
      </c>
      <c r="H333" s="82">
        <v>14151.228657050489</v>
      </c>
      <c r="I333" s="82">
        <v>12353.356717770779</v>
      </c>
      <c r="J333" s="82">
        <v>26504.585374832772</v>
      </c>
      <c r="K333" s="83">
        <f t="shared" si="5"/>
        <v>12192</v>
      </c>
    </row>
    <row r="334" spans="5:11">
      <c r="E334" s="79">
        <v>327</v>
      </c>
      <c r="F334" s="85" t="s">
        <v>423</v>
      </c>
      <c r="G334" s="89" t="s">
        <v>426</v>
      </c>
      <c r="H334" s="82">
        <v>22065.145972655519</v>
      </c>
      <c r="I334" s="82">
        <v>19866.106461465428</v>
      </c>
      <c r="J334" s="82">
        <v>41931.252434143513</v>
      </c>
      <c r="K334" s="83">
        <f t="shared" si="5"/>
        <v>19288</v>
      </c>
    </row>
    <row r="335" spans="5:11">
      <c r="E335" s="79">
        <v>328</v>
      </c>
      <c r="F335" s="85" t="s">
        <v>423</v>
      </c>
      <c r="G335" s="89" t="s">
        <v>423</v>
      </c>
      <c r="H335" s="82">
        <v>33290.121294571116</v>
      </c>
      <c r="I335" s="82">
        <v>26628.330665295656</v>
      </c>
      <c r="J335" s="82">
        <v>59918.451959892867</v>
      </c>
      <c r="K335" s="83">
        <f t="shared" si="5"/>
        <v>27562</v>
      </c>
    </row>
    <row r="336" spans="5:11">
      <c r="E336" s="79">
        <v>329</v>
      </c>
      <c r="F336" s="89" t="s">
        <v>427</v>
      </c>
      <c r="G336" s="89" t="s">
        <v>427</v>
      </c>
      <c r="H336" s="82">
        <v>62522.170289352784</v>
      </c>
      <c r="I336" s="82">
        <v>54349.207439756799</v>
      </c>
      <c r="J336" s="82">
        <v>116871.37772922149</v>
      </c>
      <c r="K336" s="83">
        <f t="shared" si="5"/>
        <v>53761</v>
      </c>
    </row>
    <row r="337" spans="5:11">
      <c r="E337" s="79">
        <v>330</v>
      </c>
      <c r="F337" s="89" t="s">
        <v>427</v>
      </c>
      <c r="G337" s="89" t="s">
        <v>428</v>
      </c>
      <c r="H337" s="82">
        <v>26752.42471258892</v>
      </c>
      <c r="I337" s="82">
        <v>23772.90606265112</v>
      </c>
      <c r="J337" s="82">
        <v>50525.330775262497</v>
      </c>
      <c r="K337" s="83">
        <f t="shared" si="5"/>
        <v>23242</v>
      </c>
    </row>
    <row r="338" spans="5:11">
      <c r="E338" s="79">
        <v>331</v>
      </c>
      <c r="F338" s="85" t="s">
        <v>429</v>
      </c>
      <c r="G338" s="89" t="s">
        <v>430</v>
      </c>
      <c r="H338" s="82">
        <v>14277.694962349264</v>
      </c>
      <c r="I338" s="82">
        <v>10198.708319797657</v>
      </c>
      <c r="J338" s="82">
        <v>24476.403282153969</v>
      </c>
      <c r="K338" s="83">
        <f t="shared" si="5"/>
        <v>11259</v>
      </c>
    </row>
    <row r="339" spans="5:11">
      <c r="E339" s="79">
        <v>332</v>
      </c>
      <c r="F339" s="85" t="s">
        <v>429</v>
      </c>
      <c r="G339" s="89" t="s">
        <v>429</v>
      </c>
      <c r="H339" s="82">
        <v>114523.73966319722</v>
      </c>
      <c r="I339" s="82">
        <v>99443.126299395924</v>
      </c>
      <c r="J339" s="82">
        <v>213966.86596164695</v>
      </c>
      <c r="K339" s="83">
        <f t="shared" si="5"/>
        <v>98425</v>
      </c>
    </row>
    <row r="340" spans="5:11">
      <c r="E340" s="79">
        <v>333</v>
      </c>
      <c r="F340" s="85" t="s">
        <v>429</v>
      </c>
      <c r="G340" s="89" t="s">
        <v>431</v>
      </c>
      <c r="H340" s="82">
        <v>10344.443498858722</v>
      </c>
      <c r="I340" s="82">
        <v>9681.0439125872381</v>
      </c>
      <c r="J340" s="82">
        <v>20025.487411444523</v>
      </c>
      <c r="K340" s="83">
        <f t="shared" si="5"/>
        <v>9212</v>
      </c>
    </row>
    <row r="341" spans="5:11">
      <c r="E341" s="79">
        <v>334</v>
      </c>
      <c r="F341" s="85" t="s">
        <v>429</v>
      </c>
      <c r="G341" s="89" t="s">
        <v>432</v>
      </c>
      <c r="H341" s="82">
        <v>10670.123283422259</v>
      </c>
      <c r="I341" s="82">
        <v>8927.1699806956967</v>
      </c>
      <c r="J341" s="82">
        <v>19597.293264116382</v>
      </c>
      <c r="K341" s="83">
        <f t="shared" si="5"/>
        <v>9015</v>
      </c>
    </row>
    <row r="342" spans="5:11">
      <c r="E342" s="79">
        <v>335</v>
      </c>
      <c r="F342" s="85" t="s">
        <v>429</v>
      </c>
      <c r="G342" s="89" t="s">
        <v>433</v>
      </c>
      <c r="H342" s="82">
        <v>12040.935968273354</v>
      </c>
      <c r="I342" s="82">
        <v>10197.696981314832</v>
      </c>
      <c r="J342" s="82">
        <v>22238.632949590952</v>
      </c>
      <c r="K342" s="83">
        <f t="shared" si="5"/>
        <v>10230</v>
      </c>
    </row>
    <row r="343" spans="5:11">
      <c r="E343" s="79">
        <v>336</v>
      </c>
      <c r="F343" s="94" t="s">
        <v>434</v>
      </c>
      <c r="G343" s="89" t="s">
        <v>434</v>
      </c>
      <c r="H343" s="82">
        <v>24850.193359444682</v>
      </c>
      <c r="I343" s="82">
        <v>21619.520953499079</v>
      </c>
      <c r="J343" s="82">
        <v>46469.714312970318</v>
      </c>
      <c r="K343" s="83">
        <f t="shared" si="5"/>
        <v>21376</v>
      </c>
    </row>
    <row r="344" spans="5:11">
      <c r="E344" s="79">
        <v>337</v>
      </c>
      <c r="F344" s="94" t="s">
        <v>434</v>
      </c>
      <c r="G344" s="89" t="s">
        <v>435</v>
      </c>
      <c r="H344" s="82">
        <v>4285.1907072011736</v>
      </c>
      <c r="I344" s="82">
        <v>4120.5303805771664</v>
      </c>
      <c r="J344" s="82">
        <v>8405.7210877779908</v>
      </c>
      <c r="K344" s="83">
        <f t="shared" si="5"/>
        <v>3867</v>
      </c>
    </row>
    <row r="345" spans="5:11">
      <c r="E345" s="79">
        <v>338</v>
      </c>
      <c r="F345" s="94" t="s">
        <v>434</v>
      </c>
      <c r="G345" s="89" t="s">
        <v>436</v>
      </c>
      <c r="H345" s="82">
        <v>14967.491943659297</v>
      </c>
      <c r="I345" s="82">
        <v>13527.062575242346</v>
      </c>
      <c r="J345" s="82">
        <v>28494.554518914039</v>
      </c>
      <c r="K345" s="83">
        <f t="shared" si="5"/>
        <v>13107</v>
      </c>
    </row>
    <row r="346" spans="5:11">
      <c r="E346" s="79">
        <v>339</v>
      </c>
      <c r="F346" s="85" t="s">
        <v>437</v>
      </c>
      <c r="G346" s="89" t="s">
        <v>438</v>
      </c>
      <c r="H346" s="82">
        <v>15939.153078853327</v>
      </c>
      <c r="I346" s="82">
        <v>14622.685120635399</v>
      </c>
      <c r="J346" s="82">
        <v>30561.83819950555</v>
      </c>
      <c r="K346" s="83">
        <f t="shared" si="5"/>
        <v>14058</v>
      </c>
    </row>
    <row r="347" spans="5:11">
      <c r="E347" s="79">
        <v>340</v>
      </c>
      <c r="F347" s="85" t="s">
        <v>437</v>
      </c>
      <c r="G347" s="89" t="s">
        <v>439</v>
      </c>
      <c r="H347" s="82">
        <v>29411.848553584699</v>
      </c>
      <c r="I347" s="82">
        <v>26015.288610388354</v>
      </c>
      <c r="J347" s="82">
        <v>55427.137163996042</v>
      </c>
      <c r="K347" s="83">
        <f t="shared" si="5"/>
        <v>25496</v>
      </c>
    </row>
    <row r="348" spans="5:11">
      <c r="E348" s="79">
        <v>341</v>
      </c>
      <c r="F348" s="85" t="s">
        <v>437</v>
      </c>
      <c r="G348" s="89" t="s">
        <v>440</v>
      </c>
      <c r="H348" s="82">
        <v>12033.894014798916</v>
      </c>
      <c r="I348" s="82">
        <v>9993.6075209144201</v>
      </c>
      <c r="J348" s="82">
        <v>22027.501535717329</v>
      </c>
      <c r="K348" s="83">
        <f t="shared" si="5"/>
        <v>10133</v>
      </c>
    </row>
    <row r="349" spans="5:11">
      <c r="E349" s="79">
        <v>342</v>
      </c>
      <c r="F349" s="85" t="s">
        <v>437</v>
      </c>
      <c r="G349" s="89" t="s">
        <v>437</v>
      </c>
      <c r="H349" s="82">
        <v>70669.278295603886</v>
      </c>
      <c r="I349" s="82">
        <v>66540.731209943187</v>
      </c>
      <c r="J349" s="82">
        <v>137210.00950554517</v>
      </c>
      <c r="K349" s="83">
        <f t="shared" si="5"/>
        <v>63117</v>
      </c>
    </row>
    <row r="350" spans="5:11">
      <c r="E350" s="79">
        <v>343</v>
      </c>
      <c r="F350" s="85" t="s">
        <v>441</v>
      </c>
      <c r="G350" s="89" t="s">
        <v>442</v>
      </c>
      <c r="H350" s="82">
        <v>19467.6881119789</v>
      </c>
      <c r="I350" s="82">
        <v>17206.640957535987</v>
      </c>
      <c r="J350" s="82">
        <v>36674.329069537125</v>
      </c>
      <c r="K350" s="83">
        <f t="shared" si="5"/>
        <v>16870</v>
      </c>
    </row>
    <row r="351" spans="5:11">
      <c r="E351" s="79">
        <v>344</v>
      </c>
      <c r="F351" s="85" t="s">
        <v>441</v>
      </c>
      <c r="G351" s="89" t="s">
        <v>443</v>
      </c>
      <c r="H351" s="82">
        <v>12709.165637397427</v>
      </c>
      <c r="I351" s="82">
        <v>12503.450245777754</v>
      </c>
      <c r="J351" s="82">
        <v>25212.615883183738</v>
      </c>
      <c r="K351" s="83">
        <f t="shared" si="5"/>
        <v>11598</v>
      </c>
    </row>
    <row r="352" spans="5:11">
      <c r="E352" s="79">
        <v>345</v>
      </c>
      <c r="F352" s="85" t="s">
        <v>441</v>
      </c>
      <c r="G352" s="89" t="s">
        <v>444</v>
      </c>
      <c r="H352" s="82">
        <v>24122.463946058022</v>
      </c>
      <c r="I352" s="82">
        <v>20258.998913990461</v>
      </c>
      <c r="J352" s="82">
        <v>44381.462860069376</v>
      </c>
      <c r="K352" s="83">
        <f t="shared" si="5"/>
        <v>20415</v>
      </c>
    </row>
    <row r="353" spans="5:11">
      <c r="E353" s="79">
        <v>346</v>
      </c>
      <c r="F353" s="85" t="s">
        <v>441</v>
      </c>
      <c r="G353" s="89" t="s">
        <v>441</v>
      </c>
      <c r="H353" s="82">
        <v>41887.3713678407</v>
      </c>
      <c r="I353" s="82">
        <v>36725.861961021583</v>
      </c>
      <c r="J353" s="82">
        <v>78613.233328888833</v>
      </c>
      <c r="K353" s="83">
        <f t="shared" si="5"/>
        <v>36162</v>
      </c>
    </row>
    <row r="354" spans="5:11">
      <c r="E354" s="79">
        <v>347</v>
      </c>
      <c r="F354" s="85" t="s">
        <v>445</v>
      </c>
      <c r="G354" s="89" t="s">
        <v>446</v>
      </c>
      <c r="H354" s="82">
        <v>17819.720576605672</v>
      </c>
      <c r="I354" s="82">
        <v>16488.509116828511</v>
      </c>
      <c r="J354" s="82">
        <v>34308.229693456371</v>
      </c>
      <c r="K354" s="83">
        <f t="shared" si="5"/>
        <v>15782</v>
      </c>
    </row>
    <row r="355" spans="5:11">
      <c r="E355" s="79">
        <v>348</v>
      </c>
      <c r="F355" s="85" t="s">
        <v>445</v>
      </c>
      <c r="G355" s="89" t="s">
        <v>445</v>
      </c>
      <c r="H355" s="82">
        <v>24055.729225088344</v>
      </c>
      <c r="I355" s="82">
        <v>23879.211302859334</v>
      </c>
      <c r="J355" s="82">
        <v>47934.940527973144</v>
      </c>
      <c r="K355" s="83">
        <f t="shared" si="5"/>
        <v>22050</v>
      </c>
    </row>
    <row r="356" spans="5:11">
      <c r="E356" s="79">
        <v>349</v>
      </c>
      <c r="F356" s="85" t="s">
        <v>445</v>
      </c>
      <c r="G356" s="89" t="s">
        <v>447</v>
      </c>
      <c r="H356" s="82">
        <v>9954.5710027848199</v>
      </c>
      <c r="I356" s="82">
        <v>9916.9575444778711</v>
      </c>
      <c r="J356" s="82">
        <v>19871.528547261671</v>
      </c>
      <c r="K356" s="83">
        <f t="shared" si="5"/>
        <v>9141</v>
      </c>
    </row>
    <row r="357" spans="5:11">
      <c r="E357" s="79">
        <v>350</v>
      </c>
      <c r="F357" s="85" t="s">
        <v>448</v>
      </c>
      <c r="G357" s="89" t="s">
        <v>449</v>
      </c>
      <c r="H357" s="82">
        <v>4289.3567237061943</v>
      </c>
      <c r="I357" s="82">
        <v>4413.7078659422041</v>
      </c>
      <c r="J357" s="82">
        <v>8703.0645896480128</v>
      </c>
      <c r="K357" s="83">
        <f t="shared" si="5"/>
        <v>4003</v>
      </c>
    </row>
    <row r="358" spans="5:11">
      <c r="E358" s="79">
        <v>351</v>
      </c>
      <c r="F358" s="85" t="s">
        <v>448</v>
      </c>
      <c r="G358" s="89" t="s">
        <v>450</v>
      </c>
      <c r="H358" s="82">
        <v>12488.066487595424</v>
      </c>
      <c r="I358" s="82">
        <v>12059.847888403734</v>
      </c>
      <c r="J358" s="82">
        <v>24547.914376007517</v>
      </c>
      <c r="K358" s="83">
        <f t="shared" si="5"/>
        <v>11292</v>
      </c>
    </row>
    <row r="359" spans="5:11">
      <c r="E359" s="79">
        <v>352</v>
      </c>
      <c r="F359" s="85" t="s">
        <v>448</v>
      </c>
      <c r="G359" s="89" t="s">
        <v>451</v>
      </c>
      <c r="H359" s="82">
        <v>10758.715931536179</v>
      </c>
      <c r="I359" s="82">
        <v>12223.082197336968</v>
      </c>
      <c r="J359" s="82">
        <v>22981.798128877974</v>
      </c>
      <c r="K359" s="83">
        <f t="shared" si="5"/>
        <v>10572</v>
      </c>
    </row>
    <row r="360" spans="5:11">
      <c r="E360" s="79">
        <v>353</v>
      </c>
      <c r="F360" s="85" t="s">
        <v>448</v>
      </c>
      <c r="G360" s="89" t="s">
        <v>452</v>
      </c>
      <c r="H360" s="82">
        <v>17156.231994371166</v>
      </c>
      <c r="I360" s="82">
        <v>14801.357433929748</v>
      </c>
      <c r="J360" s="82">
        <v>31957.589428320094</v>
      </c>
      <c r="K360" s="83">
        <f t="shared" si="5"/>
        <v>14700</v>
      </c>
    </row>
    <row r="361" spans="5:11">
      <c r="E361" s="79">
        <v>354</v>
      </c>
      <c r="F361" s="85" t="s">
        <v>448</v>
      </c>
      <c r="G361" s="89" t="s">
        <v>453</v>
      </c>
      <c r="H361" s="82">
        <v>4465.2828935071748</v>
      </c>
      <c r="I361" s="82">
        <v>4464.821178372169</v>
      </c>
      <c r="J361" s="82">
        <v>8930.104071878357</v>
      </c>
      <c r="K361" s="83">
        <f t="shared" si="5"/>
        <v>4108</v>
      </c>
    </row>
    <row r="362" spans="5:11">
      <c r="E362" s="79">
        <v>355</v>
      </c>
      <c r="F362" s="85" t="s">
        <v>448</v>
      </c>
      <c r="G362" s="89" t="s">
        <v>454</v>
      </c>
      <c r="H362" s="82">
        <v>8105.0694261312428</v>
      </c>
      <c r="I362" s="82">
        <v>8597.7060122718667</v>
      </c>
      <c r="J362" s="82">
        <v>16702.775438396773</v>
      </c>
      <c r="K362" s="83">
        <f t="shared" si="5"/>
        <v>7683</v>
      </c>
    </row>
    <row r="363" spans="5:11">
      <c r="E363" s="79">
        <v>356</v>
      </c>
      <c r="F363" s="85" t="s">
        <v>448</v>
      </c>
      <c r="G363" s="89" t="s">
        <v>455</v>
      </c>
      <c r="H363" s="82">
        <v>8346.8312043312999</v>
      </c>
      <c r="I363" s="82">
        <v>8707.5769388599965</v>
      </c>
      <c r="J363" s="82">
        <v>17054.408143185094</v>
      </c>
      <c r="K363" s="83">
        <f t="shared" si="5"/>
        <v>7845</v>
      </c>
    </row>
    <row r="364" spans="5:11">
      <c r="E364" s="79">
        <v>357</v>
      </c>
      <c r="F364" s="85" t="s">
        <v>448</v>
      </c>
      <c r="G364" s="89" t="s">
        <v>448</v>
      </c>
      <c r="H364" s="82">
        <v>225190.37128849697</v>
      </c>
      <c r="I364" s="82">
        <v>215735.72111176979</v>
      </c>
      <c r="J364" s="82">
        <v>440926.09239719645</v>
      </c>
      <c r="K364" s="83">
        <f t="shared" si="5"/>
        <v>202826</v>
      </c>
    </row>
    <row r="365" spans="5:11">
      <c r="E365" s="79">
        <v>358</v>
      </c>
      <c r="F365" s="85" t="s">
        <v>448</v>
      </c>
      <c r="G365" s="89" t="s">
        <v>456</v>
      </c>
      <c r="H365" s="82">
        <v>12874.921561840478</v>
      </c>
      <c r="I365" s="82">
        <v>14020.229084845627</v>
      </c>
      <c r="J365" s="82">
        <v>26895.150646697151</v>
      </c>
      <c r="K365" s="83">
        <f t="shared" si="5"/>
        <v>12372</v>
      </c>
    </row>
    <row r="366" spans="5:11">
      <c r="E366" s="79">
        <v>359</v>
      </c>
      <c r="F366" s="85" t="s">
        <v>448</v>
      </c>
      <c r="G366" s="89" t="s">
        <v>457</v>
      </c>
      <c r="H366" s="82">
        <v>5086.8851227460909</v>
      </c>
      <c r="I366" s="82">
        <v>5118.9898278041119</v>
      </c>
      <c r="J366" s="82">
        <v>10205.874950548321</v>
      </c>
      <c r="K366" s="83">
        <f t="shared" si="5"/>
        <v>4695</v>
      </c>
    </row>
    <row r="367" spans="5:11">
      <c r="E367" s="79">
        <v>360</v>
      </c>
      <c r="F367" s="85" t="s">
        <v>448</v>
      </c>
      <c r="G367" s="89" t="s">
        <v>458</v>
      </c>
      <c r="H367" s="82">
        <v>14516.077452760823</v>
      </c>
      <c r="I367" s="82">
        <v>16487.812252785487</v>
      </c>
      <c r="J367" s="82">
        <v>31003.889705565554</v>
      </c>
      <c r="K367" s="83">
        <f t="shared" si="5"/>
        <v>14262</v>
      </c>
    </row>
    <row r="368" spans="5:11">
      <c r="E368" s="79">
        <v>361</v>
      </c>
      <c r="F368" s="85" t="s">
        <v>448</v>
      </c>
      <c r="G368" s="89" t="s">
        <v>459</v>
      </c>
      <c r="H368" s="82">
        <v>4599.4898387438689</v>
      </c>
      <c r="I368" s="82">
        <v>4581.3705738038907</v>
      </c>
      <c r="J368" s="82">
        <v>9180.8604125473612</v>
      </c>
      <c r="K368" s="83">
        <f t="shared" si="5"/>
        <v>4223</v>
      </c>
    </row>
    <row r="369" spans="5:11">
      <c r="E369" s="79">
        <v>362</v>
      </c>
      <c r="F369" s="85" t="s">
        <v>448</v>
      </c>
      <c r="G369" s="89" t="s">
        <v>460</v>
      </c>
      <c r="H369" s="82">
        <v>18899.82267648105</v>
      </c>
      <c r="I369" s="82">
        <v>17872.460193978153</v>
      </c>
      <c r="J369" s="82">
        <v>36772.28287048018</v>
      </c>
      <c r="K369" s="83">
        <f t="shared" si="5"/>
        <v>16915</v>
      </c>
    </row>
    <row r="370" spans="5:11">
      <c r="E370" s="79">
        <v>363</v>
      </c>
      <c r="F370" s="85" t="s">
        <v>448</v>
      </c>
      <c r="G370" s="89" t="s">
        <v>461</v>
      </c>
      <c r="H370" s="82">
        <v>14919.00336140352</v>
      </c>
      <c r="I370" s="82">
        <v>14714.432316776665</v>
      </c>
      <c r="J370" s="82">
        <v>29633.435678197271</v>
      </c>
      <c r="K370" s="83">
        <f t="shared" si="5"/>
        <v>13631</v>
      </c>
    </row>
    <row r="371" spans="5:11">
      <c r="E371" s="79">
        <v>364</v>
      </c>
      <c r="F371" s="85" t="s">
        <v>448</v>
      </c>
      <c r="G371" s="89" t="s">
        <v>462</v>
      </c>
      <c r="H371" s="82">
        <v>5447.2962145972651</v>
      </c>
      <c r="I371" s="82">
        <v>5986.6371415832955</v>
      </c>
      <c r="J371" s="82">
        <v>11433.933356177844</v>
      </c>
      <c r="K371" s="83">
        <f t="shared" si="5"/>
        <v>5260</v>
      </c>
    </row>
    <row r="372" spans="5:11">
      <c r="E372" s="79">
        <v>365</v>
      </c>
      <c r="F372" s="85" t="s">
        <v>448</v>
      </c>
      <c r="G372" s="89" t="s">
        <v>463</v>
      </c>
      <c r="H372" s="82">
        <v>10323.03854685451</v>
      </c>
      <c r="I372" s="82">
        <v>11141.039514428792</v>
      </c>
      <c r="J372" s="82">
        <v>21464.078061285203</v>
      </c>
      <c r="K372" s="83">
        <f t="shared" si="5"/>
        <v>9873</v>
      </c>
    </row>
    <row r="373" spans="5:11">
      <c r="E373" s="79">
        <v>366</v>
      </c>
      <c r="F373" s="85" t="s">
        <v>464</v>
      </c>
      <c r="G373" s="89" t="s">
        <v>465</v>
      </c>
      <c r="H373" s="82">
        <v>8267.3522895642582</v>
      </c>
      <c r="I373" s="82">
        <v>8101.6572929393215</v>
      </c>
      <c r="J373" s="82">
        <v>16369.009582496383</v>
      </c>
      <c r="K373" s="83">
        <f t="shared" si="5"/>
        <v>7530</v>
      </c>
    </row>
    <row r="374" spans="5:11">
      <c r="E374" s="79">
        <v>367</v>
      </c>
      <c r="F374" s="85" t="s">
        <v>464</v>
      </c>
      <c r="G374" s="89" t="s">
        <v>466</v>
      </c>
      <c r="H374" s="82">
        <v>6771.0840349019627</v>
      </c>
      <c r="I374" s="82">
        <v>6302.4452474128548</v>
      </c>
      <c r="J374" s="82">
        <v>13073.529282311913</v>
      </c>
      <c r="K374" s="83">
        <f t="shared" si="5"/>
        <v>6014</v>
      </c>
    </row>
    <row r="375" spans="5:11">
      <c r="E375" s="79">
        <v>368</v>
      </c>
      <c r="F375" s="85" t="s">
        <v>464</v>
      </c>
      <c r="G375" s="89" t="s">
        <v>467</v>
      </c>
      <c r="H375" s="82">
        <v>10270.271507339605</v>
      </c>
      <c r="I375" s="82">
        <v>9479.1468534852902</v>
      </c>
      <c r="J375" s="82">
        <v>19749.418360823503</v>
      </c>
      <c r="K375" s="83">
        <f t="shared" si="5"/>
        <v>9085</v>
      </c>
    </row>
    <row r="376" spans="5:11">
      <c r="E376" s="79">
        <v>369</v>
      </c>
      <c r="F376" s="85" t="s">
        <v>464</v>
      </c>
      <c r="G376" s="89" t="s">
        <v>464</v>
      </c>
      <c r="H376" s="82">
        <v>33909.760510159016</v>
      </c>
      <c r="I376" s="82">
        <v>31869.736850763955</v>
      </c>
      <c r="J376" s="82">
        <v>65779.497360949506</v>
      </c>
      <c r="K376" s="83">
        <f t="shared" si="5"/>
        <v>30259</v>
      </c>
    </row>
    <row r="377" spans="5:11">
      <c r="E377" s="79">
        <v>370</v>
      </c>
      <c r="F377" s="85" t="s">
        <v>468</v>
      </c>
      <c r="G377" s="89" t="s">
        <v>469</v>
      </c>
      <c r="H377" s="82">
        <v>2917.3054379301066</v>
      </c>
      <c r="I377" s="82">
        <v>3382.2417491601391</v>
      </c>
      <c r="J377" s="82">
        <v>6299.5471870903057</v>
      </c>
      <c r="K377" s="83">
        <f t="shared" si="5"/>
        <v>2898</v>
      </c>
    </row>
    <row r="378" spans="5:11">
      <c r="E378" s="79">
        <v>371</v>
      </c>
      <c r="F378" s="85" t="s">
        <v>468</v>
      </c>
      <c r="G378" s="89" t="s">
        <v>470</v>
      </c>
      <c r="H378" s="82">
        <v>4835.2799486192198</v>
      </c>
      <c r="I378" s="82">
        <v>5317.9593777772407</v>
      </c>
      <c r="J378" s="82">
        <v>10153.239326394576</v>
      </c>
      <c r="K378" s="83">
        <f t="shared" si="5"/>
        <v>4670</v>
      </c>
    </row>
    <row r="379" spans="5:11">
      <c r="E379" s="79">
        <v>372</v>
      </c>
      <c r="F379" s="85" t="s">
        <v>468</v>
      </c>
      <c r="G379" t="s">
        <v>471</v>
      </c>
      <c r="H379" s="82">
        <v>2983.3675453721239</v>
      </c>
      <c r="I379" s="82">
        <v>3616.3329921781524</v>
      </c>
      <c r="J379" s="82">
        <v>6599.7005375502395</v>
      </c>
      <c r="K379" s="83">
        <f t="shared" si="5"/>
        <v>3036</v>
      </c>
    </row>
    <row r="380" spans="5:11">
      <c r="E380" s="79">
        <v>373</v>
      </c>
      <c r="F380" s="85" t="s">
        <v>468</v>
      </c>
      <c r="G380" s="89" t="s">
        <v>468</v>
      </c>
      <c r="H380" s="82">
        <v>25280.368881620416</v>
      </c>
      <c r="I380" s="82">
        <v>26648.303956808657</v>
      </c>
      <c r="J380" s="82">
        <v>51928.672838455132</v>
      </c>
      <c r="K380" s="83">
        <f t="shared" si="5"/>
        <v>23887</v>
      </c>
    </row>
    <row r="381" spans="5:11">
      <c r="E381" s="79">
        <v>374</v>
      </c>
      <c r="F381" s="85" t="s">
        <v>472</v>
      </c>
      <c r="G381" s="89" t="s">
        <v>472</v>
      </c>
      <c r="H381" s="82">
        <v>81599.848791908502</v>
      </c>
      <c r="I381" s="82">
        <v>78667.194075578504</v>
      </c>
      <c r="J381" s="82">
        <v>160267.04286711197</v>
      </c>
      <c r="K381" s="83">
        <f t="shared" si="5"/>
        <v>73723</v>
      </c>
    </row>
    <row r="382" spans="5:11">
      <c r="E382" s="79">
        <v>375</v>
      </c>
      <c r="F382" s="85" t="s">
        <v>472</v>
      </c>
      <c r="G382" s="89" t="s">
        <v>473</v>
      </c>
      <c r="H382" s="82">
        <v>7456.1369083703994</v>
      </c>
      <c r="I382" s="82">
        <v>7074.9722137083745</v>
      </c>
      <c r="J382" s="82">
        <v>14531.109122073276</v>
      </c>
      <c r="K382" s="83">
        <f t="shared" si="5"/>
        <v>6684</v>
      </c>
    </row>
    <row r="383" spans="5:11">
      <c r="E383" s="79">
        <v>376</v>
      </c>
      <c r="F383" s="85" t="s">
        <v>472</v>
      </c>
      <c r="G383" s="89" t="s">
        <v>474</v>
      </c>
      <c r="H383" s="82">
        <v>7775.0537994624165</v>
      </c>
      <c r="I383" s="82">
        <v>7567.4251759064073</v>
      </c>
      <c r="J383" s="82">
        <v>15342.478975362705</v>
      </c>
      <c r="K383" s="83">
        <f t="shared" si="5"/>
        <v>7058</v>
      </c>
    </row>
    <row r="384" spans="5:11">
      <c r="E384" s="79">
        <v>377</v>
      </c>
      <c r="F384" s="85" t="s">
        <v>475</v>
      </c>
      <c r="G384" s="89" t="s">
        <v>476</v>
      </c>
      <c r="H384" s="82">
        <v>14818.89542099414</v>
      </c>
      <c r="I384" s="82">
        <v>13921.026068987861</v>
      </c>
      <c r="J384" s="82">
        <v>28739.921489995984</v>
      </c>
      <c r="K384" s="83">
        <f t="shared" si="5"/>
        <v>13220</v>
      </c>
    </row>
    <row r="385" spans="5:11">
      <c r="E385" s="79">
        <v>378</v>
      </c>
      <c r="F385" s="85" t="s">
        <v>475</v>
      </c>
      <c r="G385" s="89" t="s">
        <v>475</v>
      </c>
      <c r="H385" s="82">
        <v>17654.839872929166</v>
      </c>
      <c r="I385" s="82">
        <v>15736.583122817352</v>
      </c>
      <c r="J385" s="82">
        <v>33391.422995767643</v>
      </c>
      <c r="K385" s="83">
        <f t="shared" si="5"/>
        <v>15360</v>
      </c>
    </row>
    <row r="386" spans="5:11">
      <c r="E386" s="79">
        <v>379</v>
      </c>
      <c r="F386" s="85" t="s">
        <v>475</v>
      </c>
      <c r="G386" s="89" t="s">
        <v>477</v>
      </c>
      <c r="H386" s="82">
        <v>14486.273882191415</v>
      </c>
      <c r="I386" s="82">
        <v>13953.171121773841</v>
      </c>
      <c r="J386" s="82">
        <v>28439.445003978832</v>
      </c>
      <c r="K386" s="83">
        <f t="shared" si="5"/>
        <v>13082</v>
      </c>
    </row>
    <row r="387" spans="5:11">
      <c r="E387" s="79">
        <v>380</v>
      </c>
      <c r="F387" s="85" t="s">
        <v>475</v>
      </c>
      <c r="G387" s="89" t="s">
        <v>478</v>
      </c>
      <c r="H387" s="82">
        <v>14292.774908677646</v>
      </c>
      <c r="I387" s="82">
        <v>13440.15053944226</v>
      </c>
      <c r="J387" s="82">
        <v>27732.92544813226</v>
      </c>
      <c r="K387" s="83">
        <f t="shared" si="5"/>
        <v>12757</v>
      </c>
    </row>
    <row r="388" spans="5:11">
      <c r="E388" s="79">
        <v>381</v>
      </c>
      <c r="F388" s="85" t="s">
        <v>479</v>
      </c>
      <c r="G388" s="89" t="s">
        <v>480</v>
      </c>
      <c r="H388" s="82">
        <v>44288.200737584259</v>
      </c>
      <c r="I388" s="82">
        <v>41046.291916385802</v>
      </c>
      <c r="J388" s="82">
        <v>85334.492653996655</v>
      </c>
      <c r="K388" s="83">
        <f t="shared" si="5"/>
        <v>39254</v>
      </c>
    </row>
    <row r="389" spans="5:11">
      <c r="E389" s="79">
        <v>382</v>
      </c>
      <c r="F389" s="85" t="s">
        <v>479</v>
      </c>
      <c r="G389" s="89" t="s">
        <v>481</v>
      </c>
      <c r="H389" s="82">
        <v>16837.342557505224</v>
      </c>
      <c r="I389" s="82">
        <v>16720.498979829135</v>
      </c>
      <c r="J389" s="82">
        <v>33557.84153735666</v>
      </c>
      <c r="K389" s="83">
        <f t="shared" si="5"/>
        <v>15437</v>
      </c>
    </row>
    <row r="390" spans="5:11">
      <c r="E390" s="79">
        <v>383</v>
      </c>
      <c r="F390" s="85" t="s">
        <v>479</v>
      </c>
      <c r="G390" s="89" t="s">
        <v>482</v>
      </c>
      <c r="H390" s="82">
        <v>25035.26782325398</v>
      </c>
      <c r="I390" s="82">
        <v>23488.573196097128</v>
      </c>
      <c r="J390" s="82">
        <v>48523.841019373984</v>
      </c>
      <c r="K390" s="83">
        <f t="shared" si="5"/>
        <v>22321</v>
      </c>
    </row>
    <row r="391" spans="5:11">
      <c r="E391" s="79">
        <v>384</v>
      </c>
      <c r="F391" s="85" t="s">
        <v>479</v>
      </c>
      <c r="G391" s="89" t="s">
        <v>479</v>
      </c>
      <c r="H391" s="82">
        <v>42626.203800863972</v>
      </c>
      <c r="I391" s="82">
        <v>40174.372320770955</v>
      </c>
      <c r="J391" s="82">
        <v>82800.576121600447</v>
      </c>
      <c r="K391" s="83">
        <f t="shared" si="5"/>
        <v>38088</v>
      </c>
    </row>
    <row r="392" spans="5:11">
      <c r="E392" s="79">
        <v>385</v>
      </c>
      <c r="F392" s="85" t="s">
        <v>479</v>
      </c>
      <c r="G392" s="89" t="s">
        <v>483</v>
      </c>
      <c r="H392" s="82">
        <v>22166.556885261034</v>
      </c>
      <c r="I392" s="82">
        <v>22256.139121723161</v>
      </c>
      <c r="J392" s="82">
        <v>44422.69600700603</v>
      </c>
      <c r="K392" s="83">
        <f t="shared" ref="K392:K455" si="6">ROUND($D$4*J392,0)</f>
        <v>20434</v>
      </c>
    </row>
    <row r="393" spans="5:11">
      <c r="E393" s="79">
        <v>386</v>
      </c>
      <c r="F393" s="85" t="s">
        <v>484</v>
      </c>
      <c r="G393" s="89" t="s">
        <v>485</v>
      </c>
      <c r="H393" s="82">
        <v>8696</v>
      </c>
      <c r="I393" s="82">
        <v>8019</v>
      </c>
      <c r="J393" s="82">
        <v>16715</v>
      </c>
      <c r="K393" s="83">
        <f t="shared" si="6"/>
        <v>7689</v>
      </c>
    </row>
    <row r="394" spans="5:11">
      <c r="E394" s="79">
        <v>387</v>
      </c>
      <c r="F394" s="85" t="s">
        <v>484</v>
      </c>
      <c r="G394" s="89" t="s">
        <v>484</v>
      </c>
      <c r="H394" s="82">
        <v>47877.093880259104</v>
      </c>
      <c r="I394" s="82">
        <v>44915.288636974903</v>
      </c>
      <c r="J394" s="82">
        <v>92792.382517196194</v>
      </c>
      <c r="K394" s="83">
        <f t="shared" si="6"/>
        <v>42684</v>
      </c>
    </row>
    <row r="395" spans="5:11">
      <c r="E395" s="79">
        <v>388</v>
      </c>
      <c r="F395" s="85" t="s">
        <v>484</v>
      </c>
      <c r="G395" s="89" t="s">
        <v>486</v>
      </c>
      <c r="H395" s="82">
        <v>13262.067247057086</v>
      </c>
      <c r="I395" s="82">
        <v>11953.548594970309</v>
      </c>
      <c r="J395" s="82">
        <v>25215.61584203563</v>
      </c>
      <c r="K395" s="83">
        <f t="shared" si="6"/>
        <v>11599</v>
      </c>
    </row>
    <row r="396" spans="5:11">
      <c r="E396" s="79">
        <v>389</v>
      </c>
      <c r="F396" s="85" t="s">
        <v>484</v>
      </c>
      <c r="G396" s="89" t="s">
        <v>487</v>
      </c>
      <c r="H396" s="82">
        <v>20320.039688626515</v>
      </c>
      <c r="I396" s="82">
        <v>18785.832497877462</v>
      </c>
      <c r="J396" s="82">
        <v>39105.872186526452</v>
      </c>
      <c r="K396" s="83">
        <f t="shared" si="6"/>
        <v>17989</v>
      </c>
    </row>
    <row r="397" spans="5:11">
      <c r="E397" s="79">
        <v>390</v>
      </c>
      <c r="F397" s="85" t="s">
        <v>484</v>
      </c>
      <c r="G397" s="89" t="s">
        <v>488</v>
      </c>
      <c r="H397" s="82">
        <v>13042.603286539192</v>
      </c>
      <c r="I397" s="82">
        <v>11670.213400998424</v>
      </c>
      <c r="J397" s="82">
        <v>24712.81668754527</v>
      </c>
      <c r="K397" s="83">
        <f t="shared" si="6"/>
        <v>11368</v>
      </c>
    </row>
    <row r="398" spans="5:11">
      <c r="E398" s="79">
        <v>391</v>
      </c>
      <c r="F398" s="85" t="s">
        <v>489</v>
      </c>
      <c r="G398" s="89" t="s">
        <v>490</v>
      </c>
      <c r="H398" s="82">
        <v>10975.687823271992</v>
      </c>
      <c r="I398" s="82">
        <v>10368.918632567429</v>
      </c>
      <c r="J398" s="82">
        <v>21344.60645584128</v>
      </c>
      <c r="K398" s="83">
        <f t="shared" si="6"/>
        <v>9819</v>
      </c>
    </row>
    <row r="399" spans="5:11">
      <c r="E399" s="79">
        <v>392</v>
      </c>
      <c r="F399" s="85" t="s">
        <v>489</v>
      </c>
      <c r="G399" s="89" t="s">
        <v>491</v>
      </c>
      <c r="H399" s="82">
        <v>15770.115738309645</v>
      </c>
      <c r="I399" s="82">
        <v>16418.600230911088</v>
      </c>
      <c r="J399" s="82">
        <v>32188.715969242166</v>
      </c>
      <c r="K399" s="83">
        <f t="shared" si="6"/>
        <v>14807</v>
      </c>
    </row>
    <row r="400" spans="5:11">
      <c r="E400" s="79">
        <v>393</v>
      </c>
      <c r="F400" s="85" t="s">
        <v>489</v>
      </c>
      <c r="G400" s="89" t="s">
        <v>492</v>
      </c>
      <c r="H400" s="82">
        <v>16478.440018181693</v>
      </c>
      <c r="I400" s="82">
        <v>15634.634316039206</v>
      </c>
      <c r="J400" s="82">
        <v>32113.074334241988</v>
      </c>
      <c r="K400" s="83">
        <f t="shared" si="6"/>
        <v>14772</v>
      </c>
    </row>
    <row r="401" spans="5:11">
      <c r="E401" s="79">
        <v>394</v>
      </c>
      <c r="F401" s="85" t="s">
        <v>489</v>
      </c>
      <c r="G401" s="89" t="s">
        <v>489</v>
      </c>
      <c r="H401" s="82">
        <v>28352.326988457695</v>
      </c>
      <c r="I401" s="82">
        <v>27540.578330101798</v>
      </c>
      <c r="J401" s="82">
        <v>55892.905318586047</v>
      </c>
      <c r="K401" s="83">
        <f t="shared" si="6"/>
        <v>25711</v>
      </c>
    </row>
    <row r="402" spans="5:11">
      <c r="E402" s="79">
        <v>395</v>
      </c>
      <c r="F402" s="85" t="s">
        <v>489</v>
      </c>
      <c r="G402" s="89" t="s">
        <v>493</v>
      </c>
      <c r="H402" s="82">
        <v>17067.759811138094</v>
      </c>
      <c r="I402" s="82">
        <v>16980.158889068018</v>
      </c>
      <c r="J402" s="82">
        <v>34047.918700228547</v>
      </c>
      <c r="K402" s="83">
        <f t="shared" si="6"/>
        <v>15662</v>
      </c>
    </row>
    <row r="403" spans="5:11">
      <c r="E403" s="79">
        <v>396</v>
      </c>
      <c r="F403" s="85" t="s">
        <v>494</v>
      </c>
      <c r="G403" s="89" t="s">
        <v>495</v>
      </c>
      <c r="H403" s="82">
        <v>2695.7699975270903</v>
      </c>
      <c r="I403" s="82">
        <v>2533.1970268490791</v>
      </c>
      <c r="J403" s="82">
        <v>5228.9670243760311</v>
      </c>
      <c r="K403" s="83">
        <f t="shared" si="6"/>
        <v>2405</v>
      </c>
    </row>
    <row r="404" spans="5:11">
      <c r="E404" s="79">
        <v>397</v>
      </c>
      <c r="F404" s="85" t="s">
        <v>494</v>
      </c>
      <c r="G404" s="89" t="s">
        <v>496</v>
      </c>
      <c r="H404" s="82">
        <v>15784.814404839588</v>
      </c>
      <c r="I404" s="82">
        <v>14845.270861382271</v>
      </c>
      <c r="J404" s="82">
        <v>30630.08526624053</v>
      </c>
      <c r="K404" s="83">
        <f t="shared" si="6"/>
        <v>14090</v>
      </c>
    </row>
    <row r="405" spans="5:11">
      <c r="E405" s="79">
        <v>398</v>
      </c>
      <c r="F405" s="85" t="s">
        <v>494</v>
      </c>
      <c r="G405" s="89" t="s">
        <v>497</v>
      </c>
      <c r="H405" s="82">
        <v>7734.5245393537898</v>
      </c>
      <c r="I405" s="82">
        <v>5713.9167067989993</v>
      </c>
      <c r="J405" s="82">
        <v>13448.441246149136</v>
      </c>
      <c r="K405" s="83">
        <f t="shared" si="6"/>
        <v>6186</v>
      </c>
    </row>
    <row r="406" spans="5:11">
      <c r="E406" s="79">
        <v>399</v>
      </c>
      <c r="F406" s="85" t="s">
        <v>494</v>
      </c>
      <c r="G406" s="89" t="s">
        <v>494</v>
      </c>
      <c r="H406" s="82">
        <v>47171.899795060257</v>
      </c>
      <c r="I406" s="82">
        <v>45281.777624769937</v>
      </c>
      <c r="J406" s="82">
        <v>92453.677419793647</v>
      </c>
      <c r="K406" s="83">
        <f t="shared" si="6"/>
        <v>42529</v>
      </c>
    </row>
    <row r="407" spans="5:11">
      <c r="E407" s="79">
        <v>400</v>
      </c>
      <c r="F407" s="95" t="s">
        <v>498</v>
      </c>
      <c r="G407" s="90" t="s">
        <v>499</v>
      </c>
      <c r="H407" s="82">
        <v>9073.0882467307274</v>
      </c>
      <c r="I407" s="82">
        <v>7752.5441119903999</v>
      </c>
      <c r="J407" s="82">
        <v>16825.632358715295</v>
      </c>
      <c r="K407" s="83">
        <f t="shared" si="6"/>
        <v>7740</v>
      </c>
    </row>
    <row r="408" spans="5:11">
      <c r="E408" s="79">
        <v>401</v>
      </c>
      <c r="F408" s="95" t="s">
        <v>498</v>
      </c>
      <c r="G408" s="90" t="s">
        <v>498</v>
      </c>
      <c r="H408" s="82">
        <v>44710.473988904814</v>
      </c>
      <c r="I408" s="82">
        <v>40889.147224678483</v>
      </c>
      <c r="J408" s="82">
        <v>85599.621213609978</v>
      </c>
      <c r="K408" s="83">
        <f t="shared" si="6"/>
        <v>39376</v>
      </c>
    </row>
    <row r="409" spans="5:11">
      <c r="E409" s="79">
        <v>402</v>
      </c>
      <c r="F409" s="95" t="s">
        <v>498</v>
      </c>
      <c r="G409" s="90" t="s">
        <v>500</v>
      </c>
      <c r="H409" s="82">
        <v>18842.34440938789</v>
      </c>
      <c r="I409" s="82">
        <v>18205.976634515398</v>
      </c>
      <c r="J409" s="82">
        <v>37048.321043924421</v>
      </c>
      <c r="K409" s="83">
        <f t="shared" si="6"/>
        <v>17042</v>
      </c>
    </row>
    <row r="410" spans="5:11">
      <c r="E410" s="79">
        <v>403</v>
      </c>
      <c r="F410" s="95" t="s">
        <v>498</v>
      </c>
      <c r="G410" s="90" t="s">
        <v>501</v>
      </c>
      <c r="H410" s="82">
        <v>9652.769817958253</v>
      </c>
      <c r="I410" s="82">
        <v>8399.56817121526</v>
      </c>
      <c r="J410" s="82">
        <v>18052.337989169111</v>
      </c>
      <c r="K410" s="83">
        <f t="shared" si="6"/>
        <v>8304</v>
      </c>
    </row>
    <row r="411" spans="5:11">
      <c r="E411" s="79">
        <v>404</v>
      </c>
      <c r="F411" s="95" t="s">
        <v>498</v>
      </c>
      <c r="G411" s="90" t="s">
        <v>502</v>
      </c>
      <c r="H411" s="82">
        <v>5790.2103446822766</v>
      </c>
      <c r="I411" s="82">
        <v>5796.138205871277</v>
      </c>
      <c r="J411" s="82">
        <v>11586.348550550738</v>
      </c>
      <c r="K411" s="83">
        <f t="shared" si="6"/>
        <v>5330</v>
      </c>
    </row>
    <row r="412" spans="5:11">
      <c r="E412" s="79">
        <v>405</v>
      </c>
      <c r="F412" s="95" t="s">
        <v>498</v>
      </c>
      <c r="G412" s="90" t="s">
        <v>503</v>
      </c>
      <c r="H412" s="82">
        <v>5672.5936982181947</v>
      </c>
      <c r="I412" s="82">
        <v>4990.9483619171961</v>
      </c>
      <c r="J412" s="82">
        <v>10663.542060132877</v>
      </c>
      <c r="K412" s="83">
        <f t="shared" si="6"/>
        <v>4905</v>
      </c>
    </row>
    <row r="413" spans="5:11">
      <c r="E413" s="79">
        <v>406</v>
      </c>
      <c r="F413" s="95" t="s">
        <v>498</v>
      </c>
      <c r="G413" s="90" t="s">
        <v>504</v>
      </c>
      <c r="H413" s="82">
        <v>7533.3012346463847</v>
      </c>
      <c r="I413" s="82">
        <v>7705.8751581913948</v>
      </c>
      <c r="J413" s="82">
        <v>15239.176392831852</v>
      </c>
      <c r="K413" s="83">
        <f t="shared" si="6"/>
        <v>7010</v>
      </c>
    </row>
    <row r="414" spans="5:11">
      <c r="E414" s="79">
        <v>407</v>
      </c>
      <c r="F414" s="95" t="s">
        <v>505</v>
      </c>
      <c r="G414" s="90" t="s">
        <v>505</v>
      </c>
      <c r="H414" s="82">
        <v>18482.111498099028</v>
      </c>
      <c r="I414" s="82">
        <v>17978.601155486736</v>
      </c>
      <c r="J414" s="82">
        <v>36460.71265361191</v>
      </c>
      <c r="K414" s="83">
        <f t="shared" si="6"/>
        <v>16772</v>
      </c>
    </row>
    <row r="415" spans="5:11">
      <c r="E415" s="79">
        <v>408</v>
      </c>
      <c r="F415" s="95" t="s">
        <v>505</v>
      </c>
      <c r="G415" s="90" t="s">
        <v>54</v>
      </c>
      <c r="H415" s="82">
        <v>17755.350525075264</v>
      </c>
      <c r="I415" s="82">
        <v>18005.877465530353</v>
      </c>
      <c r="J415" s="82">
        <v>35761.227990628766</v>
      </c>
      <c r="K415" s="83">
        <f t="shared" si="6"/>
        <v>16450</v>
      </c>
    </row>
    <row r="416" spans="5:11">
      <c r="E416" s="79">
        <v>409</v>
      </c>
      <c r="F416" s="95" t="s">
        <v>505</v>
      </c>
      <c r="G416" s="90" t="s">
        <v>506</v>
      </c>
      <c r="H416" s="82">
        <v>6886.1038512663536</v>
      </c>
      <c r="I416" s="82">
        <v>6515.5765568153347</v>
      </c>
      <c r="J416" s="82">
        <v>13401.680408077102</v>
      </c>
      <c r="K416" s="83">
        <f t="shared" si="6"/>
        <v>6165</v>
      </c>
    </row>
    <row r="417" spans="5:11">
      <c r="E417" s="79">
        <v>410</v>
      </c>
      <c r="F417" s="95" t="s">
        <v>505</v>
      </c>
      <c r="G417" s="90" t="s">
        <v>507</v>
      </c>
      <c r="H417" s="82">
        <v>15449.177353604768</v>
      </c>
      <c r="I417" s="82">
        <v>16851.012910096226</v>
      </c>
      <c r="J417" s="82">
        <v>32300.190263720309</v>
      </c>
      <c r="K417" s="83">
        <f t="shared" si="6"/>
        <v>14858</v>
      </c>
    </row>
    <row r="418" spans="5:11">
      <c r="E418" s="79">
        <v>411</v>
      </c>
      <c r="F418" s="95" t="s">
        <v>508</v>
      </c>
      <c r="G418" s="90" t="s">
        <v>508</v>
      </c>
      <c r="H418" s="82">
        <v>433752.24344879552</v>
      </c>
      <c r="I418" s="82">
        <v>398618.70359465491</v>
      </c>
      <c r="J418" s="82">
        <v>832370.94704761135</v>
      </c>
      <c r="K418" s="83">
        <f t="shared" si="6"/>
        <v>382891</v>
      </c>
    </row>
    <row r="419" spans="5:11">
      <c r="E419" s="79">
        <v>412</v>
      </c>
      <c r="F419" s="95" t="s">
        <v>508</v>
      </c>
      <c r="G419" s="90" t="s">
        <v>509</v>
      </c>
      <c r="H419" s="82">
        <v>8593.3104006281228</v>
      </c>
      <c r="I419" s="82">
        <v>7116.78927691437</v>
      </c>
      <c r="J419" s="82">
        <v>15710.099677536427</v>
      </c>
      <c r="K419" s="83">
        <f t="shared" si="6"/>
        <v>7227</v>
      </c>
    </row>
    <row r="420" spans="5:11">
      <c r="E420" s="79">
        <v>413</v>
      </c>
      <c r="F420" s="95" t="s">
        <v>508</v>
      </c>
      <c r="G420" s="90" t="s">
        <v>510</v>
      </c>
      <c r="H420" s="82">
        <v>11260.643478706852</v>
      </c>
      <c r="I420" s="82">
        <v>11519.321882951705</v>
      </c>
      <c r="J420" s="82">
        <v>22779.965361665425</v>
      </c>
      <c r="K420" s="83">
        <f t="shared" si="6"/>
        <v>10479</v>
      </c>
    </row>
    <row r="421" spans="5:11">
      <c r="E421" s="79">
        <v>414</v>
      </c>
      <c r="F421" s="95" t="s">
        <v>508</v>
      </c>
      <c r="G421" s="90" t="s">
        <v>511</v>
      </c>
      <c r="H421" s="82">
        <v>20182.727879841917</v>
      </c>
      <c r="I421" s="82">
        <v>20298.26439436898</v>
      </c>
      <c r="J421" s="82">
        <v>40480.992274233235</v>
      </c>
      <c r="K421" s="83">
        <f t="shared" si="6"/>
        <v>18621</v>
      </c>
    </row>
    <row r="422" spans="5:11">
      <c r="E422" s="79">
        <v>415</v>
      </c>
      <c r="F422" s="95" t="s">
        <v>508</v>
      </c>
      <c r="G422" s="90" t="s">
        <v>512</v>
      </c>
      <c r="H422" s="82">
        <v>10835.670061280414</v>
      </c>
      <c r="I422" s="82">
        <v>9673.7577624302849</v>
      </c>
      <c r="J422" s="82">
        <v>20509.427823710554</v>
      </c>
      <c r="K422" s="83">
        <f t="shared" si="6"/>
        <v>9434</v>
      </c>
    </row>
    <row r="423" spans="5:11">
      <c r="E423" s="79">
        <v>416</v>
      </c>
      <c r="F423" s="95" t="s">
        <v>513</v>
      </c>
      <c r="G423" s="90" t="s">
        <v>514</v>
      </c>
      <c r="H423" s="82">
        <v>8808.9744879929349</v>
      </c>
      <c r="I423" s="82">
        <v>7469.2828931923823</v>
      </c>
      <c r="J423" s="82">
        <v>16278.257381178977</v>
      </c>
      <c r="K423" s="83">
        <f t="shared" si="6"/>
        <v>7488</v>
      </c>
    </row>
    <row r="424" spans="5:11">
      <c r="E424" s="79">
        <v>417</v>
      </c>
      <c r="F424" s="95" t="s">
        <v>513</v>
      </c>
      <c r="G424" s="90" t="s">
        <v>515</v>
      </c>
      <c r="H424" s="82">
        <v>8665.2029723650703</v>
      </c>
      <c r="I424" s="82">
        <v>9740.1324442972145</v>
      </c>
      <c r="J424" s="82">
        <v>18405.335416658731</v>
      </c>
      <c r="K424" s="83">
        <f t="shared" si="6"/>
        <v>8466</v>
      </c>
    </row>
    <row r="425" spans="5:11">
      <c r="E425" s="79">
        <v>418</v>
      </c>
      <c r="F425" s="95" t="s">
        <v>513</v>
      </c>
      <c r="G425" s="90" t="s">
        <v>513</v>
      </c>
      <c r="H425" s="82">
        <v>35676.216690583591</v>
      </c>
      <c r="I425" s="82">
        <v>33709.59201304512</v>
      </c>
      <c r="J425" s="82">
        <v>69385.808703655232</v>
      </c>
      <c r="K425" s="83">
        <f t="shared" si="6"/>
        <v>31917</v>
      </c>
    </row>
    <row r="426" spans="5:11">
      <c r="E426" s="79">
        <v>419</v>
      </c>
      <c r="F426" s="95" t="s">
        <v>513</v>
      </c>
      <c r="G426" s="90" t="s">
        <v>516</v>
      </c>
      <c r="H426" s="82">
        <v>2193.3385400630655</v>
      </c>
      <c r="I426" s="82">
        <v>1847.4436253490549</v>
      </c>
      <c r="J426" s="82">
        <v>4040.7821654120794</v>
      </c>
      <c r="K426" s="83">
        <f t="shared" si="6"/>
        <v>1859</v>
      </c>
    </row>
    <row r="427" spans="5:11">
      <c r="E427" s="79">
        <v>420</v>
      </c>
      <c r="F427" s="95" t="s">
        <v>517</v>
      </c>
      <c r="G427" s="90" t="s">
        <v>518</v>
      </c>
      <c r="H427" s="82">
        <v>11292.378835285979</v>
      </c>
      <c r="I427" s="82">
        <v>10194.916933918837</v>
      </c>
      <c r="J427" s="82">
        <v>21487.295769206346</v>
      </c>
      <c r="K427" s="83">
        <f t="shared" si="6"/>
        <v>9884</v>
      </c>
    </row>
    <row r="428" spans="5:11">
      <c r="E428" s="79">
        <v>421</v>
      </c>
      <c r="F428" s="95" t="s">
        <v>517</v>
      </c>
      <c r="G428" s="90" t="s">
        <v>519</v>
      </c>
      <c r="H428" s="82">
        <v>14621.121224468159</v>
      </c>
      <c r="I428" s="82">
        <v>13074.79283142346</v>
      </c>
      <c r="J428" s="82">
        <v>27695.914055903791</v>
      </c>
      <c r="K428" s="83">
        <f t="shared" si="6"/>
        <v>12740</v>
      </c>
    </row>
    <row r="429" spans="5:11">
      <c r="E429" s="79">
        <v>422</v>
      </c>
      <c r="F429" s="95" t="s">
        <v>517</v>
      </c>
      <c r="G429" s="90" t="s">
        <v>517</v>
      </c>
      <c r="H429" s="82">
        <v>40831.337903360698</v>
      </c>
      <c r="I429" s="82">
        <v>37802.922972176406</v>
      </c>
      <c r="J429" s="82">
        <v>78634.260875563836</v>
      </c>
      <c r="K429" s="83">
        <f t="shared" si="6"/>
        <v>36172</v>
      </c>
    </row>
    <row r="430" spans="5:11">
      <c r="E430" s="79">
        <v>423</v>
      </c>
      <c r="F430" s="95" t="s">
        <v>517</v>
      </c>
      <c r="G430" s="90" t="s">
        <v>520</v>
      </c>
      <c r="H430" s="82">
        <v>15159.060138159541</v>
      </c>
      <c r="I430" s="82">
        <v>13862.596874905663</v>
      </c>
      <c r="J430" s="82">
        <v>29021.657013080232</v>
      </c>
      <c r="K430" s="83">
        <f t="shared" si="6"/>
        <v>13350</v>
      </c>
    </row>
    <row r="431" spans="5:11">
      <c r="E431" s="79">
        <v>424</v>
      </c>
      <c r="F431" s="95" t="s">
        <v>517</v>
      </c>
      <c r="G431" s="90" t="s">
        <v>521</v>
      </c>
      <c r="H431" s="82">
        <v>8527.9949004180562</v>
      </c>
      <c r="I431" s="82">
        <v>8155.5396268673285</v>
      </c>
      <c r="J431" s="82">
        <v>16683.534527279273</v>
      </c>
      <c r="K431" s="83">
        <f t="shared" si="6"/>
        <v>7674</v>
      </c>
    </row>
    <row r="432" spans="5:11">
      <c r="E432" s="79">
        <v>425</v>
      </c>
      <c r="F432" s="95" t="s">
        <v>517</v>
      </c>
      <c r="G432" s="90" t="s">
        <v>522</v>
      </c>
      <c r="H432" s="82">
        <v>13516.083844722949</v>
      </c>
      <c r="I432" s="82">
        <v>12646.789293524696</v>
      </c>
      <c r="J432" s="82">
        <v>26162.873138257499</v>
      </c>
      <c r="K432" s="83">
        <f t="shared" si="6"/>
        <v>12035</v>
      </c>
    </row>
    <row r="433" spans="5:11">
      <c r="E433" s="79">
        <v>426</v>
      </c>
      <c r="F433" s="95" t="s">
        <v>517</v>
      </c>
      <c r="G433" s="90" t="s">
        <v>523</v>
      </c>
      <c r="H433" s="82">
        <v>6569.2459449702928</v>
      </c>
      <c r="I433" s="82">
        <v>6497.3042330382868</v>
      </c>
      <c r="J433" s="82">
        <v>13066.550178003945</v>
      </c>
      <c r="K433" s="83">
        <f t="shared" si="6"/>
        <v>6011</v>
      </c>
    </row>
    <row r="434" spans="5:11">
      <c r="E434" s="79">
        <v>427</v>
      </c>
      <c r="F434" s="95" t="s">
        <v>517</v>
      </c>
      <c r="G434" s="90" t="s">
        <v>524</v>
      </c>
      <c r="H434" s="82">
        <v>8741.1096323399943</v>
      </c>
      <c r="I434" s="82">
        <v>9082.7193124757232</v>
      </c>
      <c r="J434" s="82">
        <v>17823.828944811012</v>
      </c>
      <c r="K434" s="83">
        <f t="shared" si="6"/>
        <v>8199</v>
      </c>
    </row>
    <row r="435" spans="5:11">
      <c r="E435" s="79">
        <v>428</v>
      </c>
      <c r="F435" s="95" t="s">
        <v>517</v>
      </c>
      <c r="G435" s="90" t="s">
        <v>525</v>
      </c>
      <c r="H435" s="82">
        <v>9007.2337005759982</v>
      </c>
      <c r="I435" s="82">
        <v>6230.4094154043059</v>
      </c>
      <c r="J435" s="82">
        <v>15237.643115975092</v>
      </c>
      <c r="K435" s="83">
        <f t="shared" si="6"/>
        <v>7009</v>
      </c>
    </row>
    <row r="436" spans="5:11">
      <c r="E436" s="79">
        <v>429</v>
      </c>
      <c r="F436" s="95" t="s">
        <v>517</v>
      </c>
      <c r="G436" s="90" t="s">
        <v>526</v>
      </c>
      <c r="H436" s="82">
        <v>4536.5728998122195</v>
      </c>
      <c r="I436" s="82">
        <v>4079.5451351331803</v>
      </c>
      <c r="J436" s="82">
        <v>8616.1180349450769</v>
      </c>
      <c r="K436" s="83">
        <f t="shared" si="6"/>
        <v>3963</v>
      </c>
    </row>
    <row r="437" spans="5:11">
      <c r="E437" s="79">
        <v>430</v>
      </c>
      <c r="F437" s="95" t="s">
        <v>527</v>
      </c>
      <c r="G437" s="90" t="s">
        <v>528</v>
      </c>
      <c r="H437" s="82">
        <v>30233.637355092622</v>
      </c>
      <c r="I437" s="82">
        <v>26562.817409688512</v>
      </c>
      <c r="J437" s="82">
        <v>56796.454764805858</v>
      </c>
      <c r="K437" s="83">
        <f t="shared" si="6"/>
        <v>26126</v>
      </c>
    </row>
    <row r="438" spans="5:11">
      <c r="E438" s="79">
        <v>431</v>
      </c>
      <c r="F438" s="95" t="s">
        <v>527</v>
      </c>
      <c r="G438" s="90" t="s">
        <v>527</v>
      </c>
      <c r="H438" s="82">
        <v>47582.529009099671</v>
      </c>
      <c r="I438" s="82">
        <v>43058.010064534668</v>
      </c>
      <c r="J438" s="82">
        <v>90640.539073570166</v>
      </c>
      <c r="K438" s="83">
        <f t="shared" si="6"/>
        <v>41695</v>
      </c>
    </row>
    <row r="439" spans="5:11">
      <c r="E439" s="79">
        <v>432</v>
      </c>
      <c r="F439" s="95" t="s">
        <v>527</v>
      </c>
      <c r="G439" s="90" t="s">
        <v>529</v>
      </c>
      <c r="H439" s="82">
        <v>7937.2162300973996</v>
      </c>
      <c r="I439" s="82">
        <v>7097.9420045223578</v>
      </c>
      <c r="J439" s="82">
        <v>15035.158234613638</v>
      </c>
      <c r="K439" s="83">
        <f t="shared" si="6"/>
        <v>6916</v>
      </c>
    </row>
    <row r="440" spans="5:11">
      <c r="E440" s="79">
        <v>433</v>
      </c>
      <c r="F440" s="95" t="s">
        <v>530</v>
      </c>
      <c r="G440" s="90" t="s">
        <v>531</v>
      </c>
      <c r="H440" s="82">
        <v>7867.8910674052668</v>
      </c>
      <c r="I440" s="82">
        <v>5618.215006294241</v>
      </c>
      <c r="J440" s="82">
        <v>13486.10607369762</v>
      </c>
      <c r="K440" s="83">
        <f t="shared" si="6"/>
        <v>6204</v>
      </c>
    </row>
    <row r="441" spans="5:11">
      <c r="E441" s="79">
        <v>434</v>
      </c>
      <c r="F441" s="95" t="s">
        <v>530</v>
      </c>
      <c r="G441" s="90" t="s">
        <v>532</v>
      </c>
      <c r="H441" s="82">
        <v>14289.192254130814</v>
      </c>
      <c r="I441" s="82">
        <v>13209.227694167406</v>
      </c>
      <c r="J441" s="82">
        <v>27498.419948309398</v>
      </c>
      <c r="K441" s="83">
        <f t="shared" si="6"/>
        <v>12649</v>
      </c>
    </row>
    <row r="442" spans="5:11">
      <c r="E442" s="79">
        <v>435</v>
      </c>
      <c r="F442" s="95" t="s">
        <v>530</v>
      </c>
      <c r="G442" s="90" t="s">
        <v>533</v>
      </c>
      <c r="H442" s="82">
        <v>41561.302271432942</v>
      </c>
      <c r="I442" s="82">
        <v>36739.651539869104</v>
      </c>
      <c r="J442" s="82">
        <v>78300.953811320403</v>
      </c>
      <c r="K442" s="83">
        <f t="shared" si="6"/>
        <v>36018</v>
      </c>
    </row>
    <row r="443" spans="5:11">
      <c r="E443" s="79">
        <v>436</v>
      </c>
      <c r="F443" s="95" t="s">
        <v>530</v>
      </c>
      <c r="G443" s="90" t="s">
        <v>534</v>
      </c>
      <c r="H443" s="82">
        <v>6878.8865118623498</v>
      </c>
      <c r="I443" s="82">
        <v>6313.6790463863126</v>
      </c>
      <c r="J443" s="82">
        <v>13192.565558244207</v>
      </c>
      <c r="K443" s="83">
        <f t="shared" si="6"/>
        <v>6069</v>
      </c>
    </row>
    <row r="444" spans="5:11">
      <c r="E444" s="79">
        <v>437</v>
      </c>
      <c r="F444" s="95" t="s">
        <v>530</v>
      </c>
      <c r="G444" s="90" t="s">
        <v>535</v>
      </c>
      <c r="H444" s="82">
        <v>16635.806003517155</v>
      </c>
      <c r="I444" s="82">
        <v>15603.990050009188</v>
      </c>
      <c r="J444" s="82">
        <v>32239.796053551629</v>
      </c>
      <c r="K444" s="83">
        <f t="shared" si="6"/>
        <v>14830</v>
      </c>
    </row>
    <row r="445" spans="5:11">
      <c r="E445" s="79">
        <v>438</v>
      </c>
      <c r="F445" s="95" t="s">
        <v>530</v>
      </c>
      <c r="G445" s="90" t="s">
        <v>536</v>
      </c>
      <c r="H445" s="82">
        <v>15978.736588781714</v>
      </c>
      <c r="I445" s="82">
        <v>14430.272649602521</v>
      </c>
      <c r="J445" s="82">
        <v>30409.009238406048</v>
      </c>
      <c r="K445" s="83">
        <f t="shared" si="6"/>
        <v>13988</v>
      </c>
    </row>
    <row r="446" spans="5:11">
      <c r="E446" s="79">
        <v>439</v>
      </c>
      <c r="F446" s="85" t="s">
        <v>537</v>
      </c>
      <c r="G446" s="89" t="s">
        <v>538</v>
      </c>
      <c r="H446" s="82">
        <v>11870.395921435018</v>
      </c>
      <c r="I446" s="82">
        <v>10613.474331410118</v>
      </c>
      <c r="J446" s="82">
        <v>22483.870252849363</v>
      </c>
      <c r="K446" s="83">
        <f t="shared" si="6"/>
        <v>10343</v>
      </c>
    </row>
    <row r="447" spans="5:11">
      <c r="E447" s="79">
        <v>440</v>
      </c>
      <c r="F447" s="85" t="s">
        <v>537</v>
      </c>
      <c r="G447" s="89" t="s">
        <v>539</v>
      </c>
      <c r="H447" s="82">
        <v>17778.423054537649</v>
      </c>
      <c r="I447" s="82">
        <v>16773.618583389696</v>
      </c>
      <c r="J447" s="82">
        <v>34552.04163794982</v>
      </c>
      <c r="K447" s="83">
        <f t="shared" si="6"/>
        <v>15894</v>
      </c>
    </row>
    <row r="448" spans="5:11">
      <c r="E448" s="79">
        <v>441</v>
      </c>
      <c r="F448" s="85" t="s">
        <v>537</v>
      </c>
      <c r="G448" s="89" t="s">
        <v>540</v>
      </c>
      <c r="H448" s="82">
        <v>29156.276032324309</v>
      </c>
      <c r="I448" s="82">
        <v>25952.527464695919</v>
      </c>
      <c r="J448" s="82">
        <v>55108.803497046683</v>
      </c>
      <c r="K448" s="83">
        <f t="shared" si="6"/>
        <v>25350</v>
      </c>
    </row>
    <row r="449" spans="5:11">
      <c r="E449" s="79">
        <v>442</v>
      </c>
      <c r="F449" s="85" t="s">
        <v>537</v>
      </c>
      <c r="G449" s="89" t="s">
        <v>541</v>
      </c>
      <c r="H449" s="82">
        <v>9724.1758022930844</v>
      </c>
      <c r="I449" s="82">
        <v>9558.6703036852505</v>
      </c>
      <c r="J449" s="82">
        <v>19282.846105976394</v>
      </c>
      <c r="K449" s="83">
        <f t="shared" si="6"/>
        <v>8870</v>
      </c>
    </row>
    <row r="450" spans="5:11">
      <c r="E450" s="79">
        <v>443</v>
      </c>
      <c r="F450" s="85" t="s">
        <v>542</v>
      </c>
      <c r="G450" s="89" t="s">
        <v>543</v>
      </c>
      <c r="H450" s="82">
        <v>3658.4548911490187</v>
      </c>
      <c r="I450" s="82">
        <v>3479.7334776480475</v>
      </c>
      <c r="J450" s="82">
        <v>7138.1883687968302</v>
      </c>
      <c r="K450" s="83">
        <f t="shared" si="6"/>
        <v>3284</v>
      </c>
    </row>
    <row r="451" spans="5:11">
      <c r="E451" s="79">
        <v>444</v>
      </c>
      <c r="F451" s="85" t="s">
        <v>542</v>
      </c>
      <c r="G451" t="s">
        <v>544</v>
      </c>
      <c r="H451" s="82">
        <v>13599.472854509762</v>
      </c>
      <c r="I451" s="82">
        <v>11463.825619189287</v>
      </c>
      <c r="J451" s="82">
        <v>25063.298473708237</v>
      </c>
      <c r="K451" s="83">
        <f t="shared" si="6"/>
        <v>11529</v>
      </c>
    </row>
    <row r="452" spans="5:11">
      <c r="E452" s="79">
        <v>445</v>
      </c>
      <c r="F452" s="85" t="s">
        <v>542</v>
      </c>
      <c r="G452" s="89" t="s">
        <v>545</v>
      </c>
      <c r="H452" s="82">
        <v>5161.8109174692581</v>
      </c>
      <c r="I452" s="82">
        <v>4834.5148729572365</v>
      </c>
      <c r="J452" s="82">
        <v>9996.3257904249112</v>
      </c>
      <c r="K452" s="83">
        <f t="shared" si="6"/>
        <v>4598</v>
      </c>
    </row>
    <row r="453" spans="5:11">
      <c r="E453" s="79">
        <v>446</v>
      </c>
      <c r="F453" s="85" t="s">
        <v>542</v>
      </c>
      <c r="G453" s="89" t="s">
        <v>546</v>
      </c>
      <c r="H453" s="82">
        <v>7163.4073325913614</v>
      </c>
      <c r="I453" s="82">
        <v>6420.369297320316</v>
      </c>
      <c r="J453" s="82">
        <v>13583.776629907155</v>
      </c>
      <c r="K453" s="83">
        <f t="shared" si="6"/>
        <v>6249</v>
      </c>
    </row>
    <row r="454" spans="5:11">
      <c r="E454" s="79">
        <v>447</v>
      </c>
      <c r="F454" s="85" t="s">
        <v>542</v>
      </c>
      <c r="G454" s="89" t="s">
        <v>547</v>
      </c>
      <c r="H454" s="82">
        <v>21225.554550265326</v>
      </c>
      <c r="I454" s="82">
        <v>19421.185520053677</v>
      </c>
      <c r="J454" s="82">
        <v>40646.740070339794</v>
      </c>
      <c r="K454" s="83">
        <f t="shared" si="6"/>
        <v>18698</v>
      </c>
    </row>
    <row r="455" spans="5:11">
      <c r="E455" s="79">
        <v>448</v>
      </c>
      <c r="F455" s="85" t="s">
        <v>542</v>
      </c>
      <c r="G455" s="89" t="s">
        <v>548</v>
      </c>
      <c r="H455" s="82">
        <v>53840.65797546431</v>
      </c>
      <c r="I455" s="82">
        <v>50138.976466408574</v>
      </c>
      <c r="J455" s="82">
        <v>103979.63444182962</v>
      </c>
      <c r="K455" s="83">
        <f t="shared" si="6"/>
        <v>47831</v>
      </c>
    </row>
    <row r="456" spans="5:11">
      <c r="E456" s="79">
        <v>449</v>
      </c>
      <c r="F456" s="85" t="s">
        <v>542</v>
      </c>
      <c r="G456" s="89" t="s">
        <v>549</v>
      </c>
      <c r="H456" s="82">
        <v>16835.868179988291</v>
      </c>
      <c r="I456" s="82">
        <v>14427.679532596445</v>
      </c>
      <c r="J456" s="82">
        <v>31263.547712602227</v>
      </c>
      <c r="K456" s="83">
        <f t="shared" ref="K456:K519" si="7">ROUND($D$4*J456,0)</f>
        <v>14381</v>
      </c>
    </row>
    <row r="457" spans="5:11">
      <c r="E457" s="79">
        <v>450</v>
      </c>
      <c r="F457" s="85" t="s">
        <v>542</v>
      </c>
      <c r="G457" s="89" t="s">
        <v>550</v>
      </c>
      <c r="H457" s="82">
        <v>35542.526582175764</v>
      </c>
      <c r="I457" s="82">
        <v>31170.039782488104</v>
      </c>
      <c r="J457" s="82">
        <v>66712.566364684579</v>
      </c>
      <c r="K457" s="83">
        <f t="shared" si="7"/>
        <v>30688</v>
      </c>
    </row>
    <row r="458" spans="5:11">
      <c r="E458" s="79">
        <v>451</v>
      </c>
      <c r="F458" s="85" t="s">
        <v>551</v>
      </c>
      <c r="G458" s="89" t="s">
        <v>551</v>
      </c>
      <c r="H458" s="82">
        <v>31362.793179081633</v>
      </c>
      <c r="I458" s="82">
        <v>30163.875404571285</v>
      </c>
      <c r="J458" s="82">
        <v>61526.668583679544</v>
      </c>
      <c r="K458" s="83">
        <f t="shared" si="7"/>
        <v>28302</v>
      </c>
    </row>
    <row r="459" spans="5:11">
      <c r="E459" s="79">
        <v>452</v>
      </c>
      <c r="F459" s="85" t="s">
        <v>551</v>
      </c>
      <c r="G459" s="89" t="s">
        <v>552</v>
      </c>
      <c r="H459" s="82">
        <v>29172.43337533954</v>
      </c>
      <c r="I459" s="82">
        <v>28446.890888574781</v>
      </c>
      <c r="J459" s="82">
        <v>57619.324263936658</v>
      </c>
      <c r="K459" s="83">
        <f t="shared" si="7"/>
        <v>26505</v>
      </c>
    </row>
    <row r="460" spans="5:11">
      <c r="E460" s="79">
        <v>453</v>
      </c>
      <c r="F460" s="85" t="s">
        <v>553</v>
      </c>
      <c r="G460" s="89" t="s">
        <v>554</v>
      </c>
      <c r="H460" s="82">
        <v>19708.998887384667</v>
      </c>
      <c r="I460" s="82">
        <v>17571.578512228811</v>
      </c>
      <c r="J460" s="82">
        <v>37280.577399634778</v>
      </c>
      <c r="K460" s="83">
        <f t="shared" si="7"/>
        <v>17149</v>
      </c>
    </row>
    <row r="461" spans="5:11">
      <c r="E461" s="79">
        <v>454</v>
      </c>
      <c r="F461" s="85" t="s">
        <v>553</v>
      </c>
      <c r="G461" s="89" t="s">
        <v>553</v>
      </c>
      <c r="H461" s="82">
        <v>33781.05286766163</v>
      </c>
      <c r="I461" s="82">
        <v>30049.318758092966</v>
      </c>
      <c r="J461" s="82">
        <v>63830.371625777014</v>
      </c>
      <c r="K461" s="83">
        <f t="shared" si="7"/>
        <v>29362</v>
      </c>
    </row>
    <row r="462" spans="5:11">
      <c r="E462" s="79">
        <v>455</v>
      </c>
      <c r="F462" s="85" t="s">
        <v>555</v>
      </c>
      <c r="G462" s="89" t="s">
        <v>556</v>
      </c>
      <c r="H462" s="82">
        <v>23612.197402564965</v>
      </c>
      <c r="I462" s="82">
        <v>21881.955013155391</v>
      </c>
      <c r="J462" s="82">
        <v>45494.152415742843</v>
      </c>
      <c r="K462" s="83">
        <f t="shared" si="7"/>
        <v>20927</v>
      </c>
    </row>
    <row r="463" spans="5:11">
      <c r="E463" s="79">
        <v>456</v>
      </c>
      <c r="F463" s="85" t="s">
        <v>555</v>
      </c>
      <c r="G463" s="89" t="s">
        <v>557</v>
      </c>
      <c r="H463" s="82">
        <v>39359.327885468025</v>
      </c>
      <c r="I463" s="82">
        <v>34805.620805417129</v>
      </c>
      <c r="J463" s="82">
        <v>74164.94869091177</v>
      </c>
      <c r="K463" s="83">
        <f t="shared" si="7"/>
        <v>34116</v>
      </c>
    </row>
    <row r="464" spans="5:11">
      <c r="E464" s="79">
        <v>457</v>
      </c>
      <c r="F464" s="85" t="s">
        <v>555</v>
      </c>
      <c r="G464" s="89" t="s">
        <v>558</v>
      </c>
      <c r="H464" s="82">
        <v>22006.111977195054</v>
      </c>
      <c r="I464" s="82">
        <v>20722.930234642881</v>
      </c>
      <c r="J464" s="82">
        <v>42729.042211858752</v>
      </c>
      <c r="K464" s="83">
        <f t="shared" si="7"/>
        <v>19655</v>
      </c>
    </row>
    <row r="465" spans="5:11">
      <c r="E465" s="79">
        <v>458</v>
      </c>
      <c r="F465" s="85" t="s">
        <v>555</v>
      </c>
      <c r="G465" s="89" t="s">
        <v>559</v>
      </c>
      <c r="H465" s="82">
        <v>22616.64121402333</v>
      </c>
      <c r="I465" s="82">
        <v>19833.783961487876</v>
      </c>
      <c r="J465" s="82">
        <v>42450.425175532589</v>
      </c>
      <c r="K465" s="83">
        <f t="shared" si="7"/>
        <v>19527</v>
      </c>
    </row>
    <row r="466" spans="5:11">
      <c r="E466" s="79">
        <v>459</v>
      </c>
      <c r="F466" s="85" t="s">
        <v>555</v>
      </c>
      <c r="G466" s="89" t="s">
        <v>560</v>
      </c>
      <c r="H466" s="82">
        <v>34965.435612380199</v>
      </c>
      <c r="I466" s="82">
        <v>32089.88164877786</v>
      </c>
      <c r="J466" s="82">
        <v>67055.31726118004</v>
      </c>
      <c r="K466" s="83">
        <f t="shared" si="7"/>
        <v>30845</v>
      </c>
    </row>
    <row r="467" spans="5:11">
      <c r="E467" s="79">
        <v>460</v>
      </c>
      <c r="F467" s="85" t="s">
        <v>561</v>
      </c>
      <c r="G467" s="89" t="s">
        <v>562</v>
      </c>
      <c r="H467" s="82">
        <v>11836.358420542509</v>
      </c>
      <c r="I467" s="82">
        <v>11057.382533348136</v>
      </c>
      <c r="J467" s="82">
        <v>22893.74095389451</v>
      </c>
      <c r="K467" s="83">
        <f t="shared" si="7"/>
        <v>10531</v>
      </c>
    </row>
    <row r="468" spans="5:11">
      <c r="E468" s="79">
        <v>461</v>
      </c>
      <c r="F468" s="85" t="s">
        <v>561</v>
      </c>
      <c r="G468" s="89" t="s">
        <v>563</v>
      </c>
      <c r="H468" s="82">
        <v>2708.4615285111081</v>
      </c>
      <c r="I468" s="82">
        <v>2493.5706689930944</v>
      </c>
      <c r="J468" s="82">
        <v>5202.0321975042043</v>
      </c>
      <c r="K468" s="83">
        <f t="shared" si="7"/>
        <v>2393</v>
      </c>
    </row>
    <row r="469" spans="5:11">
      <c r="E469" s="79">
        <v>462</v>
      </c>
      <c r="F469" s="85" t="s">
        <v>561</v>
      </c>
      <c r="G469" s="89" t="s">
        <v>561</v>
      </c>
      <c r="H469" s="82">
        <v>18283.2596084672</v>
      </c>
      <c r="I469" s="82">
        <v>15283.691642306361</v>
      </c>
      <c r="J469" s="82">
        <v>33566.951250793587</v>
      </c>
      <c r="K469" s="83">
        <f t="shared" si="7"/>
        <v>15441</v>
      </c>
    </row>
    <row r="470" spans="5:11">
      <c r="E470" s="79">
        <v>463</v>
      </c>
      <c r="F470" s="85" t="s">
        <v>561</v>
      </c>
      <c r="G470" s="89" t="s">
        <v>564</v>
      </c>
      <c r="H470" s="82">
        <v>3154.5987434251279</v>
      </c>
      <c r="I470" s="82">
        <v>3181.9365364581313</v>
      </c>
      <c r="J470" s="82">
        <v>6336.5352798832946</v>
      </c>
      <c r="K470" s="83">
        <f t="shared" si="7"/>
        <v>2915</v>
      </c>
    </row>
    <row r="471" spans="5:11">
      <c r="E471" s="79">
        <v>464</v>
      </c>
      <c r="F471" s="85" t="s">
        <v>561</v>
      </c>
      <c r="G471" s="89" t="s">
        <v>565</v>
      </c>
      <c r="H471" s="82">
        <v>4216.6205336591911</v>
      </c>
      <c r="I471" s="82">
        <v>4129.4592228561833</v>
      </c>
      <c r="J471" s="82">
        <v>8346.0797565151406</v>
      </c>
      <c r="K471" s="83">
        <f t="shared" si="7"/>
        <v>3839</v>
      </c>
    </row>
    <row r="472" spans="5:11">
      <c r="E472" s="79">
        <v>465</v>
      </c>
      <c r="F472" s="85" t="s">
        <v>566</v>
      </c>
      <c r="G472" s="89" t="s">
        <v>567</v>
      </c>
      <c r="H472" s="82">
        <v>3506.0209977291338</v>
      </c>
      <c r="I472" s="82">
        <v>2863.3703171170941</v>
      </c>
      <c r="J472" s="82">
        <v>6369.3913148463262</v>
      </c>
      <c r="K472" s="83">
        <f t="shared" si="7"/>
        <v>2930</v>
      </c>
    </row>
    <row r="473" spans="5:11">
      <c r="E473" s="79">
        <v>466</v>
      </c>
      <c r="F473" s="85" t="s">
        <v>566</v>
      </c>
      <c r="G473" s="89" t="s">
        <v>568</v>
      </c>
      <c r="H473" s="82">
        <v>2438.4036488940696</v>
      </c>
      <c r="I473" s="82">
        <v>2153.6321344250509</v>
      </c>
      <c r="J473" s="82">
        <v>4592.0357833192211</v>
      </c>
      <c r="K473" s="83">
        <f t="shared" si="7"/>
        <v>2112</v>
      </c>
    </row>
    <row r="474" spans="5:11">
      <c r="E474" s="79">
        <v>467</v>
      </c>
      <c r="F474" s="85" t="s">
        <v>566</v>
      </c>
      <c r="G474" s="89" t="s">
        <v>569</v>
      </c>
      <c r="H474" s="82">
        <v>5236.5318119452641</v>
      </c>
      <c r="I474" s="82">
        <v>4732.9891745422283</v>
      </c>
      <c r="J474" s="82">
        <v>9969.520986485988</v>
      </c>
      <c r="K474" s="83">
        <f t="shared" si="7"/>
        <v>4586</v>
      </c>
    </row>
    <row r="475" spans="5:11">
      <c r="E475" s="79">
        <v>468</v>
      </c>
      <c r="F475" s="85" t="s">
        <v>566</v>
      </c>
      <c r="G475" s="89" t="s">
        <v>566</v>
      </c>
      <c r="H475" s="82">
        <v>14122.771542136477</v>
      </c>
      <c r="I475" s="82">
        <v>13795.885578713911</v>
      </c>
      <c r="J475" s="82">
        <v>27918.657120861972</v>
      </c>
      <c r="K475" s="83">
        <f t="shared" si="7"/>
        <v>12843</v>
      </c>
    </row>
    <row r="476" spans="5:11">
      <c r="E476" s="79">
        <v>469</v>
      </c>
      <c r="F476" s="85" t="s">
        <v>566</v>
      </c>
      <c r="G476" s="89" t="s">
        <v>570</v>
      </c>
      <c r="H476" s="82">
        <v>2638.4318411821032</v>
      </c>
      <c r="I476" s="82">
        <v>2586.842688091097</v>
      </c>
      <c r="J476" s="82">
        <v>5225.2745292731788</v>
      </c>
      <c r="K476" s="83">
        <f t="shared" si="7"/>
        <v>2404</v>
      </c>
    </row>
    <row r="477" spans="5:11">
      <c r="E477" s="79">
        <v>470</v>
      </c>
      <c r="F477" s="85" t="s">
        <v>566</v>
      </c>
      <c r="G477" s="89" t="s">
        <v>571</v>
      </c>
      <c r="H477" s="82">
        <v>5859.2690546952563</v>
      </c>
      <c r="I477" s="82">
        <v>6046.9086720662635</v>
      </c>
      <c r="J477" s="82">
        <v>11906.177726757933</v>
      </c>
      <c r="K477" s="83">
        <f t="shared" si="7"/>
        <v>5477</v>
      </c>
    </row>
    <row r="478" spans="5:11">
      <c r="E478" s="79">
        <v>471</v>
      </c>
      <c r="F478" s="85" t="s">
        <v>572</v>
      </c>
      <c r="G478" s="89" t="s">
        <v>573</v>
      </c>
      <c r="H478" s="82">
        <v>3165.3563219681128</v>
      </c>
      <c r="I478" s="82">
        <v>3209.4960304431161</v>
      </c>
      <c r="J478" s="82">
        <v>6374.8523524113361</v>
      </c>
      <c r="K478" s="83">
        <f t="shared" si="7"/>
        <v>2932</v>
      </c>
    </row>
    <row r="479" spans="5:11">
      <c r="E479" s="79">
        <v>472</v>
      </c>
      <c r="F479" s="85" t="s">
        <v>572</v>
      </c>
      <c r="G479" s="89" t="s">
        <v>574</v>
      </c>
      <c r="H479" s="82">
        <v>12671.473317810902</v>
      </c>
      <c r="I479" s="82">
        <v>11890.438367384506</v>
      </c>
      <c r="J479" s="82">
        <v>24561.911685202282</v>
      </c>
      <c r="K479" s="83">
        <f t="shared" si="7"/>
        <v>11298</v>
      </c>
    </row>
    <row r="480" spans="5:11">
      <c r="E480" s="79">
        <v>473</v>
      </c>
      <c r="F480" s="85" t="s">
        <v>572</v>
      </c>
      <c r="G480" s="89" t="s">
        <v>575</v>
      </c>
      <c r="H480" s="82">
        <v>18276.989003142069</v>
      </c>
      <c r="I480" s="82">
        <v>16297.515604120526</v>
      </c>
      <c r="J480" s="82">
        <v>34574.504607284609</v>
      </c>
      <c r="K480" s="83">
        <f t="shared" si="7"/>
        <v>15904</v>
      </c>
    </row>
    <row r="481" spans="5:11">
      <c r="E481" s="79">
        <v>474</v>
      </c>
      <c r="F481" s="85" t="s">
        <v>572</v>
      </c>
      <c r="G481" s="89" t="s">
        <v>572</v>
      </c>
      <c r="H481" s="82">
        <v>28803.965492933861</v>
      </c>
      <c r="I481" s="82">
        <v>26208.562238101822</v>
      </c>
      <c r="J481" s="82">
        <v>55012.527731052221</v>
      </c>
      <c r="K481" s="83">
        <f t="shared" si="7"/>
        <v>25306</v>
      </c>
    </row>
    <row r="482" spans="5:11">
      <c r="E482" s="79">
        <v>475</v>
      </c>
      <c r="F482" s="85" t="s">
        <v>576</v>
      </c>
      <c r="G482" s="89" t="s">
        <v>577</v>
      </c>
      <c r="H482" s="82">
        <v>5034.5316985392419</v>
      </c>
      <c r="I482" s="82">
        <v>4885.0021023142299</v>
      </c>
      <c r="J482" s="82">
        <v>9919.533800852163</v>
      </c>
      <c r="K482" s="83">
        <f t="shared" si="7"/>
        <v>4563</v>
      </c>
    </row>
    <row r="483" spans="5:11">
      <c r="E483" s="79">
        <v>476</v>
      </c>
      <c r="F483" s="85" t="s">
        <v>576</v>
      </c>
      <c r="G483" s="89" t="s">
        <v>578</v>
      </c>
      <c r="H483" s="82">
        <v>2904.0724791180955</v>
      </c>
      <c r="I483" s="82">
        <v>3046.5807387330919</v>
      </c>
      <c r="J483" s="82">
        <v>5950.6532178510279</v>
      </c>
      <c r="K483" s="83">
        <f t="shared" si="7"/>
        <v>2737</v>
      </c>
    </row>
    <row r="484" spans="5:11">
      <c r="E484" s="79">
        <v>477</v>
      </c>
      <c r="F484" s="85" t="s">
        <v>576</v>
      </c>
      <c r="G484" s="92" t="s">
        <v>579</v>
      </c>
      <c r="H484" s="82">
        <v>14335.790431519225</v>
      </c>
      <c r="I484" s="82">
        <v>14146.616331172441</v>
      </c>
      <c r="J484" s="82">
        <v>28482.406762705716</v>
      </c>
      <c r="K484" s="83">
        <f t="shared" si="7"/>
        <v>13102</v>
      </c>
    </row>
    <row r="485" spans="5:11">
      <c r="E485" s="79">
        <v>478</v>
      </c>
      <c r="F485" s="85" t="s">
        <v>576</v>
      </c>
      <c r="G485" s="89" t="s">
        <v>576</v>
      </c>
      <c r="H485" s="82">
        <v>73548.589182048541</v>
      </c>
      <c r="I485" s="82">
        <v>68019.13710440493</v>
      </c>
      <c r="J485" s="82">
        <v>141567.72628648565</v>
      </c>
      <c r="K485" s="83">
        <f t="shared" si="7"/>
        <v>65121</v>
      </c>
    </row>
    <row r="486" spans="5:11">
      <c r="E486" s="79">
        <v>479</v>
      </c>
      <c r="F486" s="85" t="s">
        <v>576</v>
      </c>
      <c r="G486" s="89" t="s">
        <v>580</v>
      </c>
      <c r="H486" s="82">
        <v>12177.69363753166</v>
      </c>
      <c r="I486" s="82">
        <v>11692.447816404079</v>
      </c>
      <c r="J486" s="82">
        <v>23870.141453942841</v>
      </c>
      <c r="K486" s="83">
        <f t="shared" si="7"/>
        <v>10980</v>
      </c>
    </row>
    <row r="487" spans="5:11">
      <c r="E487" s="79">
        <v>480</v>
      </c>
      <c r="F487" s="85" t="s">
        <v>576</v>
      </c>
      <c r="G487" s="89" t="s">
        <v>581</v>
      </c>
      <c r="H487" s="82">
        <v>51233.72830464803</v>
      </c>
      <c r="I487" s="82">
        <v>46819.109584143931</v>
      </c>
      <c r="J487" s="82">
        <v>98052.837888814232</v>
      </c>
      <c r="K487" s="83">
        <f t="shared" si="7"/>
        <v>45104</v>
      </c>
    </row>
    <row r="488" spans="5:11">
      <c r="E488" s="79">
        <v>481</v>
      </c>
      <c r="F488" s="85" t="s">
        <v>576</v>
      </c>
      <c r="G488" s="89" t="s">
        <v>582</v>
      </c>
      <c r="H488" s="82">
        <v>6324.8056346017056</v>
      </c>
      <c r="I488" s="82">
        <v>6078.122428945715</v>
      </c>
      <c r="J488" s="82">
        <v>12402.928063545161</v>
      </c>
      <c r="K488" s="83">
        <f t="shared" si="7"/>
        <v>5705</v>
      </c>
    </row>
    <row r="489" spans="5:11">
      <c r="E489" s="79">
        <v>482</v>
      </c>
      <c r="F489" s="85" t="s">
        <v>576</v>
      </c>
      <c r="G489" s="89" t="s">
        <v>583</v>
      </c>
      <c r="H489" s="82">
        <v>18348.900404434677</v>
      </c>
      <c r="I489" s="82">
        <v>16447.801118041923</v>
      </c>
      <c r="J489" s="82">
        <v>34796.701522497366</v>
      </c>
      <c r="K489" s="83">
        <f t="shared" si="7"/>
        <v>16006</v>
      </c>
    </row>
    <row r="490" spans="5:11">
      <c r="E490" s="79">
        <v>483</v>
      </c>
      <c r="F490" s="85" t="s">
        <v>576</v>
      </c>
      <c r="G490" s="89" t="s">
        <v>584</v>
      </c>
      <c r="H490" s="82">
        <v>13506.7513981876</v>
      </c>
      <c r="I490" s="82">
        <v>13401.80388103871</v>
      </c>
      <c r="J490" s="82">
        <v>26908.555279238644</v>
      </c>
      <c r="K490" s="83">
        <f t="shared" si="7"/>
        <v>12378</v>
      </c>
    </row>
    <row r="491" spans="5:11">
      <c r="E491" s="79">
        <v>484</v>
      </c>
      <c r="F491" s="85" t="s">
        <v>576</v>
      </c>
      <c r="G491" s="89" t="s">
        <v>585</v>
      </c>
      <c r="H491" s="82">
        <v>19046.967846018972</v>
      </c>
      <c r="I491" s="82">
        <v>16096.046100757923</v>
      </c>
      <c r="J491" s="82">
        <v>35143.013946797881</v>
      </c>
      <c r="K491" s="83">
        <f t="shared" si="7"/>
        <v>16166</v>
      </c>
    </row>
    <row r="492" spans="5:11">
      <c r="E492" s="79">
        <v>485</v>
      </c>
      <c r="F492" s="85" t="s">
        <v>576</v>
      </c>
      <c r="G492" s="89" t="s">
        <v>586</v>
      </c>
      <c r="H492" s="82">
        <v>13533.92194487859</v>
      </c>
      <c r="I492" s="82">
        <v>14383.524895721905</v>
      </c>
      <c r="J492" s="82">
        <v>27917.446840614648</v>
      </c>
      <c r="K492" s="83">
        <f t="shared" si="7"/>
        <v>12842</v>
      </c>
    </row>
    <row r="493" spans="5:11">
      <c r="E493" s="79">
        <v>486</v>
      </c>
      <c r="F493" s="85" t="s">
        <v>576</v>
      </c>
      <c r="G493" s="89" t="s">
        <v>587</v>
      </c>
      <c r="H493" s="82">
        <v>4372.6334021530583</v>
      </c>
      <c r="I493" s="82">
        <v>4456.2440695570722</v>
      </c>
      <c r="J493" s="82">
        <v>8828.8774717094111</v>
      </c>
      <c r="K493" s="83">
        <f t="shared" si="7"/>
        <v>4061</v>
      </c>
    </row>
    <row r="494" spans="5:11">
      <c r="E494" s="79">
        <v>487</v>
      </c>
      <c r="F494" s="85" t="s">
        <v>588</v>
      </c>
      <c r="G494" s="89" t="s">
        <v>589</v>
      </c>
      <c r="H494" s="82">
        <v>6218.334969100114</v>
      </c>
      <c r="I494" s="82">
        <v>5615.3420143231142</v>
      </c>
      <c r="J494" s="82">
        <v>11833.676983420068</v>
      </c>
      <c r="K494" s="83">
        <f t="shared" si="7"/>
        <v>5443</v>
      </c>
    </row>
    <row r="495" spans="5:11">
      <c r="E495" s="79">
        <v>488</v>
      </c>
      <c r="F495" s="85" t="s">
        <v>588</v>
      </c>
      <c r="G495" s="89" t="s">
        <v>590</v>
      </c>
      <c r="H495" s="82">
        <v>8324.1165867162945</v>
      </c>
      <c r="I495" s="82">
        <v>6766.139024480327</v>
      </c>
      <c r="J495" s="82">
        <v>15090.255611190476</v>
      </c>
      <c r="K495" s="83">
        <f t="shared" si="7"/>
        <v>6942</v>
      </c>
    </row>
    <row r="496" spans="5:11">
      <c r="E496" s="79">
        <v>489</v>
      </c>
      <c r="F496" s="85" t="s">
        <v>588</v>
      </c>
      <c r="G496" s="89" t="s">
        <v>591</v>
      </c>
      <c r="H496" s="82">
        <v>15504.007895690444</v>
      </c>
      <c r="I496" s="82">
        <v>14823.632458922008</v>
      </c>
      <c r="J496" s="82">
        <v>30327.640354629268</v>
      </c>
      <c r="K496" s="83">
        <f t="shared" si="7"/>
        <v>13951</v>
      </c>
    </row>
    <row r="497" spans="5:11">
      <c r="E497" s="79">
        <v>490</v>
      </c>
      <c r="F497" s="85" t="s">
        <v>588</v>
      </c>
      <c r="G497" s="89" t="s">
        <v>588</v>
      </c>
      <c r="H497" s="82">
        <v>26009.28117161127</v>
      </c>
      <c r="I497" s="82">
        <v>23270.527220698998</v>
      </c>
      <c r="J497" s="82">
        <v>49279.808392331142</v>
      </c>
      <c r="K497" s="83">
        <f t="shared" si="7"/>
        <v>22669</v>
      </c>
    </row>
    <row r="498" spans="5:11">
      <c r="E498" s="79">
        <v>491</v>
      </c>
      <c r="F498" s="85" t="s">
        <v>588</v>
      </c>
      <c r="G498" s="89" t="s">
        <v>592</v>
      </c>
      <c r="H498" s="82">
        <v>18996.751000762786</v>
      </c>
      <c r="I498" s="82">
        <v>16943.672012929816</v>
      </c>
      <c r="J498" s="82">
        <v>35940.423013715066</v>
      </c>
      <c r="K498" s="83">
        <f t="shared" si="7"/>
        <v>16533</v>
      </c>
    </row>
    <row r="499" spans="5:11">
      <c r="E499" s="79">
        <v>492</v>
      </c>
      <c r="F499" s="85" t="s">
        <v>588</v>
      </c>
      <c r="G499" s="89" t="s">
        <v>593</v>
      </c>
      <c r="H499" s="82">
        <v>13616.767848692136</v>
      </c>
      <c r="I499" s="82">
        <v>11792.622818377542</v>
      </c>
      <c r="J499" s="82">
        <v>25409.390667077758</v>
      </c>
      <c r="K499" s="83">
        <f t="shared" si="7"/>
        <v>11688</v>
      </c>
    </row>
    <row r="500" spans="5:11">
      <c r="E500" s="79">
        <v>493</v>
      </c>
      <c r="F500" s="85" t="s">
        <v>594</v>
      </c>
      <c r="G500" s="89" t="s">
        <v>595</v>
      </c>
      <c r="H500" s="82">
        <v>5829.0386583562913</v>
      </c>
      <c r="I500" s="82">
        <v>5435.2162959782745</v>
      </c>
      <c r="J500" s="82">
        <v>11264.25495433186</v>
      </c>
      <c r="K500" s="83">
        <f t="shared" si="7"/>
        <v>5182</v>
      </c>
    </row>
    <row r="501" spans="5:11">
      <c r="E501" s="79">
        <v>494</v>
      </c>
      <c r="F501" s="85" t="s">
        <v>594</v>
      </c>
      <c r="G501" s="89" t="s">
        <v>596</v>
      </c>
      <c r="H501" s="82">
        <v>4975.4670382031536</v>
      </c>
      <c r="I501" s="82">
        <v>4214.5594580341503</v>
      </c>
      <c r="J501" s="82">
        <v>9190.0264962360197</v>
      </c>
      <c r="K501" s="83">
        <f t="shared" si="7"/>
        <v>4227</v>
      </c>
    </row>
    <row r="502" spans="5:11">
      <c r="E502" s="79">
        <v>495</v>
      </c>
      <c r="F502" s="85" t="s">
        <v>594</v>
      </c>
      <c r="G502" s="89" t="s">
        <v>594</v>
      </c>
      <c r="H502" s="82">
        <v>13779.647589091661</v>
      </c>
      <c r="I502" s="82">
        <v>13138.296367851241</v>
      </c>
      <c r="J502" s="82">
        <v>26917.943956954281</v>
      </c>
      <c r="K502" s="83">
        <f t="shared" si="7"/>
        <v>12382</v>
      </c>
    </row>
    <row r="503" spans="5:11">
      <c r="E503" s="79">
        <v>496</v>
      </c>
      <c r="F503" s="85" t="s">
        <v>594</v>
      </c>
      <c r="G503" s="89" t="s">
        <v>597</v>
      </c>
      <c r="H503" s="82">
        <v>11439.751424650633</v>
      </c>
      <c r="I503" s="82">
        <v>10929.605555498034</v>
      </c>
      <c r="J503" s="82">
        <v>22369.356980152003</v>
      </c>
      <c r="K503" s="83">
        <f t="shared" si="7"/>
        <v>10290</v>
      </c>
    </row>
    <row r="504" spans="5:11">
      <c r="E504" s="79">
        <v>497</v>
      </c>
      <c r="F504" s="85" t="s">
        <v>598</v>
      </c>
      <c r="G504" s="89" t="s">
        <v>599</v>
      </c>
      <c r="H504" s="82">
        <v>22752.825587494153</v>
      </c>
      <c r="I504" s="82">
        <v>22540.546010057114</v>
      </c>
      <c r="J504" s="82">
        <v>45293.371597575504</v>
      </c>
      <c r="K504" s="83">
        <f t="shared" si="7"/>
        <v>20835</v>
      </c>
    </row>
    <row r="505" spans="5:11">
      <c r="E505" s="79">
        <v>498</v>
      </c>
      <c r="F505" s="85" t="s">
        <v>598</v>
      </c>
      <c r="G505" s="89" t="s">
        <v>600</v>
      </c>
      <c r="H505" s="82">
        <v>11337.107688945976</v>
      </c>
      <c r="I505" s="82">
        <v>10184.744807003915</v>
      </c>
      <c r="J505" s="82">
        <v>21521.852495951218</v>
      </c>
      <c r="K505" s="83">
        <f t="shared" si="7"/>
        <v>9900</v>
      </c>
    </row>
    <row r="506" spans="5:11">
      <c r="E506" s="79">
        <v>499</v>
      </c>
      <c r="F506" s="85" t="s">
        <v>598</v>
      </c>
      <c r="G506" s="89" t="s">
        <v>598</v>
      </c>
      <c r="H506" s="82">
        <v>23343.93850135271</v>
      </c>
      <c r="I506" s="82">
        <v>22682.356717321083</v>
      </c>
      <c r="J506" s="82">
        <v>46026.295218696272</v>
      </c>
      <c r="K506" s="83">
        <f t="shared" si="7"/>
        <v>21172</v>
      </c>
    </row>
    <row r="507" spans="5:11">
      <c r="E507" s="79">
        <v>500</v>
      </c>
      <c r="F507" s="85" t="s">
        <v>601</v>
      </c>
      <c r="G507" s="89" t="s">
        <v>602</v>
      </c>
      <c r="H507" s="82">
        <v>5028.2312659842428</v>
      </c>
      <c r="I507" s="82">
        <v>5112.5486532842424</v>
      </c>
      <c r="J507" s="82">
        <v>10140.779919266704</v>
      </c>
      <c r="K507" s="83">
        <f t="shared" si="7"/>
        <v>4665</v>
      </c>
    </row>
    <row r="508" spans="5:11">
      <c r="E508" s="79">
        <v>501</v>
      </c>
      <c r="F508" s="85" t="s">
        <v>601</v>
      </c>
      <c r="G508" s="89" t="s">
        <v>603</v>
      </c>
      <c r="H508" s="82">
        <v>8622.226285239085</v>
      </c>
      <c r="I508" s="82">
        <v>8422.8748693792422</v>
      </c>
      <c r="J508" s="82">
        <v>17045.101154612526</v>
      </c>
      <c r="K508" s="83">
        <f t="shared" si="7"/>
        <v>7841</v>
      </c>
    </row>
    <row r="509" spans="5:11">
      <c r="E509" s="79">
        <v>502</v>
      </c>
      <c r="F509" s="85" t="s">
        <v>601</v>
      </c>
      <c r="G509" s="89" t="s">
        <v>601</v>
      </c>
      <c r="H509" s="82">
        <v>35355.55939248098</v>
      </c>
      <c r="I509" s="82">
        <v>34241.174123554796</v>
      </c>
      <c r="J509" s="82">
        <v>69596.733516062115</v>
      </c>
      <c r="K509" s="83">
        <f t="shared" si="7"/>
        <v>32014</v>
      </c>
    </row>
    <row r="510" spans="5:11">
      <c r="E510" s="79">
        <v>503</v>
      </c>
      <c r="F510" s="85" t="s">
        <v>601</v>
      </c>
      <c r="G510" s="89" t="s">
        <v>604</v>
      </c>
      <c r="H510" s="82">
        <v>8133.9134077533436</v>
      </c>
      <c r="I510" s="82">
        <v>8606.4331063319751</v>
      </c>
      <c r="J510" s="82">
        <v>16740.346514078687</v>
      </c>
      <c r="K510" s="83">
        <f t="shared" si="7"/>
        <v>7701</v>
      </c>
    </row>
    <row r="511" spans="5:11">
      <c r="E511" s="79">
        <v>504</v>
      </c>
      <c r="F511" s="85" t="s">
        <v>605</v>
      </c>
      <c r="G511" s="89" t="s">
        <v>606</v>
      </c>
      <c r="H511" s="82">
        <v>12415.009121471052</v>
      </c>
      <c r="I511" s="82">
        <v>12135.065252171271</v>
      </c>
      <c r="J511" s="82">
        <v>24550.074373649077</v>
      </c>
      <c r="K511" s="83">
        <f t="shared" si="7"/>
        <v>11293</v>
      </c>
    </row>
    <row r="512" spans="5:11">
      <c r="E512" s="79">
        <v>505</v>
      </c>
      <c r="F512" s="85" t="s">
        <v>605</v>
      </c>
      <c r="G512" s="85" t="s">
        <v>605</v>
      </c>
      <c r="H512" s="82">
        <v>48232.171876665467</v>
      </c>
      <c r="I512" s="82">
        <v>46650.770155140912</v>
      </c>
      <c r="J512" s="82">
        <v>94882.942031823215</v>
      </c>
      <c r="K512" s="83">
        <f t="shared" si="7"/>
        <v>43646</v>
      </c>
    </row>
    <row r="513" spans="5:11">
      <c r="E513" s="79">
        <v>506</v>
      </c>
      <c r="F513" s="85" t="s">
        <v>605</v>
      </c>
      <c r="G513" s="89" t="s">
        <v>607</v>
      </c>
      <c r="H513" s="82">
        <v>17010.355534003342</v>
      </c>
      <c r="I513" s="82">
        <v>16811.493704561159</v>
      </c>
      <c r="J513" s="82">
        <v>33821.849238585477</v>
      </c>
      <c r="K513" s="83">
        <f t="shared" si="7"/>
        <v>15558</v>
      </c>
    </row>
    <row r="514" spans="5:11">
      <c r="E514" s="79">
        <v>507</v>
      </c>
      <c r="F514" s="85" t="s">
        <v>605</v>
      </c>
      <c r="G514" s="89" t="s">
        <v>608</v>
      </c>
      <c r="H514" s="82">
        <v>12250.103487080014</v>
      </c>
      <c r="I514" s="82">
        <v>12575.543897228799</v>
      </c>
      <c r="J514" s="82">
        <v>24825.647384316206</v>
      </c>
      <c r="K514" s="83">
        <f t="shared" si="7"/>
        <v>11420</v>
      </c>
    </row>
    <row r="515" spans="5:11">
      <c r="E515" s="79">
        <v>508</v>
      </c>
      <c r="F515" s="85" t="s">
        <v>609</v>
      </c>
      <c r="G515" s="89" t="s">
        <v>610</v>
      </c>
      <c r="H515" s="82">
        <v>6862.4622746023433</v>
      </c>
      <c r="I515" s="82">
        <v>6639.2504995193303</v>
      </c>
      <c r="J515" s="82">
        <v>13501.712774117206</v>
      </c>
      <c r="K515" s="83">
        <f t="shared" si="7"/>
        <v>6211</v>
      </c>
    </row>
    <row r="516" spans="5:11">
      <c r="E516" s="79">
        <v>509</v>
      </c>
      <c r="F516" s="85" t="s">
        <v>609</v>
      </c>
      <c r="G516" s="89" t="s">
        <v>609</v>
      </c>
      <c r="H516" s="82">
        <v>24527.660360226528</v>
      </c>
      <c r="I516" s="82">
        <v>23697.425040237566</v>
      </c>
      <c r="J516" s="82">
        <v>48225.085400490658</v>
      </c>
      <c r="K516" s="83">
        <f t="shared" si="7"/>
        <v>22184</v>
      </c>
    </row>
    <row r="517" spans="5:11">
      <c r="E517" s="79">
        <v>510</v>
      </c>
      <c r="F517" s="85" t="s">
        <v>609</v>
      </c>
      <c r="G517" s="89" t="s">
        <v>611</v>
      </c>
      <c r="H517" s="82">
        <v>4546.8187395292089</v>
      </c>
      <c r="I517" s="82">
        <v>4688.7791748712225</v>
      </c>
      <c r="J517" s="82">
        <v>9235.5979143994427</v>
      </c>
      <c r="K517" s="83">
        <f t="shared" si="7"/>
        <v>4248</v>
      </c>
    </row>
    <row r="518" spans="5:11">
      <c r="E518" s="79">
        <v>511</v>
      </c>
      <c r="F518" s="85" t="s">
        <v>609</v>
      </c>
      <c r="G518" s="89" t="s">
        <v>612</v>
      </c>
      <c r="H518" s="82">
        <v>10984.878585068214</v>
      </c>
      <c r="I518" s="82">
        <v>11438.524347304843</v>
      </c>
      <c r="J518" s="82">
        <v>22423.402932376273</v>
      </c>
      <c r="K518" s="83">
        <f t="shared" si="7"/>
        <v>10315</v>
      </c>
    </row>
    <row r="519" spans="5:11">
      <c r="E519" s="79">
        <v>512</v>
      </c>
      <c r="F519" s="85" t="s">
        <v>613</v>
      </c>
      <c r="G519" s="89" t="s">
        <v>614</v>
      </c>
      <c r="H519" s="82">
        <v>5211.7915317872412</v>
      </c>
      <c r="I519" s="82">
        <v>5332.3320541292487</v>
      </c>
      <c r="J519" s="82">
        <v>10544.123585914551</v>
      </c>
      <c r="K519" s="83">
        <f t="shared" si="7"/>
        <v>4850</v>
      </c>
    </row>
    <row r="520" spans="5:11">
      <c r="E520" s="79">
        <v>513</v>
      </c>
      <c r="F520" s="85" t="s">
        <v>613</v>
      </c>
      <c r="G520" s="89" t="s">
        <v>615</v>
      </c>
      <c r="H520" s="82">
        <v>4146.4345825511782</v>
      </c>
      <c r="I520" s="82">
        <v>4294.4996648321903</v>
      </c>
      <c r="J520" s="82">
        <v>8440.9342473832367</v>
      </c>
      <c r="K520" s="83">
        <f t="shared" ref="K520:K526" si="8">ROUND($D$4*J520,0)</f>
        <v>3883</v>
      </c>
    </row>
    <row r="521" spans="5:11">
      <c r="E521" s="79">
        <v>514</v>
      </c>
      <c r="F521" s="85" t="s">
        <v>613</v>
      </c>
      <c r="G521" s="92" t="s">
        <v>616</v>
      </c>
      <c r="H521" s="82">
        <v>7247.112677030369</v>
      </c>
      <c r="I521" s="82">
        <v>6961.6988298913575</v>
      </c>
      <c r="J521" s="82">
        <v>14208.811506916443</v>
      </c>
      <c r="K521" s="83">
        <f t="shared" si="8"/>
        <v>6536</v>
      </c>
    </row>
    <row r="522" spans="5:11">
      <c r="E522" s="79">
        <v>515</v>
      </c>
      <c r="F522" s="85" t="s">
        <v>613</v>
      </c>
      <c r="G522" s="89" t="s">
        <v>613</v>
      </c>
      <c r="H522" s="82">
        <v>13544.253968310044</v>
      </c>
      <c r="I522" s="82">
        <v>13614.918472545978</v>
      </c>
      <c r="J522" s="82">
        <v>27159.172440867314</v>
      </c>
      <c r="K522" s="83">
        <f t="shared" si="8"/>
        <v>12493</v>
      </c>
    </row>
    <row r="523" spans="5:11">
      <c r="E523" s="79">
        <v>516</v>
      </c>
      <c r="F523" s="85" t="s">
        <v>613</v>
      </c>
      <c r="G523" s="89" t="s">
        <v>617</v>
      </c>
      <c r="H523" s="82">
        <v>5876.775617848125</v>
      </c>
      <c r="I523" s="82">
        <v>5494.3418490312079</v>
      </c>
      <c r="J523" s="82">
        <v>11371.11746687636</v>
      </c>
      <c r="K523" s="83">
        <f t="shared" si="8"/>
        <v>5231</v>
      </c>
    </row>
    <row r="524" spans="5:11">
      <c r="E524" s="79">
        <v>517</v>
      </c>
      <c r="F524" s="80" t="s">
        <v>618</v>
      </c>
      <c r="G524" s="89" t="s">
        <v>55</v>
      </c>
      <c r="H524" s="82">
        <v>12202.048294594213</v>
      </c>
      <c r="I524" s="82">
        <v>11307.229949041966</v>
      </c>
      <c r="J524" s="82">
        <v>23509.278243641234</v>
      </c>
      <c r="K524" s="83">
        <f t="shared" si="8"/>
        <v>10814</v>
      </c>
    </row>
    <row r="525" spans="5:11">
      <c r="E525" s="79">
        <v>518</v>
      </c>
      <c r="F525" s="80" t="s">
        <v>618</v>
      </c>
      <c r="G525" s="89" t="s">
        <v>618</v>
      </c>
      <c r="H525" s="82">
        <v>15535.710038533403</v>
      </c>
      <c r="I525" s="82">
        <v>14219.115867177548</v>
      </c>
      <c r="J525" s="82">
        <v>29754.825905726681</v>
      </c>
      <c r="K525" s="83">
        <f t="shared" si="8"/>
        <v>13687</v>
      </c>
    </row>
    <row r="526" spans="5:11">
      <c r="E526" s="79">
        <v>519</v>
      </c>
      <c r="F526" s="80" t="s">
        <v>618</v>
      </c>
      <c r="G526" s="89" t="s">
        <v>619</v>
      </c>
      <c r="H526" s="82">
        <v>15716.214975809226</v>
      </c>
      <c r="I526" s="82">
        <v>14865.889674409973</v>
      </c>
      <c r="J526" s="82">
        <v>30582.104650236513</v>
      </c>
      <c r="K526" s="83">
        <f t="shared" si="8"/>
        <v>14068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7</vt:i4>
      </vt:variant>
      <vt:variant>
        <vt:lpstr>Plages nommées</vt:lpstr>
      </vt:variant>
      <vt:variant>
        <vt:i4>4</vt:i4>
      </vt:variant>
    </vt:vector>
  </HeadingPairs>
  <TitlesOfParts>
    <vt:vector size="11" baseType="lpstr">
      <vt:lpstr>Infos</vt:lpstr>
      <vt:lpstr>Produit</vt:lpstr>
      <vt:lpstr>Tarification</vt:lpstr>
      <vt:lpstr>Commissions</vt:lpstr>
      <vt:lpstr>(1) CIMA H</vt:lpstr>
      <vt:lpstr>(2) ARV Model</vt:lpstr>
      <vt:lpstr>(3) Demographie &amp; Departements</vt:lpstr>
      <vt:lpstr>Commissions!Zone_d_impression</vt:lpstr>
      <vt:lpstr>Infos!Zone_d_impression</vt:lpstr>
      <vt:lpstr>Produit!Zone_d_impression</vt:lpstr>
      <vt:lpstr>Tarification!Zone_d_impression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Climate Disaster Risk Finance &amp; Insurance Expert</dc:title>
  <dc:subject/>
  <dc:creator>Idrissa Tionitio KARAMA</dc:creator>
  <cp:keywords/>
  <dc:description/>
  <cp:lastModifiedBy>Yamani Yeo</cp:lastModifiedBy>
  <cp:lastPrinted>2018-03-15T16:02:17Z</cp:lastPrinted>
  <dcterms:created xsi:type="dcterms:W3CDTF">2014-04-28T18:13:26Z</dcterms:created>
  <dcterms:modified xsi:type="dcterms:W3CDTF">2025-12-31T10:54:31Z</dcterms:modified>
  <cp:category/>
</cp:coreProperties>
</file>